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yash_jain_vesu\Future_Vision\books\advance_excel\NEW-FILES-PROJECTS\100+ Premium Excel Templates\Data Analysis\"/>
    </mc:Choice>
  </mc:AlternateContent>
  <xr:revisionPtr revIDLastSave="0" documentId="13_ncr:1_{9C123609-350C-446C-BD8E-126F6935D6F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troduction" sheetId="5" r:id="rId1"/>
    <sheet name="Stratification Diagram" sheetId="3" r:id="rId2"/>
    <sheet name="Helper sheet" sheetId="1" state="hidden" r:id="rId3"/>
  </sheets>
  <definedNames>
    <definedName name="_aaa1" hidden="1">{#N/A,#N/A,FALSE,"Antony Financials";#N/A,#N/A,FALSE,"Cowboy Financials";#N/A,#N/A,FALSE,"Combined";#N/A,#N/A,FALSE,"Valuematrix";#N/A,#N/A,FALSE,"DCFAntony";#N/A,#N/A,FALSE,"DCFCowboy";#N/A,#N/A,FALSE,"DCFCombined"}</definedName>
    <definedName name="_GSRATES_1" hidden="1">"H2002123120021231CADUSD1000001"</definedName>
    <definedName name="_GSRATES_10" hidden="1">"CF3000012002093020020101"</definedName>
    <definedName name="_GSRATES_11" hidden="1">"CF300001Invalid 20030930"</definedName>
    <definedName name="_GSRATES_12" hidden="1">"CT30000120030930        "</definedName>
    <definedName name="_GSRATES_13" hidden="1">"CT30000120030930        "</definedName>
    <definedName name="_GSRATES_2" hidden="1">"CT30000120030630        "</definedName>
    <definedName name="_GSRATES_3" hidden="1">"CF3000012003063020030101"</definedName>
    <definedName name="_GSRATES_4" hidden="1">"CT3000012003063020030101"</definedName>
    <definedName name="_GSRATES_5" hidden="1">"CF3000012002123120020101"</definedName>
    <definedName name="_GSRATES_6" hidden="1">"CF3000012002063020020101"</definedName>
    <definedName name="_GSRATES_7" hidden="1">"CF3000012003063020030101"</definedName>
    <definedName name="_GSRATES_8" hidden="1">"CF3000012003093020030101"</definedName>
    <definedName name="_GSRATES_9" hidden="1">"CF3000012002123120020101"</definedName>
    <definedName name="_GSRATES_COUNT" hidden="1">7</definedName>
    <definedName name="_GSRATES_COUNT1" hidden="1">13</definedName>
    <definedName name="_GSRATESR_1" hidden="1">#REF!</definedName>
    <definedName name="_GSRATESR_10" hidden="1">#REF!</definedName>
    <definedName name="_GSRATESR_11" hidden="1">#REF!</definedName>
    <definedName name="_GSRATESR_12" hidden="1">#REF!</definedName>
    <definedName name="_GSRATESR_13" hidden="1">#REF!</definedName>
    <definedName name="_GSRATESR_3" hidden="1">#REF!</definedName>
    <definedName name="_GSRATESR_4" hidden="1">#REF!</definedName>
    <definedName name="_GSRATESR_5" hidden="1">#REF!</definedName>
    <definedName name="_GSRATESR_6" hidden="1">#REF!</definedName>
    <definedName name="_GSRATESR_7" hidden="1">#REF!</definedName>
    <definedName name="_GSRATESR_8" hidden="1">#REF!</definedName>
    <definedName name="_GSRATESR_9" hidden="1">#REF!</definedName>
    <definedName name="a" hidden="1">{#N/A,#N/A,TRUE,"10 yr forecast - Balance Sheet";#N/A,#N/A,TRUE,"10 yr forecast - SCFP";#N/A,#N/A,TRUE,"10 yr forecast - P&amp;L&lt;linked&gt; ";#N/A,#N/A,TRUE,"Product Sales Royalty Breakdown";#N/A,#N/A,TRUE,"Collaborative Revenue Breakdown";#N/A,#N/A,TRUE,"Commercial Ops Breakdown";#N/A,#N/A,TRUE,"R&amp;D Breakdown";#N/A,#N/A,TRUE,"SG&amp;A Breakdown";#N/A,#N/A,TRUE,"FTE Summary"}</definedName>
    <definedName name="AAA_DOCTOPS" hidden="1">"AAA_SET"</definedName>
    <definedName name="AAA_duser" hidden="1">"OFF"</definedName>
    <definedName name="AAA_u999998" hidden="1">"nlfoote@970721231427"</definedName>
    <definedName name="AAA_u999999" hidden="1">"nlfoote@970721231348"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df" hidden="1">{#N/A,#N/A,FALSE,"CreditStat";#N/A,#N/A,FALSE,"SPbrkup";#N/A,#N/A,FALSE,"MerSPsyn";#N/A,#N/A,FALSE,"MerSPwKCsyn";#N/A,#N/A,FALSE,"MerSPwKCsyn (2)";#N/A,#N/A,FALSE,"CreditStat (2)"}</definedName>
    <definedName name="adfdaf" hidden="1">{"standalone1",#N/A,FALSE,"DCFBase";"standalone2",#N/A,FALSE,"DCFBase"}</definedName>
    <definedName name="asdf" hidden="1">{"mgmt forecast",#N/A,FALSE,"Mgmt Forecast";"dcf table",#N/A,FALSE,"Mgmt Forecast";"sensitivity",#N/A,FALSE,"Mgmt Forecast";"table inputs",#N/A,FALSE,"Mgmt Forecast";"calculations",#N/A,FALSE,"Mgmt Forecast"}</definedName>
    <definedName name="asdfa" hidden="1">{#N/A,#N/A,FALSE,"Antony Financials";#N/A,#N/A,FALSE,"Cowboy Financials";#N/A,#N/A,FALSE,"Combined";#N/A,#N/A,FALSE,"Valuematrix";#N/A,#N/A,FALSE,"DCFAntony";#N/A,#N/A,FALSE,"DCFCowboy";#N/A,#N/A,FALSE,"DCFCombined"}</definedName>
    <definedName name="asdfaa" hidden="1">{#N/A,#N/A,FALSE,"Antony Financials";#N/A,#N/A,FALSE,"Cowboy Financials";#N/A,#N/A,FALSE,"Combined";#N/A,#N/A,FALSE,"Valuematrix";#N/A,#N/A,FALSE,"DCFAntony";#N/A,#N/A,FALSE,"DCFCowboy";#N/A,#N/A,FALSE,"DCFCombined"}</definedName>
    <definedName name="asdfasdf" hidden="1">{#N/A,#N/A,FALSE,"CreditStat";#N/A,#N/A,FALSE,"SPbrkup";#N/A,#N/A,FALSE,"MerSPsyn";#N/A,#N/A,FALSE,"MerSPwKCsyn";#N/A,#N/A,FALSE,"MerSPwKCsyn (2)";#N/A,#N/A,FALSE,"CreditStat (2)"}</definedName>
    <definedName name="asdff" hidden="1">{"standalone1",#N/A,FALSE,"DCFBase";"standalone2",#N/A,FALSE,"DCFBase"}</definedName>
    <definedName name="asdfsad" hidden="1">{#N/A,#N/A,FALSE,"Antony Financials";#N/A,#N/A,FALSE,"Cowboy Financials";#N/A,#N/A,FALSE,"Combined";#N/A,#N/A,FALSE,"Valuematrix";#N/A,#N/A,FALSE,"DCFAntony";#N/A,#N/A,FALSE,"DCFCowboy";#N/A,#N/A,FALSE,"DCFCombined"}</definedName>
    <definedName name="b" hidden="1">{#N/A,#N/A,FALSE,"Antony Financials";#N/A,#N/A,FALSE,"Cowboy Financials";#N/A,#N/A,FALSE,"Combined";#N/A,#N/A,FALSE,"Valuematrix";#N/A,#N/A,FALSE,"DCFAntony";#N/A,#N/A,FALSE,"DCFCowboy";#N/A,#N/A,FALSE,"DCFCombined"}</definedName>
    <definedName name="d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da" hidden="1">{#N/A,#N/A,FALSE,"A&amp;E";#N/A,#N/A,FALSE,"HighTop";#N/A,#N/A,FALSE,"JG";#N/A,#N/A,FALSE,"RI";#N/A,#N/A,FALSE,"woHT";#N/A,#N/A,FALSE,"woHT&amp;JG"}</definedName>
    <definedName name="df" hidden="1">{"'Summary P&amp;L'!$A$1:$M$70","'Summary P&amp;L'!$A$1:$M$70"}</definedName>
    <definedName name="EPMWorkbookOptions_2" hidden="1">"m3FeIocTK7T00g7i155YYzII5xVFTgxBon8IEeL4xiLwgoT687neHX/pG70aRh7dJEB5hTBgSYS4S/wFRhkORAJNCFEijYCzdDW/7jaFj3jStoSLzX9El/54gL4Q7XVoWsi6rEQQeHqMNCnOXt8qRzrJhTnpdjyrYajjmak1fQXrR1cKuC|QKz4CEUZkvQ9clhikMR9lTf/Gcw/A9n9YZnYMuZTheC416kRG507skkOuBwSO7Rg8|xYzXFd2HOH"</definedName>
    <definedName name="EPMWorkbookOptions_3" hidden="1">"jHlyP|GtOQbRSQ7d9K9FzlywTlRW3iBgT/mkPU84ZhmIOeo0tZztdyxIzzUV2WFbWmbCTIuhdRrEldoHVZl|KLzOxh4KGnPvUDoOyprpQr5QmMJsVyxdWKWmnyqVgrAxRlBCXNHVW16khdtpyOykjcQSGzweMDHNwuzEZ8nsqApUWZCeCQOH6DptuExDuRD2Gr2XNaCr9sdDrDxGHz4bsT9UL2FgaK6Hj6tIYW|OR4QbB3KSzlI2yNo9dvcL5YX"</definedName>
    <definedName name="EPMWorkbookOptions_4" hidden="1">"Xq937qUh8ANDfwzvX5pOEZrf7XKslaT5fxiVU5PrBGDaanK8aemHLtOD86JWpLPnKQ4UZVq7czJtk5K1eqZk|2xo6jHzsn7WfeMhtP8alo/9l76VLVc1jQt/9JXOr2lb0Uil|hyg2Y4Z31mlrmHPq2|YwwsPgMY|0u0UlXkWq2aX6Lq6Ul0g8dYpR3j2EV6MCqM1vWxc/F|BqztmFbja3PYMfms2DZ7f/NMVamo6h88VGmnN2y32Uzvh3rmcAdw"</definedName>
    <definedName name="EPMWorkbookOptions_5" hidden="1">"FnJWmXsI2Wl3m2/4|qp8euJdMpgWbElWNNE8/v3RgRmxm/0zIylG/hsc/Ux2cEY6Z0bWjMifRMd0GkfPyftZ7wa99lv|XVM5vfVuyeDOBi0ynkWaVeYeIu02G/bAatpvKNTq6Ql1xWL8|NtvWm3zqn307wMOqNIcoFQ12SBdyjoHkbKu4Dzb7jmRTePu2RLdggmFcGoSMwCSnABI2yKY4QGiy5wmsdEDrM4bbJsj7OoMDZcmi1hcoXcdafzCTW6"</definedName>
    <definedName name="EPMWorkbookOptions_6" hidden="1">"a3g6/IYrRyIMu0Pt1hh37xw/rtMmZnfr/tQEq6O4jAAA="</definedName>
    <definedName name="EPMWorkbookOptions_7" hidden="1">"VkElWzGe4dbysDmw3e4bw0nqBxi31scdUfvlZHPVuLY3NJBpjCzYg+hpH+Go/fu3fdjNPrXaf+7pIr7iNgAA"</definedName>
    <definedName name="f" hidden="1">{"mgmt forecast",#N/A,FALSE,"Mgmt Forecast";"dcf table",#N/A,FALSE,"Mgmt Forecast";"sensitivity",#N/A,FALSE,"Mgmt Forecast";"table inputs",#N/A,FALSE,"Mgmt Forecast";"calculations",#N/A,FALSE,"Mgmt Forecast"}</definedName>
    <definedName name="fafate" hidden="1">{"mgmt forecast",#N/A,FALSE,"Mgmt Forecast";"dcf table",#N/A,FALSE,"Mgmt Forecast";"sensitivity",#N/A,FALSE,"Mgmt Forecast";"table inputs",#N/A,FALSE,"Mgmt Forecast";"calculations",#N/A,FALSE,"Mgmt Forecast"}</definedName>
    <definedName name="fff" hidden="1">{"standalone1",#N/A,FALSE,"DCFBase";"standalone2",#N/A,FALSE,"DCFBase"}</definedName>
    <definedName name="g" hidden="1">{#N/A,#N/A,FALSE,"Antony Financials";#N/A,#N/A,FALSE,"Cowboy Financials";#N/A,#N/A,FALSE,"Combined";#N/A,#N/A,FALSE,"Valuematrix";#N/A,#N/A,FALSE,"DCFAntony";#N/A,#N/A,FALSE,"DCFCowboy";#N/A,#N/A,FALSE,"DCFCombined"}</definedName>
    <definedName name="h" hidden="1">{#N/A,#N/A,FALSE,"CreditStat";#N/A,#N/A,FALSE,"SPbrkup";#N/A,#N/A,FALSE,"MerSPsyn";#N/A,#N/A,FALSE,"MerSPwKCsyn";#N/A,#N/A,FALSE,"MerSPwKCsyn (2)";#N/A,#N/A,FALSE,"CreditStat (2)"}</definedName>
    <definedName name="HTML_CodePage" hidden="1">1252</definedName>
    <definedName name="HTML_Control" hidden="1">{"'Summary P&amp;L'!$A$1:$M$70","'Summary P&amp;L'!$A$1:$M$70"}</definedName>
    <definedName name="HTML_Description" hidden="1">""</definedName>
    <definedName name="HTML_Email" hidden="1">""</definedName>
    <definedName name="HTML_Header" hidden="1">"Summary P&amp;L"</definedName>
    <definedName name="HTML_LastUpdate" hidden="1">"9/03/01"</definedName>
    <definedName name="HTML_LineAfter" hidden="1">FALSE</definedName>
    <definedName name="HTML_LineBefore" hidden="1">FALSE</definedName>
    <definedName name="HTML_Name" hidden="1">"Hans Verheul"</definedName>
    <definedName name="HTML_OBDlg2" hidden="1">TRUE</definedName>
    <definedName name="HTML_OBDlg4" hidden="1">TRUE</definedName>
    <definedName name="HTML_OS" hidden="1">0</definedName>
    <definedName name="HTML_PathFile" hidden="1">"G:\Finlog\html\FINANCE.htm"</definedName>
    <definedName name="HTML_Title" hidden="1">"INCOME STATEMENT FEBRUARY 2001"</definedName>
    <definedName name="iui" hidden="1">{#N/A,#N/A,FALSE,"A&amp;E";#N/A,#N/A,FALSE,"HighTop";#N/A,#N/A,FALSE,"JG";#N/A,#N/A,FALSE,"RI";#N/A,#N/A,FALSE,"woHT";#N/A,#N/A,FALSE,"woHT&amp;JG"}</definedName>
    <definedName name="j" hidden="1">{"standalone1",#N/A,FALSE,"DCFBase";"standalone2",#N/A,FALSE,"DCFBase"}</definedName>
    <definedName name="k" hidden="1">{#N/A,#N/A,FALSE,"Antony Financials";#N/A,#N/A,FALSE,"Cowboy Financials";#N/A,#N/A,FALSE,"Combined";#N/A,#N/A,FALSE,"Valuematrix";#N/A,#N/A,FALSE,"DCFAntony";#N/A,#N/A,FALSE,"DCFCowboy";#N/A,#N/A,FALSE,"DCFCombined"}</definedName>
    <definedName name="kyd.Dim.01." hidden="1">"currency"</definedName>
    <definedName name="kyd.Dim.02." hidden="1">"currency"</definedName>
    <definedName name="kyd.ElementType.01." hidden="1">3</definedName>
    <definedName name="kyd.ElementType.02." hidden="1">3</definedName>
    <definedName name="kyd.MemoSortHide." hidden="1">FALSE</definedName>
    <definedName name="kyd.NumLevels.01." hidden="1">999</definedName>
    <definedName name="kyd.NumLevels.02." hidden="1">999</definedName>
    <definedName name="kyd.ParentName.01." hidden="1">"AUD"</definedName>
    <definedName name="kyd.ParentName.02." hidden="1">"AUD"</definedName>
    <definedName name="kyd.PreScreenData." hidden="1">FALSE</definedName>
    <definedName name="kyd.PrintMemo." hidden="1">FALSE</definedName>
    <definedName name="kyd.PrintParent.01." hidden="1">TRUE</definedName>
    <definedName name="kyd.PrintParent.02." hidden="1">TRUE</definedName>
    <definedName name="kyd.PrintStdWhen." hidden="1">3</definedName>
    <definedName name="kyd.SaveAsFile." hidden="1">FALSE</definedName>
    <definedName name="kyd.SaveMemo." hidden="1">FALSE</definedName>
    <definedName name="kyd.SelectString.01." hidden="1">"*"</definedName>
    <definedName name="kyd.SelectString.02." hidden="1">"*"</definedName>
    <definedName name="kyd.StdSortHide." hidden="1">FALSE</definedName>
    <definedName name="kyd.StopRow." hidden="1">16384</definedName>
    <definedName name="kyd.WriteMemWhenOptn." hidden="1">3</definedName>
    <definedName name="l" hidden="1">{"mgmt forecast",#N/A,FALSE,"Mgmt Forecast";"dcf table",#N/A,FALSE,"Mgmt Forecast";"sensitivity",#N/A,FALSE,"Mgmt Forecast";"table inputs",#N/A,FALSE,"Mgmt Forecast";"calculations",#N/A,FALSE,"Mgmt Forecast"}</definedName>
    <definedName name="m" hidden="1">{"standalone1",#N/A,FALSE,"DCFBase";"standalone2",#N/A,FALSE,"DCFBase"}</definedName>
    <definedName name="MR" hidden="1">{#N/A,#N/A,FALSE,"sales ytd";#N/A,#N/A,FALSE,"investments";#N/A,#N/A,FALSE,"bus. synergies 1997";#N/A,#N/A,FALSE,"synergies outlook"}</definedName>
    <definedName name="n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_xlnm.Print_Area" localSheetId="2">'Helper sheet'!#REF!</definedName>
    <definedName name="_xlnm.Print_Area" localSheetId="1">'Stratification Diagram'!$A$2:$T$53</definedName>
    <definedName name="q" hidden="1">{#N/A,#N/A,FALSE,"Antony Financials";#N/A,#N/A,FALSE,"Cowboy Financials";#N/A,#N/A,FALSE,"Combined";#N/A,#N/A,FALSE,"Valuematrix";#N/A,#N/A,FALSE,"DCFAntony";#N/A,#N/A,FALSE,"DCFCowboy";#N/A,#N/A,FALSE,"DCFCombined"}</definedName>
    <definedName name="rr" hidden="1">{#N/A,#N/A,FALSE,"Antony Financials";#N/A,#N/A,FALSE,"Cowboy Financials";#N/A,#N/A,FALSE,"Combined";#N/A,#N/A,FALSE,"Valuematrix";#N/A,#N/A,FALSE,"DCFAntony";#N/A,#N/A,FALSE,"DCFCowboy";#N/A,#N/A,FALSE,"DCFCombined"}</definedName>
    <definedName name="SAPBEXhrIndnt" hidden="1">"Wide"</definedName>
    <definedName name="SAPsysID" hidden="1">"708C5W7SBKP804JT78WJ0JNKI"</definedName>
    <definedName name="SAPwbID" hidden="1">"ARS"</definedName>
    <definedName name="sd" hidden="1">{#N/A,#N/A,TRUE,"10 yr forecast - Balance Sheet";#N/A,#N/A,TRUE,"10 yr forecast - SCFP";#N/A,#N/A,TRUE,"10 yr forecast - P&amp;L&lt;linked&gt; ";#N/A,#N/A,TRUE,"Product Sales Royalty Breakdown";#N/A,#N/A,TRUE,"Collaborative Revenue Breakdown";#N/A,#N/A,TRUE,"Commercial Ops Breakdown";#N/A,#N/A,TRUE,"R&amp;D Breakdown";#N/A,#N/A,TRUE,"SG&amp;A Breakdown";#N/A,#N/A,TRUE,"FTE Summary"}</definedName>
    <definedName name="sdfasefr" hidden="1">{#N/A,#N/A,FALSE,"Antony Financials";#N/A,#N/A,FALSE,"Cowboy Financials";#N/A,#N/A,FALSE,"Combined";#N/A,#N/A,FALSE,"Valuematrix";#N/A,#N/A,FALSE,"DCFAntony";#N/A,#N/A,FALSE,"DCFCowboy";#N/A,#N/A,FALSE,"DCFCombined"}</definedName>
    <definedName name="t" hidden="1">{#N/A,#N/A,FALSE,"A&amp;E";#N/A,#N/A,FALSE,"HighTop";#N/A,#N/A,FALSE,"JG";#N/A,#N/A,FALSE,"RI";#N/A,#N/A,FALSE,"woHT";#N/A,#N/A,FALSE,"woHT&amp;JG"}</definedName>
    <definedName name="ttt" hidden="1">{#N/A,#N/A,FALSE,"CreditStat";#N/A,#N/A,FALSE,"SPbrkup";#N/A,#N/A,FALSE,"MerSPsyn";#N/A,#N/A,FALSE,"MerSPwKCsyn";#N/A,#N/A,FALSE,"MerSPwKCsyn (2)";#N/A,#N/A,FALSE,"CreditStat (2)"}</definedName>
    <definedName name="v" hidden="1">{"standalone1",#N/A,FALSE,"DCFBase";"standalone2",#N/A,FALSE,"DCFBase"}</definedName>
    <definedName name="vv" hidden="1">{#N/A,#N/A,FALSE,"CreditStat";#N/A,#N/A,FALSE,"SPbrkup";#N/A,#N/A,FALSE,"MerSPsyn";#N/A,#N/A,FALSE,"MerSPwKCsyn";#N/A,#N/A,FALSE,"MerSPwKCsyn (2)";#N/A,#N/A,FALSE,"CreditStat (2)"}</definedName>
    <definedName name="vvv" hidden="1">{#N/A,#N/A,FALSE,"Antony Financials";#N/A,#N/A,FALSE,"Cowboy Financials";#N/A,#N/A,FALSE,"Combined";#N/A,#N/A,FALSE,"Valuematrix";#N/A,#N/A,FALSE,"DCFAntony";#N/A,#N/A,FALSE,"DCFCowboy";#N/A,#N/A,FALSE,"DCFCombined"}</definedName>
    <definedName name="w" hidden="1">{#N/A,#N/A,FALSE,"CreditStat";#N/A,#N/A,FALSE,"SPbrkup";#N/A,#N/A,FALSE,"MerSPsyn";#N/A,#N/A,FALSE,"MerSPwKCsyn";#N/A,#N/A,FALSE,"MerSPwKCsyn (2)";#N/A,#N/A,FALSE,"CreditStat (2)"}</definedName>
    <definedName name="wrn.dcf." hidden="1">{"mgmt forecast",#N/A,FALSE,"Mgmt Forecast";"dcf table",#N/A,FALSE,"Mgmt Forecast";"sensitivity",#N/A,FALSE,"Mgmt Forecast";"table inputs",#N/A,FALSE,"Mgmt Forecast";"calculations",#N/A,FALSE,"Mgmt Forecast"}</definedName>
    <definedName name="wrn.Everything.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print._.standalone." hidden="1">{"standalone1",#N/A,FALSE,"DCFBase";"standalone2",#N/A,FALSE,"DCFBase"}</definedName>
    <definedName name="wrn.SKSCS1." hidden="1">{#N/A,#N/A,FALSE,"Antony Financials";#N/A,#N/A,FALSE,"Cowboy Financials";#N/A,#N/A,FALSE,"Combined";#N/A,#N/A,FALSE,"Valuematrix";#N/A,#N/A,FALSE,"DCFAntony";#N/A,#N/A,FALSE,"DCFCowboy";#N/A,#N/A,FALSE,"DCFCombined"}</definedName>
    <definedName name="wrn.SummaryPgs." hidden="1">{#N/A,#N/A,FALSE,"CreditStat";#N/A,#N/A,FALSE,"SPbrkup";#N/A,#N/A,FALSE,"MerSPsyn";#N/A,#N/A,FALSE,"MerSPwKCsyn";#N/A,#N/A,FALSE,"MerSPwKCsyn (2)";#N/A,#N/A,FALSE,"CreditStat (2)"}</definedName>
    <definedName name="wrn.Top._.Level._.Summaries." hidden="1">{#N/A,#N/A,TRUE,"10 yr forecast - Balance Sheet";#N/A,#N/A,TRUE,"10 yr forecast - SCFP";#N/A,#N/A,TRUE,"10 yr forecast - P&amp;L&lt;linked&gt; ";#N/A,#N/A,TRUE,"Product Sales Royalty Breakdown";#N/A,#N/A,TRUE,"Collaborative Revenue Breakdown";#N/A,#N/A,TRUE,"Commercial Ops Breakdown";#N/A,#N/A,TRUE,"R&amp;D Breakdown";#N/A,#N/A,TRUE,"SG&amp;A Breakdown";#N/A,#N/A,TRUE,"FTE Summary"}</definedName>
    <definedName name="wrn.Tweety." hidden="1">{#N/A,#N/A,FALSE,"A&amp;E";#N/A,#N/A,FALSE,"HighTop";#N/A,#N/A,FALSE,"JG";#N/A,#N/A,FALSE,"RI";#N/A,#N/A,FALSE,"woHT";#N/A,#N/A,FALSE,"woHT&amp;JG"}</definedName>
    <definedName name="wrn.vortrag." hidden="1">{#N/A,#N/A,FALSE,"sales ytd";#N/A,#N/A,FALSE,"investments";#N/A,#N/A,FALSE,"bus. synergies 1997";#N/A,#N/A,FALSE,"synergies outlook"}</definedName>
    <definedName name="zzz" hidden="1">{#N/A,#N/A,TRUE,"10 yr forecast - Balance Sheet";#N/A,#N/A,TRUE,"10 yr forecast - SCFP";#N/A,#N/A,TRUE,"10 yr forecast - P&amp;L&lt;linked&gt; ";#N/A,#N/A,TRUE,"Product Sales Royalty Breakdown";#N/A,#N/A,TRUE,"Collaborative Revenue Breakdown";#N/A,#N/A,TRUE,"Commercial Ops Breakdown";#N/A,#N/A,TRUE,"R&amp;D Breakdown";#N/A,#N/A,TRUE,"SG&amp;A Breakdown";#N/A,#N/A,TRUE,"FTE Summary"}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  <c r="D5" i="1"/>
  <c r="R5" i="1"/>
  <c r="S5" i="1"/>
  <c r="O5" i="1"/>
  <c r="P5" i="1"/>
  <c r="L5" i="1"/>
  <c r="M5" i="1"/>
  <c r="I5" i="1"/>
  <c r="J5" i="1"/>
  <c r="AC5" i="1" s="1"/>
  <c r="I3" i="1"/>
  <c r="F5" i="1"/>
  <c r="G5" i="1"/>
  <c r="F3" i="1"/>
  <c r="C3" i="1"/>
  <c r="L3" i="1"/>
  <c r="O3" i="1"/>
  <c r="R3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V13" i="1" s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F6" i="1"/>
  <c r="G6" i="1"/>
  <c r="X6" i="1" s="1"/>
  <c r="F7" i="1"/>
  <c r="G7" i="1"/>
  <c r="F8" i="1"/>
  <c r="G8" i="1"/>
  <c r="F9" i="1"/>
  <c r="G9" i="1"/>
  <c r="F10" i="1"/>
  <c r="G10" i="1"/>
  <c r="Z10" i="1" s="1"/>
  <c r="F11" i="1"/>
  <c r="G11" i="1"/>
  <c r="F12" i="1"/>
  <c r="G12" i="1"/>
  <c r="F13" i="1"/>
  <c r="G13" i="1"/>
  <c r="F14" i="1"/>
  <c r="G14" i="1"/>
  <c r="F15" i="1"/>
  <c r="G15" i="1"/>
  <c r="F16" i="1"/>
  <c r="G16" i="1"/>
  <c r="X16" i="1" s="1"/>
  <c r="F17" i="1"/>
  <c r="G17" i="1"/>
  <c r="F18" i="1"/>
  <c r="G18" i="1"/>
  <c r="Z18" i="1" s="1"/>
  <c r="F19" i="1"/>
  <c r="G19" i="1"/>
  <c r="F20" i="1"/>
  <c r="G20" i="1"/>
  <c r="F21" i="1"/>
  <c r="G21" i="1"/>
  <c r="F22" i="1"/>
  <c r="G22" i="1"/>
  <c r="F23" i="1"/>
  <c r="G23" i="1"/>
  <c r="I6" i="1"/>
  <c r="J6" i="1"/>
  <c r="I7" i="1"/>
  <c r="J7" i="1"/>
  <c r="I8" i="1"/>
  <c r="J8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L6" i="1"/>
  <c r="M6" i="1"/>
  <c r="L7" i="1"/>
  <c r="M7" i="1"/>
  <c r="L8" i="1"/>
  <c r="M8" i="1"/>
  <c r="L9" i="1"/>
  <c r="M9" i="1"/>
  <c r="L10" i="1"/>
  <c r="M10" i="1"/>
  <c r="L11" i="1"/>
  <c r="M11" i="1"/>
  <c r="L12" i="1"/>
  <c r="M12" i="1"/>
  <c r="L13" i="1"/>
  <c r="M13" i="1"/>
  <c r="L14" i="1"/>
  <c r="M14" i="1"/>
  <c r="L15" i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3" i="1"/>
  <c r="M23" i="1"/>
  <c r="O6" i="1"/>
  <c r="P6" i="1"/>
  <c r="O7" i="1"/>
  <c r="P7" i="1"/>
  <c r="O8" i="1"/>
  <c r="P8" i="1"/>
  <c r="O9" i="1"/>
  <c r="P9" i="1"/>
  <c r="O10" i="1"/>
  <c r="P10" i="1"/>
  <c r="O11" i="1"/>
  <c r="P11" i="1"/>
  <c r="O12" i="1"/>
  <c r="P12" i="1"/>
  <c r="O13" i="1"/>
  <c r="P13" i="1"/>
  <c r="O14" i="1"/>
  <c r="P14" i="1"/>
  <c r="O15" i="1"/>
  <c r="P15" i="1"/>
  <c r="O16" i="1"/>
  <c r="P16" i="1"/>
  <c r="O17" i="1"/>
  <c r="P17" i="1"/>
  <c r="O18" i="1"/>
  <c r="P18" i="1"/>
  <c r="O19" i="1"/>
  <c r="P19" i="1"/>
  <c r="O20" i="1"/>
  <c r="P20" i="1"/>
  <c r="O21" i="1"/>
  <c r="P21" i="1"/>
  <c r="O22" i="1"/>
  <c r="P22" i="1"/>
  <c r="O23" i="1"/>
  <c r="P23" i="1"/>
  <c r="S6" i="1"/>
  <c r="R6" i="1"/>
  <c r="S7" i="1"/>
  <c r="R7" i="1"/>
  <c r="S8" i="1"/>
  <c r="R8" i="1"/>
  <c r="S9" i="1"/>
  <c r="R9" i="1"/>
  <c r="S10" i="1"/>
  <c r="R10" i="1"/>
  <c r="S11" i="1"/>
  <c r="R11" i="1"/>
  <c r="S12" i="1"/>
  <c r="R12" i="1"/>
  <c r="S13" i="1"/>
  <c r="R13" i="1"/>
  <c r="S14" i="1"/>
  <c r="R14" i="1"/>
  <c r="S15" i="1"/>
  <c r="R15" i="1"/>
  <c r="S16" i="1"/>
  <c r="R16" i="1"/>
  <c r="S17" i="1"/>
  <c r="R17" i="1"/>
  <c r="S18" i="1"/>
  <c r="R18" i="1"/>
  <c r="S19" i="1"/>
  <c r="R19" i="1"/>
  <c r="S20" i="1"/>
  <c r="R20" i="1"/>
  <c r="S21" i="1"/>
  <c r="R21" i="1"/>
  <c r="S22" i="1"/>
  <c r="R22" i="1"/>
  <c r="S23" i="1"/>
  <c r="R23" i="1"/>
  <c r="AB5" i="1"/>
  <c r="S4" i="1"/>
  <c r="AL4" i="1" s="1"/>
  <c r="R4" i="1"/>
  <c r="AK4" i="1" s="1"/>
  <c r="P4" i="1"/>
  <c r="AI4" i="1" s="1"/>
  <c r="O4" i="1"/>
  <c r="AH4" i="1" s="1"/>
  <c r="M4" i="1"/>
  <c r="AF4" i="1" s="1"/>
  <c r="L4" i="1"/>
  <c r="AE4" i="1" s="1"/>
  <c r="J4" i="1"/>
  <c r="AC4" i="1" s="1"/>
  <c r="I4" i="1"/>
  <c r="AB4" i="1" s="1"/>
  <c r="G4" i="1"/>
  <c r="Z4" i="1" s="1"/>
  <c r="F4" i="1"/>
  <c r="Y4" i="1" s="1"/>
  <c r="D4" i="1"/>
  <c r="W4" i="1" s="1"/>
  <c r="C4" i="1"/>
  <c r="V4" i="1" s="1"/>
  <c r="U18" i="1"/>
  <c r="Z20" i="1" l="1"/>
  <c r="Y20" i="1"/>
  <c r="Y12" i="1"/>
  <c r="AD7" i="1"/>
  <c r="AL19" i="1"/>
  <c r="AK11" i="1"/>
  <c r="AF18" i="1"/>
  <c r="AF10" i="1"/>
  <c r="AH6" i="1"/>
  <c r="AA6" i="1"/>
  <c r="Z12" i="1"/>
  <c r="Y8" i="1"/>
  <c r="V18" i="1"/>
  <c r="W14" i="1"/>
  <c r="U10" i="1"/>
  <c r="U6" i="1"/>
  <c r="AG13" i="1"/>
  <c r="AA17" i="1"/>
  <c r="AC9" i="1"/>
  <c r="X23" i="1"/>
  <c r="V21" i="1"/>
  <c r="W17" i="1"/>
  <c r="V9" i="1"/>
  <c r="AA5" i="1"/>
  <c r="U5" i="1"/>
  <c r="AA9" i="1"/>
  <c r="AB6" i="1"/>
  <c r="Z23" i="1"/>
  <c r="AH21" i="1"/>
  <c r="AI17" i="1"/>
  <c r="AH13" i="1"/>
  <c r="AI9" i="1"/>
  <c r="AD23" i="1"/>
  <c r="AD19" i="1"/>
  <c r="AF11" i="1"/>
  <c r="W21" i="1"/>
  <c r="V6" i="1"/>
  <c r="V17" i="1"/>
  <c r="V14" i="1"/>
  <c r="V10" i="1"/>
  <c r="V5" i="1"/>
  <c r="W5" i="1"/>
  <c r="AJ5" i="1"/>
  <c r="AL5" i="1"/>
  <c r="AK5" i="1"/>
  <c r="AL17" i="1"/>
  <c r="AL13" i="1"/>
  <c r="AL9" i="1"/>
  <c r="AG7" i="1"/>
  <c r="AC7" i="1"/>
  <c r="X5" i="1"/>
  <c r="X17" i="1"/>
  <c r="AG21" i="1"/>
  <c r="AA23" i="1"/>
  <c r="AA15" i="1"/>
  <c r="AB11" i="1"/>
  <c r="AA7" i="1"/>
  <c r="X13" i="1"/>
  <c r="W23" i="1"/>
  <c r="W19" i="1"/>
  <c r="W15" i="1"/>
  <c r="U11" i="1"/>
  <c r="U7" i="1"/>
  <c r="Y5" i="1"/>
  <c r="X14" i="1"/>
  <c r="V3" i="1"/>
  <c r="AO41" i="1" s="1"/>
  <c r="AE18" i="1"/>
  <c r="AG5" i="1"/>
  <c r="AH3" i="1"/>
  <c r="AO45" i="1" s="1"/>
  <c r="AP45" i="1" s="1"/>
  <c r="AH5" i="1"/>
  <c r="AE5" i="1"/>
  <c r="X9" i="1"/>
  <c r="Y3" i="1"/>
  <c r="AO42" i="1" s="1"/>
  <c r="W7" i="1"/>
  <c r="AE12" i="1"/>
  <c r="AI5" i="1"/>
  <c r="V15" i="1"/>
  <c r="Z9" i="1"/>
  <c r="AB15" i="1"/>
  <c r="AB7" i="1"/>
  <c r="AK6" i="1"/>
  <c r="AH12" i="1"/>
  <c r="AE10" i="1"/>
  <c r="AI23" i="1"/>
  <c r="AG19" i="1"/>
  <c r="AG15" i="1"/>
  <c r="AI7" i="1"/>
  <c r="AD17" i="1"/>
  <c r="AD13" i="1"/>
  <c r="AC20" i="1"/>
  <c r="AA12" i="1"/>
  <c r="AC8" i="1"/>
  <c r="AJ12" i="1"/>
  <c r="AI22" i="1"/>
  <c r="AI18" i="1"/>
  <c r="AH14" i="1"/>
  <c r="AH10" i="1"/>
  <c r="Y10" i="1"/>
  <c r="AF12" i="1"/>
  <c r="AE15" i="1"/>
  <c r="AB18" i="1"/>
  <c r="U21" i="1"/>
  <c r="U13" i="1"/>
  <c r="AN48" i="1"/>
  <c r="U3" i="3" s="1"/>
  <c r="AA8" i="1"/>
  <c r="AC18" i="1"/>
  <c r="AK20" i="1"/>
  <c r="AE20" i="1"/>
  <c r="AE9" i="1"/>
  <c r="X22" i="1"/>
  <c r="X18" i="1"/>
  <c r="Z14" i="1"/>
  <c r="Y6" i="1"/>
  <c r="V20" i="1"/>
  <c r="U16" i="1"/>
  <c r="AB20" i="1"/>
  <c r="AB12" i="1"/>
  <c r="AL23" i="1"/>
  <c r="AE8" i="1"/>
  <c r="Y21" i="1"/>
  <c r="AA20" i="1"/>
  <c r="AC12" i="1"/>
  <c r="AA22" i="1"/>
  <c r="AC14" i="1"/>
  <c r="AI13" i="1"/>
  <c r="AL18" i="1"/>
  <c r="AJ10" i="1"/>
  <c r="AF22" i="1"/>
  <c r="AD18" i="1"/>
  <c r="AD11" i="1"/>
  <c r="AF7" i="1"/>
  <c r="AC21" i="1"/>
  <c r="AB9" i="1"/>
  <c r="X20" i="1"/>
  <c r="Y16" i="1"/>
  <c r="AF13" i="1"/>
  <c r="AH17" i="1"/>
  <c r="AB8" i="1"/>
  <c r="AJ21" i="1"/>
  <c r="AJ9" i="1"/>
  <c r="AE13" i="1"/>
  <c r="AI21" i="1"/>
  <c r="AF15" i="1"/>
  <c r="AK21" i="1"/>
  <c r="AJ17" i="1"/>
  <c r="AJ13" i="1"/>
  <c r="AG20" i="1"/>
  <c r="AI16" i="1"/>
  <c r="AI8" i="1"/>
  <c r="AE22" i="1"/>
  <c r="AD15" i="1"/>
  <c r="Z21" i="1"/>
  <c r="U15" i="1"/>
  <c r="U12" i="1"/>
  <c r="U8" i="1"/>
  <c r="AF19" i="1"/>
  <c r="Y14" i="1"/>
  <c r="AK9" i="1"/>
  <c r="AH11" i="1"/>
  <c r="AE14" i="1"/>
  <c r="AE11" i="1"/>
  <c r="AC11" i="1"/>
  <c r="AG17" i="1"/>
  <c r="W20" i="1"/>
  <c r="AJ19" i="1"/>
  <c r="AK16" i="1"/>
  <c r="AE21" i="1"/>
  <c r="AB17" i="1"/>
  <c r="AC13" i="1"/>
  <c r="X12" i="1"/>
  <c r="X8" i="1"/>
  <c r="U22" i="1"/>
  <c r="W18" i="1"/>
  <c r="AA11" i="1"/>
  <c r="AE23" i="1"/>
  <c r="AE19" i="1"/>
  <c r="AC23" i="1"/>
  <c r="AL6" i="1"/>
  <c r="W16" i="1"/>
  <c r="AK19" i="1"/>
  <c r="AK8" i="1"/>
  <c r="AG10" i="1"/>
  <c r="AG6" i="1"/>
  <c r="AE17" i="1"/>
  <c r="AD10" i="1"/>
  <c r="AF6" i="1"/>
  <c r="AC16" i="1"/>
  <c r="Y23" i="1"/>
  <c r="X19" i="1"/>
  <c r="Z15" i="1"/>
  <c r="Z11" i="1"/>
  <c r="W6" i="1"/>
  <c r="AK3" i="1"/>
  <c r="AO46" i="1" s="1"/>
  <c r="AP46" i="1" s="1"/>
  <c r="AI12" i="1"/>
  <c r="AD5" i="1"/>
  <c r="AK14" i="1"/>
  <c r="AC15" i="1"/>
  <c r="Z6" i="1"/>
  <c r="Z19" i="1"/>
  <c r="Y22" i="1"/>
  <c r="AF8" i="1"/>
  <c r="AL20" i="1"/>
  <c r="AL7" i="1"/>
  <c r="AG22" i="1"/>
  <c r="AH15" i="1"/>
  <c r="AH8" i="1"/>
  <c r="AF17" i="1"/>
  <c r="AD14" i="1"/>
  <c r="AB19" i="1"/>
  <c r="AB16" i="1"/>
  <c r="AC10" i="1"/>
  <c r="X11" i="1"/>
  <c r="Z7" i="1"/>
  <c r="AE3" i="1"/>
  <c r="AO44" i="1" s="1"/>
  <c r="AL11" i="1"/>
  <c r="AD8" i="1"/>
  <c r="AL14" i="1"/>
  <c r="V8" i="1"/>
  <c r="AF5" i="1"/>
  <c r="AK17" i="1"/>
  <c r="AG11" i="1"/>
  <c r="AE7" i="1"/>
  <c r="AA18" i="1"/>
  <c r="AC6" i="1"/>
  <c r="X10" i="1"/>
  <c r="U20" i="1"/>
  <c r="V19" i="1"/>
  <c r="AJ11" i="1"/>
  <c r="AK13" i="1"/>
  <c r="AJ22" i="1"/>
  <c r="AL16" i="1"/>
  <c r="AJ6" i="1"/>
  <c r="AG18" i="1"/>
  <c r="AI14" i="1"/>
  <c r="AI10" i="1"/>
  <c r="AH7" i="1"/>
  <c r="AF16" i="1"/>
  <c r="AB21" i="1"/>
  <c r="AC17" i="1"/>
  <c r="Z17" i="1"/>
  <c r="Y13" i="1"/>
  <c r="U17" i="1"/>
  <c r="U14" i="1"/>
  <c r="W10" i="1"/>
  <c r="Z5" i="1"/>
  <c r="AK18" i="1"/>
  <c r="AB23" i="1"/>
  <c r="V12" i="1"/>
  <c r="AB14" i="1"/>
  <c r="AF23" i="1"/>
  <c r="AL12" i="1"/>
  <c r="AH23" i="1"/>
  <c r="AD22" i="1"/>
  <c r="AD12" i="1"/>
  <c r="AA14" i="1"/>
  <c r="V23" i="1"/>
  <c r="V16" i="1"/>
  <c r="W13" i="1"/>
  <c r="W9" i="1"/>
  <c r="AK15" i="1"/>
  <c r="AI6" i="1"/>
  <c r="AD21" i="1"/>
  <c r="Y19" i="1"/>
  <c r="AB3" i="1"/>
  <c r="AO43" i="1" s="1"/>
  <c r="AG23" i="1"/>
  <c r="AL21" i="1"/>
  <c r="W12" i="1"/>
  <c r="AJ18" i="1"/>
  <c r="AJ8" i="1"/>
  <c r="AI20" i="1"/>
  <c r="AG16" i="1"/>
  <c r="AH9" i="1"/>
  <c r="X15" i="1"/>
  <c r="V22" i="1"/>
  <c r="W8" i="1"/>
  <c r="AD16" i="1"/>
  <c r="AK10" i="1"/>
  <c r="AD6" i="1"/>
  <c r="U9" i="1"/>
  <c r="AL10" i="1"/>
  <c r="AE6" i="1"/>
  <c r="Y9" i="1"/>
  <c r="AD20" i="1"/>
  <c r="AG8" i="1"/>
  <c r="AC19" i="1"/>
  <c r="W22" i="1"/>
  <c r="W11" i="1"/>
  <c r="AL15" i="1"/>
  <c r="AA10" i="1"/>
  <c r="AK7" i="1"/>
  <c r="AK12" i="1"/>
  <c r="AF9" i="1"/>
  <c r="AF14" i="1"/>
  <c r="AA19" i="1"/>
  <c r="AG12" i="1"/>
  <c r="Z22" i="1"/>
  <c r="Y18" i="1"/>
  <c r="AB10" i="1"/>
  <c r="AK23" i="1"/>
  <c r="AL22" i="1"/>
  <c r="AJ20" i="1"/>
  <c r="AJ15" i="1"/>
  <c r="AH19" i="1"/>
  <c r="AI11" i="1"/>
  <c r="AF20" i="1"/>
  <c r="AE16" i="1"/>
  <c r="AD9" i="1"/>
  <c r="AB22" i="1"/>
  <c r="AB13" i="1"/>
  <c r="Z16" i="1"/>
  <c r="Y11" i="1"/>
  <c r="X7" i="1"/>
  <c r="V11" i="1"/>
  <c r="AK22" i="1"/>
  <c r="AI15" i="1"/>
  <c r="AJ7" i="1"/>
  <c r="AH20" i="1"/>
  <c r="AA21" i="1"/>
  <c r="Y17" i="1"/>
  <c r="Y15" i="1"/>
  <c r="Z8" i="1"/>
  <c r="Z13" i="1"/>
  <c r="U19" i="1"/>
  <c r="AJ14" i="1"/>
  <c r="AA16" i="1"/>
  <c r="AH22" i="1"/>
  <c r="AG9" i="1"/>
  <c r="AI19" i="1"/>
  <c r="Y7" i="1"/>
  <c r="AH18" i="1"/>
  <c r="AJ23" i="1"/>
  <c r="AJ16" i="1"/>
  <c r="AG14" i="1"/>
  <c r="AF21" i="1"/>
  <c r="V7" i="1"/>
  <c r="AH16" i="1"/>
  <c r="AA13" i="1"/>
  <c r="X21" i="1"/>
  <c r="U23" i="1"/>
  <c r="AC22" i="1"/>
  <c r="AL8" i="1"/>
  <c r="AP41" i="1" l="1"/>
  <c r="AP42" i="1"/>
  <c r="AP43" i="1"/>
  <c r="AP44" i="1"/>
</calcChain>
</file>

<file path=xl/sharedStrings.xml><?xml version="1.0" encoding="utf-8"?>
<sst xmlns="http://schemas.openxmlformats.org/spreadsheetml/2006/main" count="65" uniqueCount="52">
  <si>
    <t>Input (x)</t>
  </si>
  <si>
    <t>Output (y)</t>
  </si>
  <si>
    <t>When to Use Stratification</t>
  </si>
  <si>
    <t>Before collecting data.</t>
  </si>
  <si>
    <t>When data come from several sources or conditions, such as shifts, days of the week, suppliers or population groups.</t>
  </si>
  <si>
    <t>When data analysis may require separating different sources or conditions.</t>
  </si>
  <si>
    <t>u</t>
  </si>
  <si>
    <t>v</t>
  </si>
  <si>
    <t>n</t>
  </si>
  <si>
    <t>x</t>
  </si>
  <si>
    <t>m</t>
  </si>
  <si>
    <t>Process 1</t>
  </si>
  <si>
    <t>Process 2</t>
  </si>
  <si>
    <t>Process 3</t>
  </si>
  <si>
    <t>Process 4</t>
  </si>
  <si>
    <t>Process 5</t>
  </si>
  <si>
    <t>Process 6</t>
  </si>
  <si>
    <t>Navigation</t>
  </si>
  <si>
    <t>Title</t>
  </si>
  <si>
    <t>Content</t>
  </si>
  <si>
    <t>Customization difficulty (1-3)</t>
  </si>
  <si>
    <t>Explanation of sheets</t>
  </si>
  <si>
    <t>How to customize</t>
  </si>
  <si>
    <t>1)</t>
  </si>
  <si>
    <t>2)</t>
  </si>
  <si>
    <t>3)</t>
  </si>
  <si>
    <t>4)</t>
  </si>
  <si>
    <t>5)</t>
  </si>
  <si>
    <t>6)</t>
  </si>
  <si>
    <t>7)</t>
  </si>
  <si>
    <t>Stratification Diagram</t>
  </si>
  <si>
    <t>Stratification Analysis</t>
  </si>
  <si>
    <t xml:space="preserve">Stratification is a technique used in combination with other data analysis tools. When data from a variety of sources or categories have been lumped together, </t>
  </si>
  <si>
    <t>the meaning of the data can be impossible to see. This technique separates the data so that patterns can be seen.</t>
  </si>
  <si>
    <t>Now you have groups of a certain process for different sources</t>
  </si>
  <si>
    <t>From Stratification diagram you can make visual comparison between different sources of data easily</t>
  </si>
  <si>
    <t xml:space="preserve">Record your input data in different sources and record in (X) value as input </t>
  </si>
  <si>
    <t>Select your interest of data from different sources</t>
  </si>
  <si>
    <t>An example for stratification data analysis like Shifts, Days, Departments, Equipments, Suppliers and so on</t>
  </si>
  <si>
    <t>Record your measurable output (Y) for each source and record in Output column</t>
  </si>
  <si>
    <t>Stratification diagram will be drawn according to your dataset</t>
  </si>
  <si>
    <t>Related To Online Templates</t>
  </si>
  <si>
    <t>Our templates is compatible with online service but some templates that including macros feature is still not supported with Excel Online</t>
  </si>
  <si>
    <t>Here is some hints that replace our macros in case of using Online Template</t>
  </si>
  <si>
    <t>Referesh / Update Data</t>
  </si>
  <si>
    <r>
      <t xml:space="preserve">Some of our templates include </t>
    </r>
    <r>
      <rPr>
        <b/>
        <sz val="10"/>
        <color theme="1"/>
        <rFont val="Arial"/>
        <family val="2"/>
      </rPr>
      <t xml:space="preserve">Referesh/Update data </t>
    </r>
    <r>
      <rPr>
        <sz val="10"/>
        <color theme="1"/>
        <rFont val="Arial"/>
        <family val="2"/>
      </rPr>
      <t>macro button that can be replaced with Referesh All tool in Excel Online ribbon</t>
    </r>
  </si>
  <si>
    <t>Full Screen</t>
  </si>
  <si>
    <r>
      <t xml:space="preserve">Some of our templates have </t>
    </r>
    <r>
      <rPr>
        <b/>
        <sz val="10"/>
        <color theme="1"/>
        <rFont val="Arial"/>
        <family val="2"/>
      </rPr>
      <t xml:space="preserve">Full Screen </t>
    </r>
    <r>
      <rPr>
        <sz val="10"/>
        <color theme="1"/>
        <rFont val="Arial"/>
        <family val="2"/>
      </rPr>
      <t xml:space="preserve">macro button that can be replaced with the itself web browser full screen tool </t>
    </r>
  </si>
  <si>
    <t>Other Macros / Buttons</t>
  </si>
  <si>
    <r>
      <t xml:space="preserve">Other macros is applied on less than ~15% of our templats can be overcome by transferring to Desktop App </t>
    </r>
    <r>
      <rPr>
        <b/>
        <sz val="10"/>
        <color theme="1"/>
        <rFont val="Arial"/>
        <family val="2"/>
      </rPr>
      <t>"Open in Desktop App"</t>
    </r>
    <r>
      <rPr>
        <sz val="10"/>
        <color theme="1"/>
        <rFont val="Arial"/>
        <family val="2"/>
      </rPr>
      <t xml:space="preserve"> button</t>
    </r>
  </si>
  <si>
    <t>Open in Desktop App</t>
  </si>
  <si>
    <t>To open online template using Desktop App be sure that you signed in to your Microsoft account / Onedrive 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</si>
</sst>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5">
    <font>
      <sz val="10"/>
      <name val="Arial"/>
    </font>
    <font>
      <sz val="8"/>
      <name val="Arial"/>
      <family val="2"/>
    </font>
    <font>
      <sz val="8"/>
      <name val="Verdana"/>
      <family val="2"/>
    </font>
    <font>
      <u/>
      <sz val="10"/>
      <color indexed="12"/>
      <name val="Arial"/>
      <family val="2"/>
    </font>
    <font>
      <sz val="8"/>
      <color indexed="14"/>
      <name val="StarBats"/>
      <charset val="2"/>
    </font>
    <font>
      <sz val="8"/>
      <color indexed="18"/>
      <name val="StarBats"/>
      <charset val="2"/>
    </font>
    <font>
      <sz val="8"/>
      <color indexed="17"/>
      <name val="StarBats"/>
      <charset val="2"/>
    </font>
    <font>
      <sz val="8"/>
      <color indexed="10"/>
      <name val="StarBats"/>
      <charset val="2"/>
    </font>
    <font>
      <sz val="8"/>
      <color indexed="61"/>
      <name val="StarBats"/>
      <charset val="2"/>
    </font>
    <font>
      <sz val="8"/>
      <color indexed="16"/>
      <name val="StarBats"/>
      <charset val="2"/>
    </font>
    <font>
      <sz val="10"/>
      <name val="Arial"/>
      <family val="2"/>
    </font>
    <font>
      <b/>
      <sz val="10"/>
      <color theme="4"/>
      <name val="Arial"/>
      <family val="2"/>
    </font>
    <font>
      <b/>
      <sz val="10"/>
      <color indexed="53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10"/>
      <color indexed="18"/>
      <name val="Wingdings"/>
      <charset val="2"/>
    </font>
    <font>
      <sz val="10"/>
      <color indexed="14"/>
      <name val="Wingdings"/>
      <charset val="2"/>
    </font>
    <font>
      <sz val="10"/>
      <color indexed="17"/>
      <name val="Wingdings"/>
      <charset val="2"/>
    </font>
    <font>
      <sz val="10"/>
      <color indexed="10"/>
      <name val="Wingdings"/>
      <charset val="2"/>
    </font>
    <font>
      <sz val="10"/>
      <color indexed="61"/>
      <name val="Wingdings"/>
      <charset val="2"/>
    </font>
    <font>
      <sz val="10"/>
      <color indexed="16"/>
      <name val="Wingdings"/>
      <charset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u/>
      <sz val="10"/>
      <color theme="10"/>
      <name val="Arial"/>
      <family val="2"/>
    </font>
    <font>
      <u/>
      <sz val="10"/>
      <color theme="0"/>
      <name val="Arial"/>
      <family val="2"/>
    </font>
    <font>
      <i/>
      <u/>
      <sz val="10"/>
      <color theme="1"/>
      <name val="Arial"/>
      <family val="2"/>
    </font>
    <font>
      <sz val="12"/>
      <color theme="0"/>
      <name val="Arial"/>
      <family val="2"/>
    </font>
    <font>
      <b/>
      <sz val="10"/>
      <color theme="0" tint="-0.34998626667073579"/>
      <name val="Arial"/>
      <family val="2"/>
    </font>
    <font>
      <sz val="10"/>
      <color theme="0" tint="-0.34998626667073579"/>
      <name val="Arial"/>
      <family val="2"/>
    </font>
    <font>
      <b/>
      <u/>
      <sz val="10"/>
      <color theme="1"/>
      <name val="Arial"/>
      <family val="2"/>
    </font>
    <font>
      <b/>
      <sz val="11"/>
      <color theme="1" tint="0.34998626667073579"/>
      <name val="Arial"/>
      <family val="2"/>
    </font>
    <font>
      <b/>
      <sz val="14"/>
      <color theme="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50B47F"/>
        <bgColor indexed="64"/>
      </patternFill>
    </fill>
    <fill>
      <patternFill patternType="solid">
        <fgColor rgb="FF8FCFAD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/>
      <top style="medium">
        <color theme="0" tint="-0.149967955565050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14" fillId="0" borderId="0"/>
    <xf numFmtId="0" fontId="25" fillId="0" borderId="0" applyNumberForma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3" fillId="0" borderId="0" xfId="1" applyBorder="1" applyAlignment="1" applyProtection="1"/>
    <xf numFmtId="0" fontId="22" fillId="0" borderId="0" xfId="2" applyFont="1"/>
    <xf numFmtId="0" fontId="14" fillId="0" borderId="0" xfId="3"/>
    <xf numFmtId="0" fontId="23" fillId="3" borderId="0" xfId="2" applyFont="1" applyFill="1"/>
    <xf numFmtId="0" fontId="24" fillId="0" borderId="0" xfId="3" applyFont="1"/>
    <xf numFmtId="0" fontId="26" fillId="3" borderId="0" xfId="4" applyFont="1" applyFill="1"/>
    <xf numFmtId="0" fontId="27" fillId="0" borderId="0" xfId="3" applyFont="1" applyAlignment="1">
      <alignment horizontal="right"/>
    </xf>
    <xf numFmtId="0" fontId="28" fillId="3" borderId="0" xfId="2" applyFont="1" applyFill="1"/>
    <xf numFmtId="0" fontId="29" fillId="0" borderId="0" xfId="3" quotePrefix="1" applyFont="1" applyAlignment="1">
      <alignment horizontal="right"/>
    </xf>
    <xf numFmtId="0" fontId="30" fillId="0" borderId="0" xfId="3" applyFont="1"/>
    <xf numFmtId="0" fontId="31" fillId="0" borderId="0" xfId="3" quotePrefix="1" applyFont="1" applyAlignment="1">
      <alignment horizontal="right"/>
    </xf>
    <xf numFmtId="0" fontId="10" fillId="0" borderId="0" xfId="3" applyFont="1"/>
    <xf numFmtId="0" fontId="13" fillId="0" borderId="0" xfId="3" quotePrefix="1" applyFont="1" applyAlignment="1">
      <alignment horizontal="right"/>
    </xf>
    <xf numFmtId="0" fontId="24" fillId="0" borderId="0" xfId="3" quotePrefix="1" applyFont="1" applyAlignment="1">
      <alignment horizontal="right"/>
    </xf>
    <xf numFmtId="0" fontId="10" fillId="0" borderId="2" xfId="0" applyFont="1" applyBorder="1" applyAlignment="1" applyProtection="1">
      <alignment horizontal="center" vertical="center"/>
      <protection locked="0"/>
    </xf>
    <xf numFmtId="0" fontId="10" fillId="4" borderId="0" xfId="0" applyFont="1" applyFill="1" applyAlignment="1" applyProtection="1">
      <alignment horizontal="center"/>
      <protection locked="0"/>
    </xf>
    <xf numFmtId="0" fontId="10" fillId="0" borderId="0" xfId="0" applyFont="1"/>
    <xf numFmtId="0" fontId="12" fillId="0" borderId="0" xfId="0" applyFont="1" applyAlignment="1">
      <alignment vertical="center"/>
    </xf>
    <xf numFmtId="0" fontId="10" fillId="2" borderId="0" xfId="0" applyFont="1" applyFill="1"/>
    <xf numFmtId="0" fontId="15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0" fillId="0" borderId="0" xfId="0" applyFont="1" applyAlignment="1">
      <alignment vertical="center" wrapText="1"/>
    </xf>
    <xf numFmtId="0" fontId="17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1" fillId="2" borderId="0" xfId="0" applyFont="1" applyFill="1"/>
    <xf numFmtId="0" fontId="26" fillId="3" borderId="0" xfId="1" applyFont="1" applyFill="1" applyAlignment="1" applyProtection="1"/>
    <xf numFmtId="0" fontId="24" fillId="0" borderId="0" xfId="0" applyFont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left"/>
    </xf>
    <xf numFmtId="0" fontId="14" fillId="0" borderId="0" xfId="0" applyFont="1"/>
    <xf numFmtId="0" fontId="24" fillId="0" borderId="0" xfId="0" applyFont="1" applyAlignment="1">
      <alignment horizontal="right"/>
    </xf>
    <xf numFmtId="0" fontId="25" fillId="0" borderId="0" xfId="4"/>
    <xf numFmtId="0" fontId="32" fillId="0" borderId="0" xfId="0" applyFont="1" applyAlignment="1">
      <alignment horizontal="center"/>
    </xf>
    <xf numFmtId="0" fontId="33" fillId="3" borderId="3" xfId="0" applyFont="1" applyFill="1" applyBorder="1" applyAlignment="1">
      <alignment horizontal="center"/>
    </xf>
    <xf numFmtId="0" fontId="10" fillId="4" borderId="0" xfId="0" applyFont="1" applyFill="1" applyAlignment="1" applyProtection="1">
      <alignment horizontal="center"/>
      <protection locked="0"/>
    </xf>
    <xf numFmtId="0" fontId="10" fillId="0" borderId="4" xfId="0" applyFont="1" applyBorder="1" applyAlignment="1">
      <alignment horizontal="center" vertical="center"/>
    </xf>
    <xf numFmtId="0" fontId="3" fillId="0" borderId="0" xfId="1" applyBorder="1" applyAlignment="1" applyProtection="1">
      <alignment horizontal="center"/>
    </xf>
    <xf numFmtId="0" fontId="10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</cellXfs>
  <cellStyles count="5">
    <cellStyle name="Hyperlink" xfId="1" builtinId="8"/>
    <cellStyle name="Hyperlink 2" xfId="4" xr:uid="{6689DF63-D495-4F18-8909-9CEC3200D8B9}"/>
    <cellStyle name="Normal" xfId="0" builtinId="0"/>
    <cellStyle name="Normal 2" xfId="2" xr:uid="{8E576414-1791-4CC6-8E06-566C396AE32A}"/>
    <cellStyle name="Normal 2 2" xfId="3" xr:uid="{EFCA3395-0B21-4FFE-A2C9-C616BE187BDB}"/>
  </cellStyles>
  <dxfs count="0"/>
  <tableStyles count="1" defaultTableStyle="TableStyleMedium2" defaultPivotStyle="PivotStyleLight16">
    <tableStyle name="Invisible" pivot="0" table="0" count="0" xr9:uid="{4DC0D045-9089-4DE9-B4B6-DE475550587C}"/>
  </tableStyles>
  <colors>
    <mruColors>
      <color rgb="FF50B47F"/>
      <color rgb="FF8FCF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944949333153483E-2"/>
          <c:y val="2.9443627238902828E-2"/>
          <c:w val="0.87490734964339312"/>
          <c:h val="0.84794366050778303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'Helper sheet'!$V$3</c:f>
              <c:strCache>
                <c:ptCount val="1"/>
                <c:pt idx="0">
                  <c:v>Process 1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7030A0"/>
              </a:solidFill>
              <a:ln>
                <a:solidFill>
                  <a:srgbClr val="7030A0"/>
                </a:solidFill>
                <a:prstDash val="solid"/>
              </a:ln>
            </c:spPr>
          </c:marker>
          <c:xVal>
            <c:numRef>
              <c:f>'Helper sheet'!$V$5:$V$23</c:f>
              <c:numCache>
                <c:formatCode>General</c:formatCode>
                <c:ptCount val="19"/>
                <c:pt idx="0">
                  <c:v>0.45</c:v>
                </c:pt>
                <c:pt idx="1">
                  <c:v>0.27</c:v>
                </c:pt>
                <c:pt idx="2">
                  <c:v>0.26</c:v>
                </c:pt>
                <c:pt idx="3">
                  <c:v>0.1</c:v>
                </c:pt>
                <c:pt idx="4">
                  <c:v>0.24</c:v>
                </c:pt>
                <c:pt idx="5">
                  <c:v>0.4</c:v>
                </c:pt>
                <c:pt idx="6">
                  <c:v>0.22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xVal>
          <c:yVal>
            <c:numRef>
              <c:f>'Helper sheet'!$W$5:$W$23</c:f>
              <c:numCache>
                <c:formatCode>General</c:formatCode>
                <c:ptCount val="19"/>
                <c:pt idx="0">
                  <c:v>99.3</c:v>
                </c:pt>
                <c:pt idx="1">
                  <c:v>99</c:v>
                </c:pt>
                <c:pt idx="2">
                  <c:v>99.75</c:v>
                </c:pt>
                <c:pt idx="3">
                  <c:v>99.45</c:v>
                </c:pt>
                <c:pt idx="4">
                  <c:v>99.66</c:v>
                </c:pt>
                <c:pt idx="5">
                  <c:v>99.45</c:v>
                </c:pt>
                <c:pt idx="6">
                  <c:v>98.8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45-4EB5-93C1-B539AA143858}"/>
            </c:ext>
          </c:extLst>
        </c:ser>
        <c:ser>
          <c:idx val="1"/>
          <c:order val="1"/>
          <c:tx>
            <c:strRef>
              <c:f>'Helper sheet'!$Y$3</c:f>
              <c:strCache>
                <c:ptCount val="1"/>
                <c:pt idx="0">
                  <c:v>Process 2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6">
                  <a:lumMod val="5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  <a:prstDash val="solid"/>
              </a:ln>
            </c:spPr>
          </c:marker>
          <c:xVal>
            <c:numRef>
              <c:f>'Helper sheet'!$Y$5:$Y$23</c:f>
              <c:numCache>
                <c:formatCode>General</c:formatCode>
                <c:ptCount val="19"/>
                <c:pt idx="0">
                  <c:v>0.6</c:v>
                </c:pt>
                <c:pt idx="1">
                  <c:v>0.63</c:v>
                </c:pt>
                <c:pt idx="2">
                  <c:v>0.21</c:v>
                </c:pt>
                <c:pt idx="3">
                  <c:v>0.28999999999999998</c:v>
                </c:pt>
                <c:pt idx="4">
                  <c:v>0.34</c:v>
                </c:pt>
                <c:pt idx="5">
                  <c:v>0.24</c:v>
                </c:pt>
                <c:pt idx="6">
                  <c:v>0.25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xVal>
          <c:yVal>
            <c:numRef>
              <c:f>'Helper sheet'!$Z$5:$Z$23</c:f>
              <c:numCache>
                <c:formatCode>General</c:formatCode>
                <c:ptCount val="19"/>
                <c:pt idx="0">
                  <c:v>98.3</c:v>
                </c:pt>
                <c:pt idx="1">
                  <c:v>99.54</c:v>
                </c:pt>
                <c:pt idx="2">
                  <c:v>99.1</c:v>
                </c:pt>
                <c:pt idx="3">
                  <c:v>99.2</c:v>
                </c:pt>
                <c:pt idx="4">
                  <c:v>99.75</c:v>
                </c:pt>
                <c:pt idx="5">
                  <c:v>98.9</c:v>
                </c:pt>
                <c:pt idx="6">
                  <c:v>98.99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45-4EB5-93C1-B539AA143858}"/>
            </c:ext>
          </c:extLst>
        </c:ser>
        <c:ser>
          <c:idx val="2"/>
          <c:order val="2"/>
          <c:tx>
            <c:strRef>
              <c:f>'Helper sheet'!$AB$3</c:f>
              <c:strCache>
                <c:ptCount val="1"/>
                <c:pt idx="0">
                  <c:v>Process 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50B47F"/>
              </a:solidFill>
              <a:ln>
                <a:solidFill>
                  <a:srgbClr val="50B47F"/>
                </a:solidFill>
                <a:prstDash val="solid"/>
              </a:ln>
            </c:spPr>
          </c:marker>
          <c:xVal>
            <c:numRef>
              <c:f>'Helper sheet'!$AB$5:$AB$23</c:f>
              <c:numCache>
                <c:formatCode>General</c:formatCode>
                <c:ptCount val="19"/>
                <c:pt idx="0">
                  <c:v>0.5</c:v>
                </c:pt>
                <c:pt idx="1">
                  <c:v>0.4</c:v>
                </c:pt>
                <c:pt idx="2">
                  <c:v>0.45</c:v>
                </c:pt>
                <c:pt idx="3">
                  <c:v>0.34</c:v>
                </c:pt>
                <c:pt idx="4">
                  <c:v>0.28999999999999998</c:v>
                </c:pt>
                <c:pt idx="5">
                  <c:v>0.21</c:v>
                </c:pt>
                <c:pt idx="6">
                  <c:v>0.31</c:v>
                </c:pt>
                <c:pt idx="7">
                  <c:v>0.22</c:v>
                </c:pt>
                <c:pt idx="8">
                  <c:v>0.13</c:v>
                </c:pt>
                <c:pt idx="9">
                  <c:v>0.11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xVal>
          <c:yVal>
            <c:numRef>
              <c:f>'Helper sheet'!$AC$5:$AC$23</c:f>
              <c:numCache>
                <c:formatCode>General</c:formatCode>
                <c:ptCount val="19"/>
                <c:pt idx="0">
                  <c:v>98.25</c:v>
                </c:pt>
                <c:pt idx="1">
                  <c:v>98.35</c:v>
                </c:pt>
                <c:pt idx="2">
                  <c:v>98.6</c:v>
                </c:pt>
                <c:pt idx="3">
                  <c:v>98.65</c:v>
                </c:pt>
                <c:pt idx="4">
                  <c:v>98.75</c:v>
                </c:pt>
                <c:pt idx="5">
                  <c:v>98.75</c:v>
                </c:pt>
                <c:pt idx="6">
                  <c:v>98.85</c:v>
                </c:pt>
                <c:pt idx="7">
                  <c:v>98.85</c:v>
                </c:pt>
                <c:pt idx="8">
                  <c:v>98.95</c:v>
                </c:pt>
                <c:pt idx="9">
                  <c:v>99.05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45-4EB5-93C1-B539AA143858}"/>
            </c:ext>
          </c:extLst>
        </c:ser>
        <c:ser>
          <c:idx val="3"/>
          <c:order val="3"/>
          <c:tx>
            <c:strRef>
              <c:f>'Helper sheet'!$AE$3</c:f>
              <c:strCache>
                <c:ptCount val="1"/>
                <c:pt idx="0">
                  <c:v>Process 4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'Helper sheet'!$AE$5:$AE$23</c:f>
              <c:numCache>
                <c:formatCode>General</c:formatCode>
                <c:ptCount val="19"/>
                <c:pt idx="0">
                  <c:v>0.5</c:v>
                </c:pt>
                <c:pt idx="1">
                  <c:v>0.45</c:v>
                </c:pt>
                <c:pt idx="2">
                  <c:v>0.3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xVal>
          <c:yVal>
            <c:numRef>
              <c:f>'Helper sheet'!$AF$5:$AF$23</c:f>
              <c:numCache>
                <c:formatCode>General</c:formatCode>
                <c:ptCount val="19"/>
                <c:pt idx="0">
                  <c:v>99.4</c:v>
                </c:pt>
                <c:pt idx="1">
                  <c:v>99.1</c:v>
                </c:pt>
                <c:pt idx="2">
                  <c:v>99.2</c:v>
                </c:pt>
                <c:pt idx="3">
                  <c:v>99.45</c:v>
                </c:pt>
                <c:pt idx="4">
                  <c:v>98.8</c:v>
                </c:pt>
                <c:pt idx="5">
                  <c:v>98.3</c:v>
                </c:pt>
                <c:pt idx="6">
                  <c:v>99.54</c:v>
                </c:pt>
                <c:pt idx="7">
                  <c:v>99.75</c:v>
                </c:pt>
                <c:pt idx="8">
                  <c:v>98.9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45-4EB5-93C1-B539AA143858}"/>
            </c:ext>
          </c:extLst>
        </c:ser>
        <c:ser>
          <c:idx val="4"/>
          <c:order val="4"/>
          <c:tx>
            <c:strRef>
              <c:f>'Helper sheet'!$AH$3</c:f>
              <c:strCache>
                <c:ptCount val="1"/>
                <c:pt idx="0">
                  <c:v>Process 5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xVal>
            <c:numRef>
              <c:f>'Helper sheet'!$AH$5:$AH$23</c:f>
              <c:numCache>
                <c:formatCode>General</c:formatCode>
                <c:ptCount val="19"/>
                <c:pt idx="0">
                  <c:v>0.5</c:v>
                </c:pt>
                <c:pt idx="1">
                  <c:v>0.33</c:v>
                </c:pt>
                <c:pt idx="2">
                  <c:v>0.47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xVal>
          <c:yVal>
            <c:numRef>
              <c:f>'Helper sheet'!$AI$5:$AI$23</c:f>
              <c:numCache>
                <c:formatCode>General</c:formatCode>
                <c:ptCount val="19"/>
                <c:pt idx="0">
                  <c:v>99.4</c:v>
                </c:pt>
                <c:pt idx="1">
                  <c:v>98.4</c:v>
                </c:pt>
                <c:pt idx="2">
                  <c:v>99.9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45-4EB5-93C1-B539AA143858}"/>
            </c:ext>
          </c:extLst>
        </c:ser>
        <c:ser>
          <c:idx val="5"/>
          <c:order val="5"/>
          <c:tx>
            <c:strRef>
              <c:f>'Helper sheet'!$AK$3</c:f>
              <c:strCache>
                <c:ptCount val="1"/>
                <c:pt idx="0">
                  <c:v>Process 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  <a:prstDash val="solid"/>
              </a:ln>
            </c:spPr>
          </c:marker>
          <c:xVal>
            <c:numRef>
              <c:f>'Helper sheet'!$AK$5:$AK$23</c:f>
              <c:numCache>
                <c:formatCode>General</c:formatCode>
                <c:ptCount val="19"/>
                <c:pt idx="0">
                  <c:v>0.45</c:v>
                </c:pt>
                <c:pt idx="1">
                  <c:v>0.57999999999999996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xVal>
          <c:yVal>
            <c:numRef>
              <c:f>'Helper sheet'!$AL$5:$AL$23</c:f>
              <c:numCache>
                <c:formatCode>General</c:formatCode>
                <c:ptCount val="19"/>
                <c:pt idx="0">
                  <c:v>98.9</c:v>
                </c:pt>
                <c:pt idx="1">
                  <c:v>99.2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C45-4EB5-93C1-B539AA143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433856"/>
        <c:axId val="1"/>
      </c:scatterChart>
      <c:valAx>
        <c:axId val="1789433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8943385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Output (y) vs. Input (x) by Category</a:t>
            </a:r>
          </a:p>
        </c:rich>
      </c:tx>
      <c:layout>
        <c:manualLayout>
          <c:xMode val="edge"/>
          <c:yMode val="edge"/>
          <c:x val="0.35714285714285715"/>
          <c:y val="4.01606425702811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34693877551021"/>
          <c:y val="0.20080400039219531"/>
          <c:w val="0.64540816326530615"/>
          <c:h val="0.63454064123933718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'Helper sheet'!$V$3</c:f>
              <c:strCache>
                <c:ptCount val="1"/>
                <c:pt idx="0">
                  <c:v>Process 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'Helper sheet'!$V$5:$V$23</c:f>
              <c:numCache>
                <c:formatCode>General</c:formatCode>
                <c:ptCount val="19"/>
                <c:pt idx="0">
                  <c:v>0.45</c:v>
                </c:pt>
                <c:pt idx="1">
                  <c:v>0.27</c:v>
                </c:pt>
                <c:pt idx="2">
                  <c:v>0.26</c:v>
                </c:pt>
                <c:pt idx="3">
                  <c:v>0.1</c:v>
                </c:pt>
                <c:pt idx="4">
                  <c:v>0.24</c:v>
                </c:pt>
                <c:pt idx="5">
                  <c:v>0.4</c:v>
                </c:pt>
                <c:pt idx="6">
                  <c:v>0.22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xVal>
          <c:yVal>
            <c:numRef>
              <c:f>'Helper sheet'!$W$5:$W$23</c:f>
              <c:numCache>
                <c:formatCode>General</c:formatCode>
                <c:ptCount val="19"/>
                <c:pt idx="0">
                  <c:v>99.3</c:v>
                </c:pt>
                <c:pt idx="1">
                  <c:v>99</c:v>
                </c:pt>
                <c:pt idx="2">
                  <c:v>99.75</c:v>
                </c:pt>
                <c:pt idx="3">
                  <c:v>99.45</c:v>
                </c:pt>
                <c:pt idx="4">
                  <c:v>99.66</c:v>
                </c:pt>
                <c:pt idx="5">
                  <c:v>99.45</c:v>
                </c:pt>
                <c:pt idx="6">
                  <c:v>98.8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2C-4379-A44A-A2997783F1F2}"/>
            </c:ext>
          </c:extLst>
        </c:ser>
        <c:ser>
          <c:idx val="1"/>
          <c:order val="1"/>
          <c:tx>
            <c:strRef>
              <c:f>'Helper sheet'!$Y$3</c:f>
              <c:strCache>
                <c:ptCount val="1"/>
                <c:pt idx="0">
                  <c:v>Process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'Helper sheet'!$Y$5:$Y$23</c:f>
              <c:numCache>
                <c:formatCode>General</c:formatCode>
                <c:ptCount val="19"/>
                <c:pt idx="0">
                  <c:v>0.6</c:v>
                </c:pt>
                <c:pt idx="1">
                  <c:v>0.63</c:v>
                </c:pt>
                <c:pt idx="2">
                  <c:v>0.21</c:v>
                </c:pt>
                <c:pt idx="3">
                  <c:v>0.28999999999999998</c:v>
                </c:pt>
                <c:pt idx="4">
                  <c:v>0.34</c:v>
                </c:pt>
                <c:pt idx="5">
                  <c:v>0.24</c:v>
                </c:pt>
                <c:pt idx="6">
                  <c:v>0.25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xVal>
          <c:yVal>
            <c:numRef>
              <c:f>'Helper sheet'!$Z$5:$Z$23</c:f>
              <c:numCache>
                <c:formatCode>General</c:formatCode>
                <c:ptCount val="19"/>
                <c:pt idx="0">
                  <c:v>98.3</c:v>
                </c:pt>
                <c:pt idx="1">
                  <c:v>99.54</c:v>
                </c:pt>
                <c:pt idx="2">
                  <c:v>99.1</c:v>
                </c:pt>
                <c:pt idx="3">
                  <c:v>99.2</c:v>
                </c:pt>
                <c:pt idx="4">
                  <c:v>99.75</c:v>
                </c:pt>
                <c:pt idx="5">
                  <c:v>98.9</c:v>
                </c:pt>
                <c:pt idx="6">
                  <c:v>98.99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2C-4379-A44A-A2997783F1F2}"/>
            </c:ext>
          </c:extLst>
        </c:ser>
        <c:ser>
          <c:idx val="2"/>
          <c:order val="2"/>
          <c:tx>
            <c:strRef>
              <c:f>'Helper sheet'!$AB$3</c:f>
              <c:strCache>
                <c:ptCount val="1"/>
                <c:pt idx="0">
                  <c:v>Process 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'Helper sheet'!$AB$5:$AB$23</c:f>
              <c:numCache>
                <c:formatCode>General</c:formatCode>
                <c:ptCount val="19"/>
                <c:pt idx="0">
                  <c:v>0.5</c:v>
                </c:pt>
                <c:pt idx="1">
                  <c:v>0.4</c:v>
                </c:pt>
                <c:pt idx="2">
                  <c:v>0.45</c:v>
                </c:pt>
                <c:pt idx="3">
                  <c:v>0.34</c:v>
                </c:pt>
                <c:pt idx="4">
                  <c:v>0.28999999999999998</c:v>
                </c:pt>
                <c:pt idx="5">
                  <c:v>0.21</c:v>
                </c:pt>
                <c:pt idx="6">
                  <c:v>0.31</c:v>
                </c:pt>
                <c:pt idx="7">
                  <c:v>0.22</c:v>
                </c:pt>
                <c:pt idx="8">
                  <c:v>0.13</c:v>
                </c:pt>
                <c:pt idx="9">
                  <c:v>0.11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xVal>
          <c:yVal>
            <c:numRef>
              <c:f>'Helper sheet'!$AC$5:$AC$23</c:f>
              <c:numCache>
                <c:formatCode>General</c:formatCode>
                <c:ptCount val="19"/>
                <c:pt idx="0">
                  <c:v>98.25</c:v>
                </c:pt>
                <c:pt idx="1">
                  <c:v>98.35</c:v>
                </c:pt>
                <c:pt idx="2">
                  <c:v>98.6</c:v>
                </c:pt>
                <c:pt idx="3">
                  <c:v>98.65</c:v>
                </c:pt>
                <c:pt idx="4">
                  <c:v>98.75</c:v>
                </c:pt>
                <c:pt idx="5">
                  <c:v>98.75</c:v>
                </c:pt>
                <c:pt idx="6">
                  <c:v>98.85</c:v>
                </c:pt>
                <c:pt idx="7">
                  <c:v>98.85</c:v>
                </c:pt>
                <c:pt idx="8">
                  <c:v>98.95</c:v>
                </c:pt>
                <c:pt idx="9">
                  <c:v>99.05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2C-4379-A44A-A2997783F1F2}"/>
            </c:ext>
          </c:extLst>
        </c:ser>
        <c:ser>
          <c:idx val="3"/>
          <c:order val="3"/>
          <c:tx>
            <c:strRef>
              <c:f>'Helper sheet'!$AE$3</c:f>
              <c:strCache>
                <c:ptCount val="1"/>
                <c:pt idx="0">
                  <c:v>Process 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'Helper sheet'!$AE$5:$AE$23</c:f>
              <c:numCache>
                <c:formatCode>General</c:formatCode>
                <c:ptCount val="19"/>
                <c:pt idx="0">
                  <c:v>0.5</c:v>
                </c:pt>
                <c:pt idx="1">
                  <c:v>0.45</c:v>
                </c:pt>
                <c:pt idx="2">
                  <c:v>0.3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xVal>
          <c:yVal>
            <c:numRef>
              <c:f>'Helper sheet'!$AF$5:$AF$23</c:f>
              <c:numCache>
                <c:formatCode>General</c:formatCode>
                <c:ptCount val="19"/>
                <c:pt idx="0">
                  <c:v>99.4</c:v>
                </c:pt>
                <c:pt idx="1">
                  <c:v>99.1</c:v>
                </c:pt>
                <c:pt idx="2">
                  <c:v>99.2</c:v>
                </c:pt>
                <c:pt idx="3">
                  <c:v>99.45</c:v>
                </c:pt>
                <c:pt idx="4">
                  <c:v>98.8</c:v>
                </c:pt>
                <c:pt idx="5">
                  <c:v>98.3</c:v>
                </c:pt>
                <c:pt idx="6">
                  <c:v>99.54</c:v>
                </c:pt>
                <c:pt idx="7">
                  <c:v>99.75</c:v>
                </c:pt>
                <c:pt idx="8">
                  <c:v>98.9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12C-4379-A44A-A2997783F1F2}"/>
            </c:ext>
          </c:extLst>
        </c:ser>
        <c:ser>
          <c:idx val="4"/>
          <c:order val="4"/>
          <c:tx>
            <c:strRef>
              <c:f>'Helper sheet'!$AH$3</c:f>
              <c:strCache>
                <c:ptCount val="1"/>
                <c:pt idx="0">
                  <c:v>Process 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'Helper sheet'!$AH$5:$AH$23</c:f>
              <c:numCache>
                <c:formatCode>General</c:formatCode>
                <c:ptCount val="19"/>
                <c:pt idx="0">
                  <c:v>0.5</c:v>
                </c:pt>
                <c:pt idx="1">
                  <c:v>0.33</c:v>
                </c:pt>
                <c:pt idx="2">
                  <c:v>0.47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xVal>
          <c:yVal>
            <c:numRef>
              <c:f>'Helper sheet'!$AI$5:$AI$23</c:f>
              <c:numCache>
                <c:formatCode>General</c:formatCode>
                <c:ptCount val="19"/>
                <c:pt idx="0">
                  <c:v>99.4</c:v>
                </c:pt>
                <c:pt idx="1">
                  <c:v>98.4</c:v>
                </c:pt>
                <c:pt idx="2">
                  <c:v>99.9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12C-4379-A44A-A2997783F1F2}"/>
            </c:ext>
          </c:extLst>
        </c:ser>
        <c:ser>
          <c:idx val="5"/>
          <c:order val="5"/>
          <c:tx>
            <c:strRef>
              <c:f>'Helper sheet'!$AK$3</c:f>
              <c:strCache>
                <c:ptCount val="1"/>
                <c:pt idx="0">
                  <c:v>Process 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'Helper sheet'!$AK$5:$AK$23</c:f>
              <c:numCache>
                <c:formatCode>General</c:formatCode>
                <c:ptCount val="19"/>
                <c:pt idx="0">
                  <c:v>0.45</c:v>
                </c:pt>
                <c:pt idx="1">
                  <c:v>0.57999999999999996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xVal>
          <c:yVal>
            <c:numRef>
              <c:f>'Helper sheet'!$AL$5:$AL$23</c:f>
              <c:numCache>
                <c:formatCode>General</c:formatCode>
                <c:ptCount val="19"/>
                <c:pt idx="0">
                  <c:v>98.9</c:v>
                </c:pt>
                <c:pt idx="1">
                  <c:v>99.2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12C-4379-A44A-A2997783F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437184"/>
        <c:axId val="1"/>
      </c:scatterChart>
      <c:valAx>
        <c:axId val="178943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943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Output (y) vs. Category</a:t>
            </a:r>
          </a:p>
        </c:rich>
      </c:tx>
      <c:layout>
        <c:manualLayout>
          <c:xMode val="edge"/>
          <c:yMode val="edge"/>
          <c:x val="0.33072998687664046"/>
          <c:y val="3.58422939068100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146065129763615E-2"/>
          <c:y val="0.19354906456185791"/>
          <c:w val="0.7239601744592653"/>
          <c:h val="0.68817445177549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'Helper sheet'!$V$3</c:f>
              <c:strCache>
                <c:ptCount val="1"/>
                <c:pt idx="0">
                  <c:v>Process 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'Helper sheet'!$U$5:$U$23</c:f>
              <c:numCache>
                <c:formatCode>General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xVal>
          <c:yVal>
            <c:numRef>
              <c:f>'Helper sheet'!$W$5:$W$23</c:f>
              <c:numCache>
                <c:formatCode>General</c:formatCode>
                <c:ptCount val="19"/>
                <c:pt idx="0">
                  <c:v>99.3</c:v>
                </c:pt>
                <c:pt idx="1">
                  <c:v>99</c:v>
                </c:pt>
                <c:pt idx="2">
                  <c:v>99.75</c:v>
                </c:pt>
                <c:pt idx="3">
                  <c:v>99.45</c:v>
                </c:pt>
                <c:pt idx="4">
                  <c:v>99.66</c:v>
                </c:pt>
                <c:pt idx="5">
                  <c:v>99.45</c:v>
                </c:pt>
                <c:pt idx="6">
                  <c:v>98.8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51-4ACB-AC6C-F8EC3B8B9833}"/>
            </c:ext>
          </c:extLst>
        </c:ser>
        <c:ser>
          <c:idx val="1"/>
          <c:order val="1"/>
          <c:tx>
            <c:strRef>
              <c:f>'Helper sheet'!$Y$3</c:f>
              <c:strCache>
                <c:ptCount val="1"/>
                <c:pt idx="0">
                  <c:v>Process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'Helper sheet'!$X$5:$X$23</c:f>
              <c:numCache>
                <c:formatCode>General</c:formatCode>
                <c:ptCount val="1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xVal>
          <c:yVal>
            <c:numRef>
              <c:f>'Helper sheet'!$Z$5:$Z$23</c:f>
              <c:numCache>
                <c:formatCode>General</c:formatCode>
                <c:ptCount val="19"/>
                <c:pt idx="0">
                  <c:v>98.3</c:v>
                </c:pt>
                <c:pt idx="1">
                  <c:v>99.54</c:v>
                </c:pt>
                <c:pt idx="2">
                  <c:v>99.1</c:v>
                </c:pt>
                <c:pt idx="3">
                  <c:v>99.2</c:v>
                </c:pt>
                <c:pt idx="4">
                  <c:v>99.75</c:v>
                </c:pt>
                <c:pt idx="5">
                  <c:v>98.9</c:v>
                </c:pt>
                <c:pt idx="6">
                  <c:v>98.99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51-4ACB-AC6C-F8EC3B8B9833}"/>
            </c:ext>
          </c:extLst>
        </c:ser>
        <c:ser>
          <c:idx val="2"/>
          <c:order val="2"/>
          <c:tx>
            <c:strRef>
              <c:f>'Helper sheet'!$AB$3</c:f>
              <c:strCache>
                <c:ptCount val="1"/>
                <c:pt idx="0">
                  <c:v>Process 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1587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'Helper sheet'!$AA$5:$AA$23</c:f>
              <c:numCache>
                <c:formatCode>General</c:formatCode>
                <c:ptCount val="1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xVal>
          <c:yVal>
            <c:numRef>
              <c:f>'Helper sheet'!$AC$5:$AC$23</c:f>
              <c:numCache>
                <c:formatCode>General</c:formatCode>
                <c:ptCount val="19"/>
                <c:pt idx="0">
                  <c:v>98.25</c:v>
                </c:pt>
                <c:pt idx="1">
                  <c:v>98.35</c:v>
                </c:pt>
                <c:pt idx="2">
                  <c:v>98.6</c:v>
                </c:pt>
                <c:pt idx="3">
                  <c:v>98.65</c:v>
                </c:pt>
                <c:pt idx="4">
                  <c:v>98.75</c:v>
                </c:pt>
                <c:pt idx="5">
                  <c:v>98.75</c:v>
                </c:pt>
                <c:pt idx="6">
                  <c:v>98.85</c:v>
                </c:pt>
                <c:pt idx="7">
                  <c:v>98.85</c:v>
                </c:pt>
                <c:pt idx="8">
                  <c:v>98.95</c:v>
                </c:pt>
                <c:pt idx="9">
                  <c:v>99.05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51-4ACB-AC6C-F8EC3B8B9833}"/>
            </c:ext>
          </c:extLst>
        </c:ser>
        <c:ser>
          <c:idx val="3"/>
          <c:order val="3"/>
          <c:tx>
            <c:strRef>
              <c:f>'Helper sheet'!$AE$3</c:f>
              <c:strCache>
                <c:ptCount val="1"/>
                <c:pt idx="0">
                  <c:v>Process 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158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'Helper sheet'!$AD$5:$AD$23</c:f>
              <c:numCache>
                <c:formatCode>General</c:formatCode>
                <c:ptCount val="19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xVal>
          <c:yVal>
            <c:numRef>
              <c:f>'Helper sheet'!$AF$5:$AF$23</c:f>
              <c:numCache>
                <c:formatCode>General</c:formatCode>
                <c:ptCount val="19"/>
                <c:pt idx="0">
                  <c:v>99.4</c:v>
                </c:pt>
                <c:pt idx="1">
                  <c:v>99.1</c:v>
                </c:pt>
                <c:pt idx="2">
                  <c:v>99.2</c:v>
                </c:pt>
                <c:pt idx="3">
                  <c:v>99.45</c:v>
                </c:pt>
                <c:pt idx="4">
                  <c:v>98.8</c:v>
                </c:pt>
                <c:pt idx="5">
                  <c:v>98.3</c:v>
                </c:pt>
                <c:pt idx="6">
                  <c:v>99.54</c:v>
                </c:pt>
                <c:pt idx="7">
                  <c:v>99.75</c:v>
                </c:pt>
                <c:pt idx="8">
                  <c:v>98.9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51-4ACB-AC6C-F8EC3B8B9833}"/>
            </c:ext>
          </c:extLst>
        </c:ser>
        <c:ser>
          <c:idx val="4"/>
          <c:order val="4"/>
          <c:tx>
            <c:strRef>
              <c:f>'Helper sheet'!$AH$3</c:f>
              <c:strCache>
                <c:ptCount val="1"/>
                <c:pt idx="0">
                  <c:v>Process 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tar"/>
            <c:size val="6"/>
            <c:spPr>
              <a:noFill/>
              <a:ln w="1587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'Helper sheet'!$AG$5:$AG$23</c:f>
              <c:numCache>
                <c:formatCode>General</c:formatCode>
                <c:ptCount val="1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xVal>
          <c:yVal>
            <c:numRef>
              <c:f>'Helper sheet'!$AI$5:$AI$23</c:f>
              <c:numCache>
                <c:formatCode>General</c:formatCode>
                <c:ptCount val="19"/>
                <c:pt idx="0">
                  <c:v>99.4</c:v>
                </c:pt>
                <c:pt idx="1">
                  <c:v>98.4</c:v>
                </c:pt>
                <c:pt idx="2">
                  <c:v>99.9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C51-4ACB-AC6C-F8EC3B8B9833}"/>
            </c:ext>
          </c:extLst>
        </c:ser>
        <c:ser>
          <c:idx val="5"/>
          <c:order val="5"/>
          <c:tx>
            <c:strRef>
              <c:f>'Helper sheet'!$AK$3</c:f>
              <c:strCache>
                <c:ptCount val="1"/>
                <c:pt idx="0">
                  <c:v>Process 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'Helper sheet'!$AJ$5:$AJ$23</c:f>
              <c:numCache>
                <c:formatCode>General</c:formatCode>
                <c:ptCount val="19"/>
                <c:pt idx="0">
                  <c:v>6</c:v>
                </c:pt>
                <c:pt idx="1">
                  <c:v>6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xVal>
          <c:yVal>
            <c:numRef>
              <c:f>'Helper sheet'!$AL$5:$AL$23</c:f>
              <c:numCache>
                <c:formatCode>General</c:formatCode>
                <c:ptCount val="19"/>
                <c:pt idx="0">
                  <c:v>98.9</c:v>
                </c:pt>
                <c:pt idx="1">
                  <c:v>99.2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C51-4ACB-AC6C-F8EC3B8B9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434688"/>
        <c:axId val="1"/>
      </c:scatterChart>
      <c:valAx>
        <c:axId val="1789434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9434688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</xdr:colOff>
      <xdr:row>37</xdr:row>
      <xdr:rowOff>19050</xdr:rowOff>
    </xdr:from>
    <xdr:to>
      <xdr:col>12</xdr:col>
      <xdr:colOff>437029</xdr:colOff>
      <xdr:row>41</xdr:row>
      <xdr:rowOff>38100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C81CC10-8D78-4356-BAB5-36115E162745}"/>
            </a:ext>
          </a:extLst>
        </xdr:cNvPr>
        <xdr:cNvGrpSpPr/>
      </xdr:nvGrpSpPr>
      <xdr:grpSpPr>
        <a:xfrm>
          <a:off x="4967006" y="6002991"/>
          <a:ext cx="6440582" cy="781050"/>
          <a:chOff x="4257674" y="8324850"/>
          <a:chExt cx="7353301" cy="66675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94AAC03-43E3-49D6-B87C-C5965FD889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57674" y="8324850"/>
            <a:ext cx="7353301" cy="666750"/>
          </a:xfrm>
          <a:prstGeom prst="rect">
            <a:avLst/>
          </a:prstGeom>
        </xdr:spPr>
      </xdr:pic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78C1EAD5-AEDC-4480-A583-439D2F8F0A0A}"/>
              </a:ext>
            </a:extLst>
          </xdr:cNvPr>
          <xdr:cNvSpPr/>
        </xdr:nvSpPr>
        <xdr:spPr>
          <a:xfrm>
            <a:off x="4333875" y="8572500"/>
            <a:ext cx="819150" cy="209550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658B43EE-FF84-4AFD-9DA3-83868561BC9A}"/>
              </a:ext>
            </a:extLst>
          </xdr:cNvPr>
          <xdr:cNvSpPr/>
        </xdr:nvSpPr>
        <xdr:spPr>
          <a:xfrm>
            <a:off x="7248525" y="8429625"/>
            <a:ext cx="361950" cy="171450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66674</xdr:colOff>
      <xdr:row>45</xdr:row>
      <xdr:rowOff>95250</xdr:rowOff>
    </xdr:from>
    <xdr:to>
      <xdr:col>12</xdr:col>
      <xdr:colOff>456079</xdr:colOff>
      <xdr:row>49</xdr:row>
      <xdr:rowOff>114300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63751AB7-AB7C-4323-BDD0-0329E2FF9CA0}"/>
            </a:ext>
          </a:extLst>
        </xdr:cNvPr>
        <xdr:cNvGrpSpPr/>
      </xdr:nvGrpSpPr>
      <xdr:grpSpPr>
        <a:xfrm>
          <a:off x="4986056" y="7603191"/>
          <a:ext cx="6440582" cy="781050"/>
          <a:chOff x="4276724" y="9696450"/>
          <a:chExt cx="7353301" cy="66675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5BDB3086-F93C-486B-8553-4048FF89CA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76724" y="9696450"/>
            <a:ext cx="7353301" cy="666750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7159253B-596C-45C1-8669-198DC8E20A21}"/>
              </a:ext>
            </a:extLst>
          </xdr:cNvPr>
          <xdr:cNvSpPr/>
        </xdr:nvSpPr>
        <xdr:spPr>
          <a:xfrm>
            <a:off x="9782174" y="9791700"/>
            <a:ext cx="923926" cy="180975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85725</xdr:colOff>
      <xdr:row>51</xdr:row>
      <xdr:rowOff>47625</xdr:rowOff>
    </xdr:from>
    <xdr:to>
      <xdr:col>12</xdr:col>
      <xdr:colOff>420024</xdr:colOff>
      <xdr:row>55</xdr:row>
      <xdr:rowOff>133350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F3899ACA-D94B-4441-A35B-44D951B2A2C5}"/>
            </a:ext>
          </a:extLst>
        </xdr:cNvPr>
        <xdr:cNvGrpSpPr/>
      </xdr:nvGrpSpPr>
      <xdr:grpSpPr>
        <a:xfrm>
          <a:off x="5005107" y="8698566"/>
          <a:ext cx="6385476" cy="847725"/>
          <a:chOff x="4295775" y="10620375"/>
          <a:chExt cx="7334250" cy="733425"/>
        </a:xfrm>
      </xdr:grpSpPr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D5E7ABD9-484B-472C-A34E-441E66665CD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333"/>
          <a:stretch/>
        </xdr:blipFill>
        <xdr:spPr>
          <a:xfrm>
            <a:off x="4295775" y="10620375"/>
            <a:ext cx="7334250" cy="733425"/>
          </a:xfrm>
          <a:prstGeom prst="rect">
            <a:avLst/>
          </a:prstGeom>
        </xdr:spPr>
      </xdr:pic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9C329D71-FB92-40B1-B9E3-B255626D9975}"/>
              </a:ext>
            </a:extLst>
          </xdr:cNvPr>
          <xdr:cNvSpPr/>
        </xdr:nvSpPr>
        <xdr:spPr>
          <a:xfrm>
            <a:off x="10848975" y="10648949"/>
            <a:ext cx="762000" cy="238125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47625</xdr:colOff>
      <xdr:row>3</xdr:row>
      <xdr:rowOff>9525</xdr:rowOff>
    </xdr:from>
    <xdr:to>
      <xdr:col>27</xdr:col>
      <xdr:colOff>47625</xdr:colOff>
      <xdr:row>28</xdr:row>
      <xdr:rowOff>19050</xdr:rowOff>
    </xdr:to>
    <xdr:graphicFrame macro="">
      <xdr:nvGraphicFramePr>
        <xdr:cNvPr id="1039" name="Chart 12">
          <a:extLst>
            <a:ext uri="{FF2B5EF4-FFF2-40B4-BE49-F238E27FC236}">
              <a16:creationId xmlns:a16="http://schemas.microsoft.com/office/drawing/2014/main" id="{00000000-0008-0000-0100-00000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2</xdr:row>
          <xdr:rowOff>123825</xdr:rowOff>
        </xdr:from>
        <xdr:to>
          <xdr:col>3</xdr:col>
          <xdr:colOff>352425</xdr:colOff>
          <xdr:row>3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1</xdr:row>
          <xdr:rowOff>57150</xdr:rowOff>
        </xdr:from>
        <xdr:to>
          <xdr:col>3</xdr:col>
          <xdr:colOff>352425</xdr:colOff>
          <xdr:row>2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Full Screen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342900</xdr:colOff>
      <xdr:row>0</xdr:row>
      <xdr:rowOff>142875</xdr:rowOff>
    </xdr:from>
    <xdr:to>
      <xdr:col>44</xdr:col>
      <xdr:colOff>419100</xdr:colOff>
      <xdr:row>18</xdr:row>
      <xdr:rowOff>104775</xdr:rowOff>
    </xdr:to>
    <xdr:graphicFrame macro="">
      <xdr:nvGraphicFramePr>
        <xdr:cNvPr id="2059" name="Chart 9">
          <a:extLst>
            <a:ext uri="{FF2B5EF4-FFF2-40B4-BE49-F238E27FC236}">
              <a16:creationId xmlns:a16="http://schemas.microsoft.com/office/drawing/2014/main" id="{00000000-0008-0000-0200-00000B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304800</xdr:colOff>
      <xdr:row>19</xdr:row>
      <xdr:rowOff>9525</xdr:rowOff>
    </xdr:from>
    <xdr:to>
      <xdr:col>44</xdr:col>
      <xdr:colOff>552450</xdr:colOff>
      <xdr:row>36</xdr:row>
      <xdr:rowOff>114300</xdr:rowOff>
    </xdr:to>
    <xdr:graphicFrame macro="">
      <xdr:nvGraphicFramePr>
        <xdr:cNvPr id="2060" name="Chart 11">
          <a:extLst>
            <a:ext uri="{FF2B5EF4-FFF2-40B4-BE49-F238E27FC236}">
              <a16:creationId xmlns:a16="http://schemas.microsoft.com/office/drawing/2014/main" id="{00000000-0008-0000-0200-00000C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C6AEE-F7CB-4706-852F-EF0B6036FFB3}">
  <sheetPr codeName="Sheet1">
    <tabColor rgb="FFC00000"/>
  </sheetPr>
  <dimension ref="A1:G62"/>
  <sheetViews>
    <sheetView showGridLines="0" showRowColHeaders="0" tabSelected="1" topLeftCell="A36" zoomScale="85" zoomScaleNormal="85" workbookViewId="0">
      <pane xSplit="3" topLeftCell="D1" activePane="topRight" state="frozen"/>
      <selection pane="topRight" activeCell="C57" sqref="C57:F69"/>
    </sheetView>
  </sheetViews>
  <sheetFormatPr defaultColWidth="10.140625" defaultRowHeight="15"/>
  <cols>
    <col min="1" max="1" width="24.140625" style="17" customWidth="1"/>
    <col min="2" max="2" width="22.85546875" style="12" customWidth="1"/>
    <col min="3" max="3" width="26.7109375" style="12" customWidth="1"/>
    <col min="4" max="16384" width="10.140625" style="12"/>
  </cols>
  <sheetData>
    <row r="1" spans="1:4">
      <c r="A1" s="11"/>
    </row>
    <row r="2" spans="1:4">
      <c r="A2" s="11"/>
    </row>
    <row r="3" spans="1:4">
      <c r="A3" s="11"/>
    </row>
    <row r="4" spans="1:4" ht="3.6" customHeight="1">
      <c r="A4" s="11"/>
    </row>
    <row r="5" spans="1:4" ht="12.75">
      <c r="A5" s="13" t="s">
        <v>17</v>
      </c>
      <c r="B5" s="14" t="s">
        <v>18</v>
      </c>
      <c r="D5" s="14" t="s">
        <v>31</v>
      </c>
    </row>
    <row r="7" spans="1:4" ht="12.75">
      <c r="A7" s="37" t="s">
        <v>30</v>
      </c>
      <c r="B7" s="14" t="s">
        <v>19</v>
      </c>
      <c r="D7" s="12" t="s">
        <v>32</v>
      </c>
    </row>
    <row r="8" spans="1:4" ht="12.75">
      <c r="A8" s="15"/>
      <c r="D8" s="12" t="s">
        <v>33</v>
      </c>
    </row>
    <row r="9" spans="1:4" ht="12.75">
      <c r="A9" s="15"/>
    </row>
    <row r="10" spans="1:4" ht="12.75">
      <c r="A10" s="15"/>
    </row>
    <row r="11" spans="1:4" ht="12.75">
      <c r="A11" s="15"/>
      <c r="B11" s="14"/>
      <c r="C11" s="16"/>
    </row>
    <row r="12" spans="1:4" ht="12.75">
      <c r="A12" s="15"/>
      <c r="B12" s="14"/>
      <c r="C12" s="16" t="s">
        <v>2</v>
      </c>
      <c r="D12" s="12" t="s">
        <v>3</v>
      </c>
    </row>
    <row r="13" spans="1:4" ht="12.75">
      <c r="A13" s="15"/>
      <c r="B13" s="14"/>
      <c r="C13" s="16"/>
      <c r="D13" s="12" t="s">
        <v>4</v>
      </c>
    </row>
    <row r="14" spans="1:4" ht="12.75">
      <c r="A14" s="15"/>
      <c r="B14" s="14"/>
      <c r="C14" s="16"/>
      <c r="D14" s="12" t="s">
        <v>5</v>
      </c>
    </row>
    <row r="15" spans="1:4" ht="12.75">
      <c r="A15" s="15"/>
      <c r="B15" s="14"/>
      <c r="C15" s="16"/>
    </row>
    <row r="16" spans="1:4" ht="12.75">
      <c r="A16" s="15"/>
      <c r="B16" s="14"/>
      <c r="C16" s="16"/>
    </row>
    <row r="17" spans="1:4" ht="12.75">
      <c r="A17" s="15"/>
      <c r="B17" s="14"/>
      <c r="C17" s="16"/>
    </row>
    <row r="18" spans="1:4" ht="12.75">
      <c r="A18" s="15"/>
      <c r="B18" s="14"/>
      <c r="C18" s="16"/>
    </row>
    <row r="19" spans="1:4" ht="12.75">
      <c r="A19" s="15"/>
      <c r="B19" s="14" t="s">
        <v>20</v>
      </c>
      <c r="D19" s="14">
        <v>1</v>
      </c>
    </row>
    <row r="20" spans="1:4" ht="12.75">
      <c r="A20" s="15"/>
    </row>
    <row r="21" spans="1:4">
      <c r="B21" s="14" t="s">
        <v>21</v>
      </c>
      <c r="C21" s="18"/>
      <c r="D21" s="19"/>
    </row>
    <row r="22" spans="1:4" ht="12.75">
      <c r="A22" s="15"/>
      <c r="B22" s="14"/>
      <c r="C22" s="20" t="s">
        <v>30</v>
      </c>
    </row>
    <row r="23" spans="1:4" ht="12.75" customHeight="1">
      <c r="C23" s="22"/>
      <c r="D23" s="21"/>
    </row>
    <row r="24" spans="1:4" ht="12.75" customHeight="1">
      <c r="C24" s="23"/>
    </row>
    <row r="25" spans="1:4" ht="12.75" customHeight="1">
      <c r="B25" s="14" t="s">
        <v>22</v>
      </c>
      <c r="C25" s="23" t="s">
        <v>23</v>
      </c>
      <c r="D25" s="12" t="s">
        <v>37</v>
      </c>
    </row>
    <row r="26" spans="1:4" ht="12.75" customHeight="1">
      <c r="C26" s="23" t="s">
        <v>24</v>
      </c>
      <c r="D26" s="12" t="s">
        <v>38</v>
      </c>
    </row>
    <row r="27" spans="1:4" ht="12.75" customHeight="1">
      <c r="C27" s="23" t="s">
        <v>25</v>
      </c>
      <c r="D27" s="12" t="s">
        <v>36</v>
      </c>
    </row>
    <row r="28" spans="1:4" ht="12.75" customHeight="1">
      <c r="C28" s="23" t="s">
        <v>26</v>
      </c>
      <c r="D28" s="12" t="s">
        <v>39</v>
      </c>
    </row>
    <row r="29" spans="1:4" ht="12.75" customHeight="1">
      <c r="C29" s="23" t="s">
        <v>27</v>
      </c>
      <c r="D29" s="12" t="s">
        <v>34</v>
      </c>
    </row>
    <row r="30" spans="1:4" ht="12.75" customHeight="1">
      <c r="C30" s="23" t="s">
        <v>28</v>
      </c>
      <c r="D30" s="12" t="s">
        <v>40</v>
      </c>
    </row>
    <row r="31" spans="1:4" ht="12.75" customHeight="1">
      <c r="C31" s="23" t="s">
        <v>29</v>
      </c>
      <c r="D31" s="12" t="s">
        <v>35</v>
      </c>
    </row>
    <row r="32" spans="1:4" ht="12.75" customHeight="1">
      <c r="C32" s="23"/>
    </row>
    <row r="33" spans="2:7" ht="12.75" customHeight="1">
      <c r="C33" s="23"/>
    </row>
    <row r="34" spans="2:7">
      <c r="B34" s="38" t="s">
        <v>41</v>
      </c>
      <c r="C34" s="39"/>
      <c r="D34" s="40" t="s">
        <v>42</v>
      </c>
      <c r="E34" s="41"/>
      <c r="F34" s="41"/>
      <c r="G34" s="41"/>
    </row>
    <row r="35" spans="2:7">
      <c r="B35" s="41"/>
      <c r="C35" s="41"/>
      <c r="D35" s="40" t="s">
        <v>43</v>
      </c>
      <c r="E35" s="41"/>
      <c r="F35" s="41"/>
      <c r="G35" s="41"/>
    </row>
    <row r="36" spans="2:7">
      <c r="B36" s="41"/>
      <c r="C36" s="41"/>
      <c r="D36" s="41"/>
      <c r="E36" s="41"/>
      <c r="F36" s="41"/>
      <c r="G36" s="41"/>
    </row>
    <row r="37" spans="2:7">
      <c r="B37" s="41"/>
      <c r="C37" s="42" t="s">
        <v>44</v>
      </c>
      <c r="D37" s="41" t="s">
        <v>45</v>
      </c>
      <c r="E37" s="41"/>
      <c r="F37" s="41"/>
      <c r="G37" s="41"/>
    </row>
    <row r="38" spans="2:7">
      <c r="B38" s="41"/>
      <c r="C38" s="41"/>
      <c r="D38" s="39"/>
      <c r="E38" s="41"/>
      <c r="F38" s="41"/>
      <c r="G38" s="41"/>
    </row>
    <row r="39" spans="2:7">
      <c r="B39" s="41"/>
      <c r="C39" s="41"/>
      <c r="D39" s="39"/>
      <c r="E39" s="41"/>
      <c r="F39" s="41"/>
      <c r="G39" s="41"/>
    </row>
    <row r="40" spans="2:7">
      <c r="B40" s="41"/>
      <c r="C40" s="41"/>
      <c r="D40" s="39"/>
      <c r="E40" s="41"/>
      <c r="F40" s="41"/>
      <c r="G40" s="41"/>
    </row>
    <row r="41" spans="2:7">
      <c r="B41" s="41"/>
      <c r="C41" s="41"/>
      <c r="D41" s="39"/>
      <c r="E41" s="41"/>
      <c r="F41" s="41"/>
      <c r="G41" s="41"/>
    </row>
    <row r="42" spans="2:7">
      <c r="B42" s="41"/>
      <c r="C42" s="41"/>
      <c r="D42" s="39"/>
      <c r="E42" s="41"/>
      <c r="F42" s="41"/>
      <c r="G42" s="41"/>
    </row>
    <row r="43" spans="2:7">
      <c r="B43" s="41"/>
      <c r="C43" s="42" t="s">
        <v>46</v>
      </c>
      <c r="D43" s="41" t="s">
        <v>47</v>
      </c>
      <c r="E43" s="41"/>
      <c r="F43" s="41"/>
      <c r="G43" s="41"/>
    </row>
    <row r="44" spans="2:7">
      <c r="B44" s="41"/>
      <c r="C44" s="41"/>
      <c r="D44" s="41"/>
      <c r="E44" s="41"/>
      <c r="F44" s="41"/>
      <c r="G44" s="41"/>
    </row>
    <row r="45" spans="2:7">
      <c r="B45" s="41"/>
      <c r="C45" s="42" t="s">
        <v>48</v>
      </c>
      <c r="D45" s="41" t="s">
        <v>49</v>
      </c>
      <c r="E45" s="41"/>
      <c r="F45" s="41"/>
      <c r="G45" s="41"/>
    </row>
    <row r="46" spans="2:7">
      <c r="B46" s="41"/>
      <c r="C46" s="41"/>
      <c r="D46" s="41"/>
      <c r="E46" s="41"/>
      <c r="F46" s="41"/>
      <c r="G46" s="41"/>
    </row>
    <row r="47" spans="2:7">
      <c r="B47" s="41"/>
      <c r="C47" s="41"/>
      <c r="D47" s="41"/>
      <c r="E47" s="41"/>
      <c r="F47" s="41"/>
      <c r="G47" s="41"/>
    </row>
    <row r="48" spans="2:7">
      <c r="B48" s="41"/>
      <c r="C48" s="41"/>
      <c r="D48" s="41"/>
      <c r="E48" s="41"/>
      <c r="F48" s="41"/>
      <c r="G48" s="41"/>
    </row>
    <row r="49" spans="2:7">
      <c r="B49" s="41"/>
      <c r="C49" s="41"/>
      <c r="D49" s="41"/>
      <c r="E49" s="41"/>
      <c r="F49" s="41"/>
      <c r="G49" s="41"/>
    </row>
    <row r="50" spans="2:7">
      <c r="B50" s="41"/>
      <c r="C50" s="41"/>
      <c r="D50" s="41"/>
      <c r="E50" s="41"/>
      <c r="F50" s="41"/>
      <c r="G50" s="41"/>
    </row>
    <row r="51" spans="2:7">
      <c r="B51" s="41"/>
      <c r="C51" s="42" t="s">
        <v>50</v>
      </c>
      <c r="D51" s="41" t="s">
        <v>51</v>
      </c>
      <c r="E51" s="41"/>
      <c r="F51" s="41"/>
      <c r="G51" s="41"/>
    </row>
    <row r="52" spans="2:7">
      <c r="B52" s="41"/>
      <c r="C52" s="41"/>
      <c r="D52" s="41"/>
      <c r="E52" s="41"/>
      <c r="F52" s="41"/>
      <c r="G52" s="41"/>
    </row>
    <row r="53" spans="2:7">
      <c r="B53" s="41"/>
      <c r="C53" s="41"/>
      <c r="D53" s="41"/>
      <c r="E53" s="41"/>
      <c r="F53" s="41"/>
      <c r="G53" s="41"/>
    </row>
    <row r="54" spans="2:7">
      <c r="B54" s="41"/>
      <c r="C54" s="41"/>
      <c r="D54" s="41"/>
      <c r="E54" s="41"/>
      <c r="F54" s="41"/>
      <c r="G54" s="41"/>
    </row>
    <row r="55" spans="2:7">
      <c r="B55" s="41"/>
      <c r="C55" s="41"/>
      <c r="D55" s="41"/>
      <c r="E55" s="41"/>
      <c r="F55" s="41"/>
      <c r="G55" s="41"/>
    </row>
    <row r="56" spans="2:7">
      <c r="B56" s="41"/>
      <c r="C56" s="41"/>
      <c r="D56" s="41"/>
      <c r="E56" s="41"/>
      <c r="F56" s="41"/>
      <c r="G56" s="41"/>
    </row>
    <row r="57" spans="2:7">
      <c r="B57" s="41"/>
      <c r="C57" s="41"/>
      <c r="D57" s="40"/>
      <c r="E57" s="41"/>
      <c r="F57" s="41"/>
      <c r="G57" s="41"/>
    </row>
    <row r="58" spans="2:7">
      <c r="B58" s="41"/>
      <c r="C58" s="41"/>
      <c r="E58" s="41"/>
      <c r="F58" s="41"/>
      <c r="G58" s="41"/>
    </row>
    <row r="59" spans="2:7">
      <c r="B59" s="41"/>
      <c r="C59" s="41"/>
      <c r="D59" s="43"/>
      <c r="E59" s="41"/>
      <c r="F59" s="41"/>
      <c r="G59" s="41"/>
    </row>
    <row r="60" spans="2:7">
      <c r="B60" s="41"/>
      <c r="C60" s="41"/>
      <c r="E60" s="41"/>
      <c r="F60" s="41"/>
      <c r="G60" s="41"/>
    </row>
    <row r="61" spans="2:7">
      <c r="B61" s="41"/>
      <c r="C61" s="41"/>
      <c r="E61" s="41"/>
      <c r="F61" s="41"/>
      <c r="G61" s="41"/>
    </row>
    <row r="62" spans="2:7">
      <c r="B62" s="41"/>
      <c r="C62" s="41"/>
      <c r="E62" s="41"/>
      <c r="F62" s="41"/>
      <c r="G62" s="41"/>
    </row>
  </sheetData>
  <conditionalFormatting sqref="D19">
    <cfRule type="iconSet" priority="1">
      <iconSet reverse="1">
        <cfvo type="percent" val="0"/>
        <cfvo type="num" val="1" gte="0"/>
        <cfvo type="num" val="2" gte="0"/>
      </iconSet>
    </cfRule>
  </conditionalFormatting>
  <hyperlinks>
    <hyperlink ref="A7" location="'Stratification Diagram'!A1" display="Stratification Diagram" xr:uid="{C1277464-57EF-4C54-A1C7-CB7961958D04}"/>
  </hyperlinks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50B47F"/>
    <pageSetUpPr fitToPage="1"/>
  </sheetPr>
  <dimension ref="A1:AB56"/>
  <sheetViews>
    <sheetView showGridLines="0" showRowColHeaders="0" workbookViewId="0">
      <selection activeCell="C7" sqref="C7"/>
    </sheetView>
  </sheetViews>
  <sheetFormatPr defaultColWidth="0" defaultRowHeight="12.75" zeroHeight="1"/>
  <cols>
    <col min="1" max="1" width="0.85546875" style="26" customWidth="1"/>
    <col min="2" max="2" width="3" style="26" bestFit="1" customWidth="1"/>
    <col min="3" max="4" width="8.28515625" style="26" customWidth="1"/>
    <col min="5" max="5" width="3.7109375" style="26" customWidth="1"/>
    <col min="6" max="7" width="8.28515625" style="26" customWidth="1"/>
    <col min="8" max="8" width="3.7109375" style="26" customWidth="1"/>
    <col min="9" max="10" width="8.28515625" style="26" customWidth="1"/>
    <col min="11" max="11" width="3.7109375" style="26" customWidth="1"/>
    <col min="12" max="13" width="8.28515625" style="26" customWidth="1"/>
    <col min="14" max="14" width="3.7109375" style="26" customWidth="1"/>
    <col min="15" max="16" width="8.28515625" style="26" customWidth="1"/>
    <col min="17" max="17" width="3.7109375" style="26" customWidth="1"/>
    <col min="18" max="19" width="8.28515625" style="26" customWidth="1"/>
    <col min="20" max="20" width="2.7109375" style="26" customWidth="1"/>
    <col min="21" max="27" width="9.140625" style="26" customWidth="1"/>
    <col min="28" max="28" width="2.42578125" style="26" customWidth="1"/>
    <col min="29" max="16384" width="9.140625" style="26" hidden="1"/>
  </cols>
  <sheetData>
    <row r="1" spans="2:27" ht="18.75" thickBot="1">
      <c r="B1" s="45" t="s">
        <v>30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</row>
    <row r="2" spans="2:27" ht="12.75" customHeight="1">
      <c r="C2" s="27"/>
      <c r="D2" s="27"/>
      <c r="E2" s="27"/>
      <c r="H2" s="47"/>
      <c r="I2" s="47"/>
      <c r="J2" s="47"/>
      <c r="K2" s="47"/>
      <c r="L2" s="47"/>
      <c r="M2" s="47"/>
      <c r="N2" s="47"/>
    </row>
    <row r="3" spans="2:27" ht="15">
      <c r="B3" s="27"/>
      <c r="C3" s="27"/>
      <c r="D3" s="27"/>
      <c r="E3" s="27"/>
      <c r="U3" s="44" t="str">
        <f>'Helper sheet'!AN48</f>
        <v>Output(y) vs. Input(x) by Category</v>
      </c>
      <c r="V3" s="44"/>
      <c r="W3" s="44"/>
      <c r="X3" s="44"/>
      <c r="Y3" s="44"/>
      <c r="Z3" s="44"/>
      <c r="AA3" s="44"/>
    </row>
    <row r="4" spans="2:27"/>
    <row r="5" spans="2:27">
      <c r="C5" s="46" t="s">
        <v>11</v>
      </c>
      <c r="D5" s="46"/>
      <c r="F5" s="46" t="s">
        <v>12</v>
      </c>
      <c r="G5" s="46"/>
      <c r="I5" s="46" t="s">
        <v>13</v>
      </c>
      <c r="J5" s="46"/>
      <c r="L5" s="46" t="s">
        <v>14</v>
      </c>
      <c r="M5" s="46"/>
      <c r="O5" s="46" t="s">
        <v>15</v>
      </c>
      <c r="P5" s="46"/>
      <c r="R5" s="46" t="s">
        <v>16</v>
      </c>
      <c r="S5" s="46"/>
    </row>
    <row r="6" spans="2:27">
      <c r="C6" s="25" t="s">
        <v>0</v>
      </c>
      <c r="D6" s="25" t="s">
        <v>1</v>
      </c>
      <c r="F6" s="25" t="s">
        <v>0</v>
      </c>
      <c r="G6" s="25" t="s">
        <v>1</v>
      </c>
      <c r="I6" s="25" t="s">
        <v>0</v>
      </c>
      <c r="J6" s="25" t="s">
        <v>1</v>
      </c>
      <c r="L6" s="25" t="s">
        <v>0</v>
      </c>
      <c r="M6" s="25" t="s">
        <v>1</v>
      </c>
      <c r="O6" s="25" t="s">
        <v>0</v>
      </c>
      <c r="P6" s="25" t="s">
        <v>1</v>
      </c>
      <c r="R6" s="25" t="s">
        <v>0</v>
      </c>
      <c r="S6" s="25" t="s">
        <v>1</v>
      </c>
    </row>
    <row r="7" spans="2:27" ht="12" customHeight="1">
      <c r="B7" s="28">
        <v>1</v>
      </c>
      <c r="C7" s="24">
        <v>0.45</v>
      </c>
      <c r="D7" s="24">
        <v>99.3</v>
      </c>
      <c r="E7" s="28">
        <v>1</v>
      </c>
      <c r="F7" s="24">
        <v>0.6</v>
      </c>
      <c r="G7" s="24">
        <v>98.3</v>
      </c>
      <c r="H7" s="28">
        <v>1</v>
      </c>
      <c r="I7" s="24">
        <v>0.5</v>
      </c>
      <c r="J7" s="24">
        <v>98.25</v>
      </c>
      <c r="K7" s="28">
        <v>1</v>
      </c>
      <c r="L7" s="24">
        <v>0.5</v>
      </c>
      <c r="M7" s="24">
        <v>99.4</v>
      </c>
      <c r="N7" s="28">
        <v>1</v>
      </c>
      <c r="O7" s="24">
        <v>0.5</v>
      </c>
      <c r="P7" s="24">
        <v>99.4</v>
      </c>
      <c r="Q7" s="28">
        <v>1</v>
      </c>
      <c r="R7" s="24">
        <v>0.45</v>
      </c>
      <c r="S7" s="24">
        <v>98.9</v>
      </c>
    </row>
    <row r="8" spans="2:27" ht="12" customHeight="1">
      <c r="B8" s="28">
        <v>2</v>
      </c>
      <c r="C8" s="24">
        <v>0.27</v>
      </c>
      <c r="D8" s="24">
        <v>99</v>
      </c>
      <c r="E8" s="28">
        <v>2</v>
      </c>
      <c r="F8" s="24">
        <v>0.63</v>
      </c>
      <c r="G8" s="24">
        <v>99.54</v>
      </c>
      <c r="H8" s="28">
        <v>2</v>
      </c>
      <c r="I8" s="24">
        <v>0.4</v>
      </c>
      <c r="J8" s="24">
        <v>98.35</v>
      </c>
      <c r="K8" s="28">
        <v>2</v>
      </c>
      <c r="L8" s="24">
        <v>0.45</v>
      </c>
      <c r="M8" s="24">
        <v>99.1</v>
      </c>
      <c r="N8" s="28">
        <v>2</v>
      </c>
      <c r="O8" s="24">
        <v>0.33</v>
      </c>
      <c r="P8" s="24">
        <v>98.4</v>
      </c>
      <c r="Q8" s="28">
        <v>2</v>
      </c>
      <c r="R8" s="24">
        <v>0.57999999999999996</v>
      </c>
      <c r="S8" s="24">
        <v>99.2</v>
      </c>
    </row>
    <row r="9" spans="2:27" ht="12" customHeight="1">
      <c r="B9" s="28">
        <v>3</v>
      </c>
      <c r="C9" s="24">
        <v>0.26</v>
      </c>
      <c r="D9" s="24">
        <v>99.75</v>
      </c>
      <c r="E9" s="28">
        <v>3</v>
      </c>
      <c r="F9" s="24">
        <v>0.21</v>
      </c>
      <c r="G9" s="24">
        <v>99.1</v>
      </c>
      <c r="H9" s="28">
        <v>3</v>
      </c>
      <c r="I9" s="24">
        <v>0.45</v>
      </c>
      <c r="J9" s="24">
        <v>98.6</v>
      </c>
      <c r="K9" s="28">
        <v>3</v>
      </c>
      <c r="L9" s="24">
        <v>0.3</v>
      </c>
      <c r="M9" s="24">
        <v>99.2</v>
      </c>
      <c r="N9" s="28">
        <v>3</v>
      </c>
      <c r="O9" s="24">
        <v>0.47</v>
      </c>
      <c r="P9" s="24">
        <v>99.9</v>
      </c>
      <c r="Q9" s="28">
        <v>3</v>
      </c>
      <c r="R9" s="24"/>
      <c r="S9" s="24"/>
    </row>
    <row r="10" spans="2:27" ht="12" customHeight="1">
      <c r="B10" s="28">
        <v>4</v>
      </c>
      <c r="C10" s="24">
        <v>0.1</v>
      </c>
      <c r="D10" s="24">
        <v>99.45</v>
      </c>
      <c r="E10" s="28">
        <v>4</v>
      </c>
      <c r="F10" s="24">
        <v>0.28999999999999998</v>
      </c>
      <c r="G10" s="24">
        <v>99.2</v>
      </c>
      <c r="H10" s="28">
        <v>4</v>
      </c>
      <c r="I10" s="24">
        <v>0.34</v>
      </c>
      <c r="J10" s="24">
        <v>98.65</v>
      </c>
      <c r="K10" s="28">
        <v>4</v>
      </c>
      <c r="L10" s="24">
        <v>0.1</v>
      </c>
      <c r="M10" s="24">
        <v>99.45</v>
      </c>
      <c r="N10" s="28">
        <v>4</v>
      </c>
      <c r="O10" s="24"/>
      <c r="P10" s="24"/>
      <c r="Q10" s="28">
        <v>4</v>
      </c>
      <c r="R10" s="24"/>
      <c r="S10" s="24"/>
    </row>
    <row r="11" spans="2:27" ht="12" customHeight="1">
      <c r="B11" s="28">
        <v>5</v>
      </c>
      <c r="C11" s="24">
        <v>0.24</v>
      </c>
      <c r="D11" s="24">
        <v>99.66</v>
      </c>
      <c r="E11" s="28">
        <v>5</v>
      </c>
      <c r="F11" s="24">
        <v>0.34</v>
      </c>
      <c r="G11" s="24">
        <v>99.75</v>
      </c>
      <c r="H11" s="28">
        <v>5</v>
      </c>
      <c r="I11" s="24">
        <v>0.28999999999999998</v>
      </c>
      <c r="J11" s="24">
        <v>98.75</v>
      </c>
      <c r="K11" s="28">
        <v>5</v>
      </c>
      <c r="L11" s="24">
        <v>0.15</v>
      </c>
      <c r="M11" s="24">
        <v>98.8</v>
      </c>
      <c r="N11" s="28">
        <v>5</v>
      </c>
      <c r="O11" s="24"/>
      <c r="P11" s="24"/>
      <c r="Q11" s="28">
        <v>5</v>
      </c>
      <c r="R11" s="24"/>
      <c r="S11" s="24"/>
    </row>
    <row r="12" spans="2:27" ht="12" customHeight="1">
      <c r="B12" s="28">
        <v>6</v>
      </c>
      <c r="C12" s="24">
        <v>0.4</v>
      </c>
      <c r="D12" s="24">
        <v>99.45</v>
      </c>
      <c r="E12" s="28">
        <v>6</v>
      </c>
      <c r="F12" s="24">
        <v>0.24</v>
      </c>
      <c r="G12" s="24">
        <v>98.9</v>
      </c>
      <c r="H12" s="28">
        <v>6</v>
      </c>
      <c r="I12" s="24">
        <v>0.21</v>
      </c>
      <c r="J12" s="24">
        <v>98.75</v>
      </c>
      <c r="K12" s="28">
        <v>6</v>
      </c>
      <c r="L12" s="24">
        <v>0.2</v>
      </c>
      <c r="M12" s="24">
        <v>98.3</v>
      </c>
      <c r="N12" s="28">
        <v>6</v>
      </c>
      <c r="O12" s="24"/>
      <c r="P12" s="24"/>
      <c r="Q12" s="28">
        <v>6</v>
      </c>
      <c r="R12" s="24"/>
      <c r="S12" s="24"/>
    </row>
    <row r="13" spans="2:27" ht="12" customHeight="1">
      <c r="B13" s="28">
        <v>7</v>
      </c>
      <c r="C13" s="24">
        <v>0.22</v>
      </c>
      <c r="D13" s="24">
        <v>98.8</v>
      </c>
      <c r="E13" s="28">
        <v>7</v>
      </c>
      <c r="F13" s="24">
        <v>0.25</v>
      </c>
      <c r="G13" s="24">
        <v>98.99</v>
      </c>
      <c r="H13" s="28">
        <v>7</v>
      </c>
      <c r="I13" s="24">
        <v>0.31</v>
      </c>
      <c r="J13" s="24">
        <v>98.85</v>
      </c>
      <c r="K13" s="28">
        <v>7</v>
      </c>
      <c r="L13" s="24">
        <v>0.3</v>
      </c>
      <c r="M13" s="24">
        <v>99.54</v>
      </c>
      <c r="N13" s="28">
        <v>7</v>
      </c>
      <c r="O13" s="24"/>
      <c r="P13" s="24"/>
      <c r="Q13" s="28">
        <v>7</v>
      </c>
      <c r="R13" s="24"/>
      <c r="S13" s="24"/>
    </row>
    <row r="14" spans="2:27" ht="12" customHeight="1">
      <c r="B14" s="28">
        <v>8</v>
      </c>
      <c r="C14" s="24"/>
      <c r="D14" s="24"/>
      <c r="E14" s="28">
        <v>8</v>
      </c>
      <c r="F14" s="24"/>
      <c r="G14" s="24"/>
      <c r="H14" s="28">
        <v>8</v>
      </c>
      <c r="I14" s="24">
        <v>0.22</v>
      </c>
      <c r="J14" s="24">
        <v>98.85</v>
      </c>
      <c r="K14" s="28">
        <v>8</v>
      </c>
      <c r="L14" s="24">
        <v>0.4</v>
      </c>
      <c r="M14" s="24">
        <v>99.75</v>
      </c>
      <c r="N14" s="28">
        <v>8</v>
      </c>
      <c r="O14" s="24"/>
      <c r="P14" s="24"/>
      <c r="Q14" s="28">
        <v>8</v>
      </c>
      <c r="R14" s="24"/>
      <c r="S14" s="24"/>
    </row>
    <row r="15" spans="2:27" ht="12" customHeight="1">
      <c r="B15" s="28">
        <v>9</v>
      </c>
      <c r="C15" s="24"/>
      <c r="D15" s="24"/>
      <c r="E15" s="28">
        <v>9</v>
      </c>
      <c r="F15" s="24"/>
      <c r="G15" s="24"/>
      <c r="H15" s="28">
        <v>9</v>
      </c>
      <c r="I15" s="24">
        <v>0.13</v>
      </c>
      <c r="J15" s="24">
        <v>98.95</v>
      </c>
      <c r="K15" s="28">
        <v>9</v>
      </c>
      <c r="L15" s="24">
        <v>0.3</v>
      </c>
      <c r="M15" s="24">
        <v>98.9</v>
      </c>
      <c r="N15" s="28">
        <v>9</v>
      </c>
      <c r="O15" s="24"/>
      <c r="P15" s="24"/>
      <c r="Q15" s="28">
        <v>9</v>
      </c>
      <c r="R15" s="24"/>
      <c r="S15" s="24"/>
    </row>
    <row r="16" spans="2:27" ht="12" customHeight="1">
      <c r="B16" s="28">
        <v>10</v>
      </c>
      <c r="C16" s="24"/>
      <c r="D16" s="24"/>
      <c r="E16" s="28">
        <v>10</v>
      </c>
      <c r="F16" s="24"/>
      <c r="G16" s="24"/>
      <c r="H16" s="28">
        <v>10</v>
      </c>
      <c r="I16" s="24">
        <v>0.11</v>
      </c>
      <c r="J16" s="24">
        <v>99.05</v>
      </c>
      <c r="K16" s="28">
        <v>10</v>
      </c>
      <c r="L16" s="24"/>
      <c r="M16" s="24"/>
      <c r="N16" s="28">
        <v>10</v>
      </c>
      <c r="O16" s="24"/>
      <c r="P16" s="24"/>
      <c r="Q16" s="28">
        <v>10</v>
      </c>
      <c r="R16" s="24"/>
      <c r="S16" s="24"/>
    </row>
    <row r="17" spans="2:26" ht="12" customHeight="1">
      <c r="B17" s="28">
        <v>11</v>
      </c>
      <c r="C17" s="24"/>
      <c r="D17" s="24"/>
      <c r="E17" s="28">
        <v>11</v>
      </c>
      <c r="F17" s="24"/>
      <c r="G17" s="24"/>
      <c r="H17" s="28">
        <v>11</v>
      </c>
      <c r="I17" s="24"/>
      <c r="J17" s="24"/>
      <c r="K17" s="28">
        <v>11</v>
      </c>
      <c r="L17" s="24"/>
      <c r="M17" s="24"/>
      <c r="N17" s="28">
        <v>11</v>
      </c>
      <c r="O17" s="24"/>
      <c r="P17" s="24"/>
      <c r="Q17" s="28">
        <v>11</v>
      </c>
      <c r="R17" s="24"/>
      <c r="S17" s="24"/>
    </row>
    <row r="18" spans="2:26" ht="12" customHeight="1">
      <c r="B18" s="28">
        <v>12</v>
      </c>
      <c r="C18" s="24"/>
      <c r="D18" s="24"/>
      <c r="E18" s="28">
        <v>12</v>
      </c>
      <c r="F18" s="24"/>
      <c r="G18" s="24"/>
      <c r="H18" s="28">
        <v>12</v>
      </c>
      <c r="I18" s="24"/>
      <c r="J18" s="24"/>
      <c r="K18" s="28">
        <v>12</v>
      </c>
      <c r="L18" s="24"/>
      <c r="M18" s="24"/>
      <c r="N18" s="28">
        <v>12</v>
      </c>
      <c r="O18" s="24"/>
      <c r="P18" s="24"/>
      <c r="Q18" s="28">
        <v>12</v>
      </c>
      <c r="R18" s="24"/>
      <c r="S18" s="24"/>
    </row>
    <row r="19" spans="2:26" ht="12" customHeight="1">
      <c r="B19" s="28">
        <v>13</v>
      </c>
      <c r="C19" s="24"/>
      <c r="D19" s="24"/>
      <c r="E19" s="28">
        <v>13</v>
      </c>
      <c r="F19" s="24"/>
      <c r="G19" s="24"/>
      <c r="H19" s="28">
        <v>13</v>
      </c>
      <c r="I19" s="24"/>
      <c r="J19" s="24"/>
      <c r="K19" s="28">
        <v>13</v>
      </c>
      <c r="L19" s="24"/>
      <c r="M19" s="24"/>
      <c r="N19" s="28">
        <v>13</v>
      </c>
      <c r="O19" s="24"/>
      <c r="P19" s="24"/>
      <c r="Q19" s="28">
        <v>13</v>
      </c>
      <c r="R19" s="24"/>
      <c r="S19" s="24"/>
    </row>
    <row r="20" spans="2:26" ht="12" customHeight="1">
      <c r="B20" s="28">
        <v>14</v>
      </c>
      <c r="C20" s="24"/>
      <c r="D20" s="24"/>
      <c r="E20" s="28">
        <v>14</v>
      </c>
      <c r="F20" s="24"/>
      <c r="G20" s="24"/>
      <c r="H20" s="28">
        <v>14</v>
      </c>
      <c r="I20" s="24"/>
      <c r="J20" s="24"/>
      <c r="K20" s="28">
        <v>14</v>
      </c>
      <c r="L20" s="24"/>
      <c r="M20" s="24"/>
      <c r="N20" s="28">
        <v>14</v>
      </c>
      <c r="O20" s="24"/>
      <c r="P20" s="24"/>
      <c r="Q20" s="28">
        <v>14</v>
      </c>
      <c r="R20" s="24"/>
      <c r="S20" s="24"/>
    </row>
    <row r="21" spans="2:26" ht="12" customHeight="1">
      <c r="B21" s="28">
        <v>15</v>
      </c>
      <c r="C21" s="24"/>
      <c r="D21" s="24"/>
      <c r="E21" s="28">
        <v>15</v>
      </c>
      <c r="F21" s="24"/>
      <c r="G21" s="24"/>
      <c r="H21" s="28">
        <v>15</v>
      </c>
      <c r="I21" s="24"/>
      <c r="J21" s="24"/>
      <c r="K21" s="28">
        <v>15</v>
      </c>
      <c r="L21" s="24"/>
      <c r="M21" s="24"/>
      <c r="N21" s="28">
        <v>15</v>
      </c>
      <c r="O21" s="24"/>
      <c r="P21" s="24"/>
      <c r="Q21" s="28">
        <v>15</v>
      </c>
      <c r="R21" s="24"/>
      <c r="S21" s="24"/>
    </row>
    <row r="22" spans="2:26" ht="12" customHeight="1">
      <c r="B22" s="28">
        <v>16</v>
      </c>
      <c r="C22" s="24"/>
      <c r="D22" s="24"/>
      <c r="E22" s="28">
        <v>16</v>
      </c>
      <c r="F22" s="24"/>
      <c r="G22" s="24"/>
      <c r="H22" s="28">
        <v>16</v>
      </c>
      <c r="I22" s="24"/>
      <c r="J22" s="24"/>
      <c r="K22" s="28">
        <v>16</v>
      </c>
      <c r="L22" s="24"/>
      <c r="M22" s="24"/>
      <c r="N22" s="28">
        <v>16</v>
      </c>
      <c r="O22" s="24"/>
      <c r="P22" s="24"/>
      <c r="Q22" s="28">
        <v>16</v>
      </c>
      <c r="R22" s="24"/>
      <c r="S22" s="24"/>
    </row>
    <row r="23" spans="2:26" ht="12" customHeight="1">
      <c r="B23" s="28">
        <v>17</v>
      </c>
      <c r="C23" s="24"/>
      <c r="D23" s="24"/>
      <c r="E23" s="28">
        <v>17</v>
      </c>
      <c r="F23" s="24"/>
      <c r="G23" s="24"/>
      <c r="H23" s="28">
        <v>17</v>
      </c>
      <c r="I23" s="24"/>
      <c r="J23" s="24"/>
      <c r="K23" s="28">
        <v>17</v>
      </c>
      <c r="L23" s="24"/>
      <c r="M23" s="24"/>
      <c r="N23" s="28">
        <v>17</v>
      </c>
      <c r="O23" s="24"/>
      <c r="P23" s="24"/>
      <c r="Q23" s="28">
        <v>17</v>
      </c>
      <c r="R23" s="24"/>
      <c r="S23" s="24"/>
    </row>
    <row r="24" spans="2:26" ht="12" customHeight="1">
      <c r="B24" s="28">
        <v>18</v>
      </c>
      <c r="C24" s="24"/>
      <c r="D24" s="24"/>
      <c r="E24" s="28">
        <v>18</v>
      </c>
      <c r="F24" s="24"/>
      <c r="G24" s="24"/>
      <c r="H24" s="28">
        <v>18</v>
      </c>
      <c r="I24" s="24"/>
      <c r="J24" s="24"/>
      <c r="K24" s="28">
        <v>18</v>
      </c>
      <c r="L24" s="24"/>
      <c r="M24" s="24"/>
      <c r="N24" s="28">
        <v>18</v>
      </c>
      <c r="O24" s="24"/>
      <c r="P24" s="24"/>
      <c r="Q24" s="28">
        <v>18</v>
      </c>
      <c r="R24" s="24"/>
      <c r="S24" s="24"/>
    </row>
    <row r="25" spans="2:26" ht="12" customHeight="1">
      <c r="B25" s="28">
        <v>19</v>
      </c>
      <c r="C25" s="24"/>
      <c r="D25" s="24"/>
      <c r="E25" s="28">
        <v>19</v>
      </c>
      <c r="F25" s="24"/>
      <c r="G25" s="24"/>
      <c r="H25" s="28">
        <v>19</v>
      </c>
      <c r="I25" s="24"/>
      <c r="J25" s="24"/>
      <c r="K25" s="28">
        <v>19</v>
      </c>
      <c r="L25" s="24"/>
      <c r="M25" s="24"/>
      <c r="N25" s="28">
        <v>19</v>
      </c>
      <c r="O25" s="24"/>
      <c r="P25" s="24"/>
      <c r="Q25" s="28">
        <v>19</v>
      </c>
      <c r="R25" s="24"/>
      <c r="S25" s="24"/>
    </row>
    <row r="26" spans="2:26" ht="12" customHeight="1">
      <c r="B26" s="28">
        <v>20</v>
      </c>
      <c r="C26" s="24"/>
      <c r="D26" s="24"/>
      <c r="E26" s="28">
        <v>20</v>
      </c>
      <c r="F26" s="24"/>
      <c r="G26" s="24"/>
      <c r="H26" s="28">
        <v>20</v>
      </c>
      <c r="I26" s="24"/>
      <c r="J26" s="24"/>
      <c r="K26" s="28">
        <v>20</v>
      </c>
      <c r="L26" s="24"/>
      <c r="M26" s="24"/>
      <c r="N26" s="28">
        <v>20</v>
      </c>
      <c r="O26" s="24"/>
      <c r="P26" s="24"/>
      <c r="Q26" s="28">
        <v>20</v>
      </c>
      <c r="R26" s="24"/>
      <c r="S26" s="24"/>
    </row>
    <row r="27" spans="2:26" ht="12" customHeight="1">
      <c r="U27" s="29"/>
      <c r="V27" s="49"/>
      <c r="W27" s="49"/>
      <c r="X27" s="30"/>
      <c r="Y27" s="49"/>
      <c r="Z27" s="49"/>
    </row>
    <row r="28" spans="2:26" ht="12" customHeight="1"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U28" s="31"/>
      <c r="V28" s="49"/>
      <c r="W28" s="49"/>
      <c r="X28" s="32"/>
      <c r="Y28" s="49"/>
      <c r="Z28" s="49"/>
    </row>
    <row r="29" spans="2:26" ht="12" customHeight="1"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U29" s="34"/>
      <c r="V29" s="49"/>
      <c r="W29" s="49"/>
      <c r="X29" s="35"/>
      <c r="Y29" s="49"/>
      <c r="Z29" s="49"/>
    </row>
    <row r="30" spans="2:26" ht="13.15" hidden="1" customHeight="1">
      <c r="C30" s="10"/>
      <c r="D30" s="10"/>
      <c r="E30" s="48"/>
      <c r="F30" s="48"/>
      <c r="G30" s="48"/>
      <c r="H30" s="48"/>
      <c r="I30" s="48"/>
    </row>
    <row r="31" spans="2:26" ht="10.5" hidden="1" customHeight="1">
      <c r="I31" s="33"/>
      <c r="J31" s="33"/>
    </row>
    <row r="56" spans="1:1" hidden="1">
      <c r="A56" s="36"/>
    </row>
  </sheetData>
  <sheetProtection sheet="1" objects="1" scenarios="1" selectLockedCells="1"/>
  <mergeCells count="16">
    <mergeCell ref="E30:I30"/>
    <mergeCell ref="O5:P5"/>
    <mergeCell ref="R5:S5"/>
    <mergeCell ref="C5:D5"/>
    <mergeCell ref="Y27:Z27"/>
    <mergeCell ref="V29:W29"/>
    <mergeCell ref="F5:G5"/>
    <mergeCell ref="Y28:Z28"/>
    <mergeCell ref="Y29:Z29"/>
    <mergeCell ref="V27:W27"/>
    <mergeCell ref="V28:W28"/>
    <mergeCell ref="U3:AA3"/>
    <mergeCell ref="B1:AA1"/>
    <mergeCell ref="I5:J5"/>
    <mergeCell ref="L5:M5"/>
    <mergeCell ref="H2:N2"/>
  </mergeCells>
  <phoneticPr fontId="1" type="noConversion"/>
  <printOptions horizontalCentered="1" verticalCentered="1"/>
  <pageMargins left="0" right="0" top="0" bottom="0" header="0.5" footer="0.5"/>
  <pageSetup fitToHeight="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_data">
                <anchor moveWithCells="1" sizeWithCells="1">
                  <from>
                    <xdr:col>1</xdr:col>
                    <xdr:colOff>190500</xdr:colOff>
                    <xdr:row>2</xdr:row>
                    <xdr:rowOff>123825</xdr:rowOff>
                  </from>
                  <to>
                    <xdr:col>3</xdr:col>
                    <xdr:colOff>352425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Full_screen">
                <anchor moveWithCells="1" sizeWithCells="1">
                  <from>
                    <xdr:col>1</xdr:col>
                    <xdr:colOff>190500</xdr:colOff>
                    <xdr:row>1</xdr:row>
                    <xdr:rowOff>57150</xdr:rowOff>
                  </from>
                  <to>
                    <xdr:col>3</xdr:col>
                    <xdr:colOff>352425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3:AP48"/>
  <sheetViews>
    <sheetView showGridLines="0" workbookViewId="0">
      <selection activeCell="J28" sqref="J28"/>
    </sheetView>
  </sheetViews>
  <sheetFormatPr defaultColWidth="9.140625" defaultRowHeight="10.5"/>
  <cols>
    <col min="1" max="1" width="2.28515625" style="1" customWidth="1"/>
    <col min="2" max="2" width="3" style="1" bestFit="1" customWidth="1"/>
    <col min="3" max="4" width="9.140625" style="1"/>
    <col min="5" max="5" width="2.42578125" style="1" customWidth="1"/>
    <col min="6" max="7" width="9.140625" style="1"/>
    <col min="8" max="8" width="2.42578125" style="1" customWidth="1"/>
    <col min="9" max="10" width="9.140625" style="1"/>
    <col min="11" max="11" width="2.42578125" style="1" customWidth="1"/>
    <col min="12" max="13" width="9.140625" style="1"/>
    <col min="14" max="14" width="2.42578125" style="1" customWidth="1"/>
    <col min="15" max="16" width="9.140625" style="1"/>
    <col min="17" max="17" width="2.42578125" style="1" customWidth="1"/>
    <col min="18" max="16384" width="9.140625" style="1"/>
  </cols>
  <sheetData>
    <row r="3" spans="2:38">
      <c r="C3" s="50" t="str">
        <f>IF('Stratification Diagram'!C5="","",'Stratification Diagram'!C5)</f>
        <v>Process 1</v>
      </c>
      <c r="D3" s="51"/>
      <c r="F3" s="50" t="str">
        <f>IF('Stratification Diagram'!F5="","",'Stratification Diagram'!F5)</f>
        <v>Process 2</v>
      </c>
      <c r="G3" s="51"/>
      <c r="I3" s="50" t="str">
        <f>IF('Stratification Diagram'!I5="","",'Stratification Diagram'!I5)</f>
        <v>Process 3</v>
      </c>
      <c r="J3" s="51"/>
      <c r="L3" s="50" t="str">
        <f>IF('Stratification Diagram'!L5="","",'Stratification Diagram'!L5)</f>
        <v>Process 4</v>
      </c>
      <c r="M3" s="51"/>
      <c r="O3" s="50" t="str">
        <f>IF('Stratification Diagram'!O5="","",'Stratification Diagram'!O5)</f>
        <v>Process 5</v>
      </c>
      <c r="P3" s="51"/>
      <c r="R3" s="50" t="str">
        <f>IF('Stratification Diagram'!R5="","",'Stratification Diagram'!R5)</f>
        <v>Process 6</v>
      </c>
      <c r="S3" s="51"/>
      <c r="V3" s="50" t="str">
        <f>IF(AND(C5="",D5="")=TRUE,"",C3)</f>
        <v>Process 1</v>
      </c>
      <c r="W3" s="51"/>
      <c r="Y3" s="50" t="str">
        <f>IF(AND(F5="",G5="")=TRUE,"",F3)</f>
        <v>Process 2</v>
      </c>
      <c r="Z3" s="51"/>
      <c r="AB3" s="50" t="str">
        <f>IF(AND(I5="",J5="")=TRUE,"",I3)</f>
        <v>Process 3</v>
      </c>
      <c r="AC3" s="51"/>
      <c r="AE3" s="50" t="str">
        <f>IF(AND(L5="",M5="")=TRUE,"",L3)</f>
        <v>Process 4</v>
      </c>
      <c r="AF3" s="51"/>
      <c r="AH3" s="50" t="str">
        <f>IF(AND(O5="",P5="")=TRUE,"",O3)</f>
        <v>Process 5</v>
      </c>
      <c r="AI3" s="51"/>
      <c r="AK3" s="50" t="str">
        <f>IF(AND(R5="",S5="")=TRUE,"",R3)</f>
        <v>Process 6</v>
      </c>
      <c r="AL3" s="51"/>
    </row>
    <row r="4" spans="2:38">
      <c r="C4" s="3" t="str">
        <f>IF('Stratification Diagram'!C6="","",'Stratification Diagram'!C6)</f>
        <v>Input (x)</v>
      </c>
      <c r="D4" s="3" t="str">
        <f>IF('Stratification Diagram'!D6="","",'Stratification Diagram'!D6)</f>
        <v>Output (y)</v>
      </c>
      <c r="F4" s="3" t="str">
        <f>IF('Stratification Diagram'!F6="","",'Stratification Diagram'!F6)</f>
        <v>Input (x)</v>
      </c>
      <c r="G4" s="3" t="str">
        <f>IF('Stratification Diagram'!G6="","",'Stratification Diagram'!G6)</f>
        <v>Output (y)</v>
      </c>
      <c r="I4" s="3" t="str">
        <f>IF('Stratification Diagram'!I6="","",'Stratification Diagram'!I6)</f>
        <v>Input (x)</v>
      </c>
      <c r="J4" s="3" t="str">
        <f>IF('Stratification Diagram'!J6="","",'Stratification Diagram'!J6)</f>
        <v>Output (y)</v>
      </c>
      <c r="L4" s="3" t="str">
        <f>IF('Stratification Diagram'!L6="","",'Stratification Diagram'!L6)</f>
        <v>Input (x)</v>
      </c>
      <c r="M4" s="3" t="str">
        <f>IF('Stratification Diagram'!M6="","",'Stratification Diagram'!M6)</f>
        <v>Output (y)</v>
      </c>
      <c r="O4" s="3" t="str">
        <f>IF('Stratification Diagram'!O6="","",'Stratification Diagram'!O6)</f>
        <v>Input (x)</v>
      </c>
      <c r="P4" s="3" t="str">
        <f>IF('Stratification Diagram'!P6="","",'Stratification Diagram'!P6)</f>
        <v>Output (y)</v>
      </c>
      <c r="R4" s="3" t="str">
        <f>IF('Stratification Diagram'!R6="","",'Stratification Diagram'!R6)</f>
        <v>Input (x)</v>
      </c>
      <c r="S4" s="3" t="str">
        <f>IF('Stratification Diagram'!S6="","",'Stratification Diagram'!S6)</f>
        <v>Output (y)</v>
      </c>
      <c r="V4" s="3" t="str">
        <f>IF(C4="","",C4)</f>
        <v>Input (x)</v>
      </c>
      <c r="W4" s="3" t="str">
        <f>IF(D4="","",D4)</f>
        <v>Output (y)</v>
      </c>
      <c r="Y4" s="3" t="str">
        <f>IF(F4="","",F4)</f>
        <v>Input (x)</v>
      </c>
      <c r="Z4" s="3" t="str">
        <f>IF(G4="","",G4)</f>
        <v>Output (y)</v>
      </c>
      <c r="AB4" s="3" t="str">
        <f>IF(I4="","",I4)</f>
        <v>Input (x)</v>
      </c>
      <c r="AC4" s="3" t="str">
        <f>IF(J4="","",J4)</f>
        <v>Output (y)</v>
      </c>
      <c r="AE4" s="3" t="str">
        <f>IF(L4="","",L4)</f>
        <v>Input (x)</v>
      </c>
      <c r="AF4" s="3" t="str">
        <f>IF(M4="","",M4)</f>
        <v>Output (y)</v>
      </c>
      <c r="AH4" s="3" t="str">
        <f>IF(O4="","",O4)</f>
        <v>Input (x)</v>
      </c>
      <c r="AI4" s="3" t="str">
        <f>IF(P4="","",P4)</f>
        <v>Output (y)</v>
      </c>
      <c r="AK4" s="3" t="str">
        <f>IF(R4="","",R4)</f>
        <v>Input (x)</v>
      </c>
      <c r="AL4" s="3" t="str">
        <f>IF(S4="","",S4)</f>
        <v>Output (y)</v>
      </c>
    </row>
    <row r="5" spans="2:38">
      <c r="B5" s="1">
        <v>1</v>
      </c>
      <c r="C5" s="2">
        <f>IF('Stratification Diagram'!C7="","",'Stratification Diagram'!C7)</f>
        <v>0.45</v>
      </c>
      <c r="D5" s="2">
        <f>IF('Stratification Diagram'!D7="","",'Stratification Diagram'!D7)</f>
        <v>99.3</v>
      </c>
      <c r="F5" s="2">
        <f>IF('Stratification Diagram'!F7="","",'Stratification Diagram'!F7)</f>
        <v>0.6</v>
      </c>
      <c r="G5" s="2">
        <f>IF('Stratification Diagram'!G7="","",'Stratification Diagram'!G7)</f>
        <v>98.3</v>
      </c>
      <c r="I5" s="2">
        <f>IF('Stratification Diagram'!I7="","",'Stratification Diagram'!I7)</f>
        <v>0.5</v>
      </c>
      <c r="J5" s="2">
        <f>IF('Stratification Diagram'!J7="","",'Stratification Diagram'!J7)</f>
        <v>98.25</v>
      </c>
      <c r="L5" s="2">
        <f>IF('Stratification Diagram'!L7="","",'Stratification Diagram'!L7)</f>
        <v>0.5</v>
      </c>
      <c r="M5" s="2">
        <f>IF('Stratification Diagram'!M7="","",'Stratification Diagram'!M7)</f>
        <v>99.4</v>
      </c>
      <c r="O5" s="2">
        <f>IF('Stratification Diagram'!O7="","",'Stratification Diagram'!O7)</f>
        <v>0.5</v>
      </c>
      <c r="P5" s="2">
        <f>IF('Stratification Diagram'!P7="","",'Stratification Diagram'!P7)</f>
        <v>99.4</v>
      </c>
      <c r="R5" s="2">
        <f>IF('Stratification Diagram'!R7="","",'Stratification Diagram'!R7)</f>
        <v>0.45</v>
      </c>
      <c r="S5" s="2">
        <f>IF('Stratification Diagram'!S7="","",'Stratification Diagram'!S7)</f>
        <v>98.9</v>
      </c>
      <c r="U5" s="1">
        <f>IF(AND(C5="",D5="")=TRUE,NA(),1)</f>
        <v>1</v>
      </c>
      <c r="V5" s="2">
        <f>IF(AND(C5="",D5="")=TRUE,NA(),IF(AND(C5="",COUNTBLANK(D5)=0)=TRUE,1,IF(D5="",NA(),C5)))</f>
        <v>0.45</v>
      </c>
      <c r="W5" s="2">
        <f>IF(AND(C5="",D5="")=TRUE,NA(),IF(AND(C5="",COUNTBLANK(D5)=0)=TRUE,D5,IF(D5="",NA(),D5)))</f>
        <v>99.3</v>
      </c>
      <c r="X5" s="1">
        <f>IF(AND(F5="",G5="")=TRUE,NA(),2)</f>
        <v>2</v>
      </c>
      <c r="Y5" s="2">
        <f>IF(AND(F5="",G5="")=TRUE,NA(),IF(AND(F5="",COUNTBLANK(G5)=0)=TRUE,2,IF(G5="",NA(),F5)))</f>
        <v>0.6</v>
      </c>
      <c r="Z5" s="2">
        <f>IF(AND(F5="",G5="")=TRUE,NA(),IF(AND(F5="",COUNTBLANK(G5)=0)=TRUE,G5,IF(G5="",NA(),G5)))</f>
        <v>98.3</v>
      </c>
      <c r="AA5" s="1">
        <f>IF(AND(I5="",J5="")=TRUE,NA(),3)</f>
        <v>3</v>
      </c>
      <c r="AB5" s="2">
        <f>IF(AND(I5="",J5="")=TRUE,NA(),IF(AND(I5="",COUNTBLANK(J5)=0)=TRUE,3,IF(J5="",NA(),I5)))</f>
        <v>0.5</v>
      </c>
      <c r="AC5" s="2">
        <f>IF(AND(I5="",J5="")=TRUE,NA(),IF(AND(I5="",COUNTBLANK(J5)=0)=TRUE,J5,IF(J5="",NA(),J5)))</f>
        <v>98.25</v>
      </c>
      <c r="AD5" s="1">
        <f>IF(AND(L5="",M5="")=TRUE,NA(),4)</f>
        <v>4</v>
      </c>
      <c r="AE5" s="2">
        <f>IF(AND(L5="",M5="")=TRUE,NA(),IF(AND(L5="",COUNTBLANK(M5)=0)=TRUE,4,IF(M5="",NA(),L5)))</f>
        <v>0.5</v>
      </c>
      <c r="AF5" s="2">
        <f>IF(AND(L5="",M5="")=TRUE,NA(),IF(AND(L5="",COUNTBLANK(M5)=0)=TRUE,M5,IF(M5="",NA(),M5)))</f>
        <v>99.4</v>
      </c>
      <c r="AG5" s="1">
        <f>IF(AND(O5="",P5="")=TRUE,NA(),5)</f>
        <v>5</v>
      </c>
      <c r="AH5" s="2">
        <f>IF(AND(O5="",P5="")=TRUE,NA(),IF(AND(O5="",COUNTBLANK(P5)=0)=TRUE,5,IF(P5="",NA(),O5)))</f>
        <v>0.5</v>
      </c>
      <c r="AI5" s="2">
        <f>IF(AND(O5="",P5="")=TRUE,NA(),IF(AND(O5="",COUNTBLANK(P5)=0)=TRUE,P5,IF(P5="",NA(),P5)))</f>
        <v>99.4</v>
      </c>
      <c r="AJ5" s="1">
        <f>IF(AND(R5="",S5="")=TRUE,NA(),6)</f>
        <v>6</v>
      </c>
      <c r="AK5" s="2">
        <f>IF(AND(R5="",S5="")=TRUE,NA(),IF(AND(R5="",COUNTBLANK(S5)=0)=TRUE,6,IF(S5="",NA(),R5)))</f>
        <v>0.45</v>
      </c>
      <c r="AL5" s="2">
        <f>IF(AND(R5="",S5="")=TRUE,NA(),IF(AND(R5="",COUNTBLANK(S5)=0)=TRUE,S5,IF(S5="",NA(),S5)))</f>
        <v>98.9</v>
      </c>
    </row>
    <row r="6" spans="2:38">
      <c r="B6" s="1">
        <v>2</v>
      </c>
      <c r="C6" s="2">
        <f>IF('Stratification Diagram'!C8="","",'Stratification Diagram'!C8)</f>
        <v>0.27</v>
      </c>
      <c r="D6" s="2">
        <f>IF('Stratification Diagram'!D8="","",'Stratification Diagram'!D8)</f>
        <v>99</v>
      </c>
      <c r="F6" s="2">
        <f>IF('Stratification Diagram'!F8="","",'Stratification Diagram'!F8)</f>
        <v>0.63</v>
      </c>
      <c r="G6" s="2">
        <f>IF('Stratification Diagram'!G8="","",'Stratification Diagram'!G8)</f>
        <v>99.54</v>
      </c>
      <c r="I6" s="2">
        <f>IF('Stratification Diagram'!I8="","",'Stratification Diagram'!I8)</f>
        <v>0.4</v>
      </c>
      <c r="J6" s="2">
        <f>IF('Stratification Diagram'!J8="","",'Stratification Diagram'!J8)</f>
        <v>98.35</v>
      </c>
      <c r="L6" s="2">
        <f>IF('Stratification Diagram'!L8="","",'Stratification Diagram'!L8)</f>
        <v>0.45</v>
      </c>
      <c r="M6" s="2">
        <f>IF('Stratification Diagram'!M8="","",'Stratification Diagram'!M8)</f>
        <v>99.1</v>
      </c>
      <c r="O6" s="2">
        <f>IF('Stratification Diagram'!O8="","",'Stratification Diagram'!O8)</f>
        <v>0.33</v>
      </c>
      <c r="P6" s="2">
        <f>IF('Stratification Diagram'!P8="","",'Stratification Diagram'!P8)</f>
        <v>98.4</v>
      </c>
      <c r="R6" s="2">
        <f>IF('Stratification Diagram'!R8="","",'Stratification Diagram'!R8)</f>
        <v>0.57999999999999996</v>
      </c>
      <c r="S6" s="2">
        <f>IF('Stratification Diagram'!S8="","",'Stratification Diagram'!S8)</f>
        <v>99.2</v>
      </c>
      <c r="U6" s="1">
        <f t="shared" ref="U6:U23" si="0">IF(AND(C6="",D6="")=TRUE,NA(),1)</f>
        <v>1</v>
      </c>
      <c r="V6" s="2">
        <f t="shared" ref="V6:V23" si="1">IF(AND(C6="",D6="")=TRUE,NA(),IF(AND(C6="",COUNTBLANK(D6)=0)=TRUE,1,IF(D6="",NA(),C6)))</f>
        <v>0.27</v>
      </c>
      <c r="W6" s="2">
        <f t="shared" ref="W6:W23" si="2">IF(AND(C6="",D6="")=TRUE,NA(),IF(AND(C6="",COUNTBLANK(D6)=0)=TRUE,D6,IF(D6="",NA(),D6)))</f>
        <v>99</v>
      </c>
      <c r="X6" s="1">
        <f t="shared" ref="X6:X23" si="3">IF(AND(F6="",G6="")=TRUE,NA(),2)</f>
        <v>2</v>
      </c>
      <c r="Y6" s="2">
        <f t="shared" ref="Y6:Y23" si="4">IF(AND(F6="",G6="")=TRUE,NA(),IF(AND(F6="",COUNTBLANK(G6)=0)=TRUE,2,IF(G6="",NA(),F6)))</f>
        <v>0.63</v>
      </c>
      <c r="Z6" s="2">
        <f t="shared" ref="Z6:Z23" si="5">IF(AND(F6="",G6="")=TRUE,NA(),IF(AND(F6="",COUNTBLANK(G6)=0)=TRUE,G6,IF(G6="",NA(),G6)))</f>
        <v>99.54</v>
      </c>
      <c r="AA6" s="1">
        <f t="shared" ref="AA6:AA23" si="6">IF(AND(I6="",J6="")=TRUE,NA(),3)</f>
        <v>3</v>
      </c>
      <c r="AB6" s="2">
        <f t="shared" ref="AB6:AB23" si="7">IF(AND(I6="",J6="")=TRUE,NA(),IF(AND(I6="",COUNTBLANK(J6)=0)=TRUE,3,IF(J6="",NA(),I6)))</f>
        <v>0.4</v>
      </c>
      <c r="AC6" s="2">
        <f t="shared" ref="AC6:AC23" si="8">IF(AND(I6="",J6="")=TRUE,NA(),IF(AND(I6="",COUNTBLANK(J6)=0)=TRUE,J6,IF(J6="",NA(),J6)))</f>
        <v>98.35</v>
      </c>
      <c r="AD6" s="1">
        <f t="shared" ref="AD6:AD23" si="9">IF(AND(L6="",M6="")=TRUE,NA(),4)</f>
        <v>4</v>
      </c>
      <c r="AE6" s="2">
        <f t="shared" ref="AE6:AE23" si="10">IF(AND(L6="",M6="")=TRUE,NA(),IF(AND(L6="",COUNTBLANK(M6)=0)=TRUE,4,IF(M6="",NA(),L6)))</f>
        <v>0.45</v>
      </c>
      <c r="AF6" s="2">
        <f t="shared" ref="AF6:AF23" si="11">IF(AND(L6="",M6="")=TRUE,NA(),IF(AND(L6="",COUNTBLANK(M6)=0)=TRUE,M6,IF(M6="",NA(),M6)))</f>
        <v>99.1</v>
      </c>
      <c r="AG6" s="1">
        <f t="shared" ref="AG6:AG23" si="12">IF(AND(O6="",P6="")=TRUE,NA(),5)</f>
        <v>5</v>
      </c>
      <c r="AH6" s="2">
        <f t="shared" ref="AH6:AH23" si="13">IF(AND(O6="",P6="")=TRUE,NA(),IF(AND(O6="",COUNTBLANK(P6)=0)=TRUE,5,IF(P6="",NA(),O6)))</f>
        <v>0.33</v>
      </c>
      <c r="AI6" s="2">
        <f t="shared" ref="AI6:AI23" si="14">IF(AND(O6="",P6="")=TRUE,NA(),IF(AND(O6="",COUNTBLANK(P6)=0)=TRUE,P6,IF(P6="",NA(),P6)))</f>
        <v>98.4</v>
      </c>
      <c r="AJ6" s="1">
        <f t="shared" ref="AJ6:AJ23" si="15">IF(AND(R6="",S6="")=TRUE,NA(),6)</f>
        <v>6</v>
      </c>
      <c r="AK6" s="2">
        <f t="shared" ref="AK6:AK23" si="16">IF(AND(R6="",S6="")=TRUE,NA(),IF(AND(R6="",COUNTBLANK(S6)=0)=TRUE,6,IF(S6="",NA(),R6)))</f>
        <v>0.57999999999999996</v>
      </c>
      <c r="AL6" s="2">
        <f t="shared" ref="AL6:AL23" si="17">IF(AND(R6="",S6="")=TRUE,NA(),IF(AND(R6="",COUNTBLANK(S6)=0)=TRUE,S6,IF(S6="",NA(),S6)))</f>
        <v>99.2</v>
      </c>
    </row>
    <row r="7" spans="2:38">
      <c r="B7" s="1">
        <v>3</v>
      </c>
      <c r="C7" s="2">
        <f>IF('Stratification Diagram'!C9="","",'Stratification Diagram'!C9)</f>
        <v>0.26</v>
      </c>
      <c r="D7" s="2">
        <f>IF('Stratification Diagram'!D9="","",'Stratification Diagram'!D9)</f>
        <v>99.75</v>
      </c>
      <c r="F7" s="2">
        <f>IF('Stratification Diagram'!F9="","",'Stratification Diagram'!F9)</f>
        <v>0.21</v>
      </c>
      <c r="G7" s="2">
        <f>IF('Stratification Diagram'!G9="","",'Stratification Diagram'!G9)</f>
        <v>99.1</v>
      </c>
      <c r="I7" s="2">
        <f>IF('Stratification Diagram'!I9="","",'Stratification Diagram'!I9)</f>
        <v>0.45</v>
      </c>
      <c r="J7" s="2">
        <f>IF('Stratification Diagram'!J9="","",'Stratification Diagram'!J9)</f>
        <v>98.6</v>
      </c>
      <c r="L7" s="2">
        <f>IF('Stratification Diagram'!L9="","",'Stratification Diagram'!L9)</f>
        <v>0.3</v>
      </c>
      <c r="M7" s="2">
        <f>IF('Stratification Diagram'!M9="","",'Stratification Diagram'!M9)</f>
        <v>99.2</v>
      </c>
      <c r="O7" s="2">
        <f>IF('Stratification Diagram'!O9="","",'Stratification Diagram'!O9)</f>
        <v>0.47</v>
      </c>
      <c r="P7" s="2">
        <f>IF('Stratification Diagram'!P9="","",'Stratification Diagram'!P9)</f>
        <v>99.9</v>
      </c>
      <c r="R7" s="2" t="str">
        <f>IF('Stratification Diagram'!R9="","",'Stratification Diagram'!R9)</f>
        <v/>
      </c>
      <c r="S7" s="2" t="str">
        <f>IF('Stratification Diagram'!S9="","",'Stratification Diagram'!S9)</f>
        <v/>
      </c>
      <c r="U7" s="1">
        <f t="shared" si="0"/>
        <v>1</v>
      </c>
      <c r="V7" s="2">
        <f t="shared" si="1"/>
        <v>0.26</v>
      </c>
      <c r="W7" s="2">
        <f t="shared" si="2"/>
        <v>99.75</v>
      </c>
      <c r="X7" s="1">
        <f t="shared" si="3"/>
        <v>2</v>
      </c>
      <c r="Y7" s="2">
        <f t="shared" si="4"/>
        <v>0.21</v>
      </c>
      <c r="Z7" s="2">
        <f t="shared" si="5"/>
        <v>99.1</v>
      </c>
      <c r="AA7" s="1">
        <f t="shared" si="6"/>
        <v>3</v>
      </c>
      <c r="AB7" s="2">
        <f t="shared" si="7"/>
        <v>0.45</v>
      </c>
      <c r="AC7" s="2">
        <f t="shared" si="8"/>
        <v>98.6</v>
      </c>
      <c r="AD7" s="1">
        <f t="shared" si="9"/>
        <v>4</v>
      </c>
      <c r="AE7" s="2">
        <f t="shared" si="10"/>
        <v>0.3</v>
      </c>
      <c r="AF7" s="2">
        <f t="shared" si="11"/>
        <v>99.2</v>
      </c>
      <c r="AG7" s="1">
        <f t="shared" si="12"/>
        <v>5</v>
      </c>
      <c r="AH7" s="2">
        <f t="shared" si="13"/>
        <v>0.47</v>
      </c>
      <c r="AI7" s="2">
        <f t="shared" si="14"/>
        <v>99.9</v>
      </c>
      <c r="AJ7" s="1" t="e">
        <f t="shared" si="15"/>
        <v>#N/A</v>
      </c>
      <c r="AK7" s="2" t="e">
        <f t="shared" si="16"/>
        <v>#N/A</v>
      </c>
      <c r="AL7" s="2" t="e">
        <f t="shared" si="17"/>
        <v>#N/A</v>
      </c>
    </row>
    <row r="8" spans="2:38">
      <c r="B8" s="1">
        <v>4</v>
      </c>
      <c r="C8" s="2">
        <f>IF('Stratification Diagram'!C10="","",'Stratification Diagram'!C10)</f>
        <v>0.1</v>
      </c>
      <c r="D8" s="2">
        <f>IF('Stratification Diagram'!D10="","",'Stratification Diagram'!D10)</f>
        <v>99.45</v>
      </c>
      <c r="F8" s="2">
        <f>IF('Stratification Diagram'!F10="","",'Stratification Diagram'!F10)</f>
        <v>0.28999999999999998</v>
      </c>
      <c r="G8" s="2">
        <f>IF('Stratification Diagram'!G10="","",'Stratification Diagram'!G10)</f>
        <v>99.2</v>
      </c>
      <c r="I8" s="2">
        <f>IF('Stratification Diagram'!I10="","",'Stratification Diagram'!I10)</f>
        <v>0.34</v>
      </c>
      <c r="J8" s="2">
        <f>IF('Stratification Diagram'!J10="","",'Stratification Diagram'!J10)</f>
        <v>98.65</v>
      </c>
      <c r="L8" s="2">
        <f>IF('Stratification Diagram'!L10="","",'Stratification Diagram'!L10)</f>
        <v>0.1</v>
      </c>
      <c r="M8" s="2">
        <f>IF('Stratification Diagram'!M10="","",'Stratification Diagram'!M10)</f>
        <v>99.45</v>
      </c>
      <c r="O8" s="2" t="str">
        <f>IF('Stratification Diagram'!O10="","",'Stratification Diagram'!O10)</f>
        <v/>
      </c>
      <c r="P8" s="2" t="str">
        <f>IF('Stratification Diagram'!P10="","",'Stratification Diagram'!P10)</f>
        <v/>
      </c>
      <c r="R8" s="2" t="str">
        <f>IF('Stratification Diagram'!R10="","",'Stratification Diagram'!R10)</f>
        <v/>
      </c>
      <c r="S8" s="2" t="str">
        <f>IF('Stratification Diagram'!S10="","",'Stratification Diagram'!S10)</f>
        <v/>
      </c>
      <c r="U8" s="1">
        <f t="shared" si="0"/>
        <v>1</v>
      </c>
      <c r="V8" s="2">
        <f t="shared" si="1"/>
        <v>0.1</v>
      </c>
      <c r="W8" s="2">
        <f t="shared" si="2"/>
        <v>99.45</v>
      </c>
      <c r="X8" s="1">
        <f t="shared" si="3"/>
        <v>2</v>
      </c>
      <c r="Y8" s="2">
        <f t="shared" si="4"/>
        <v>0.28999999999999998</v>
      </c>
      <c r="Z8" s="2">
        <f t="shared" si="5"/>
        <v>99.2</v>
      </c>
      <c r="AA8" s="1">
        <f t="shared" si="6"/>
        <v>3</v>
      </c>
      <c r="AB8" s="2">
        <f t="shared" si="7"/>
        <v>0.34</v>
      </c>
      <c r="AC8" s="2">
        <f t="shared" si="8"/>
        <v>98.65</v>
      </c>
      <c r="AD8" s="1">
        <f t="shared" si="9"/>
        <v>4</v>
      </c>
      <c r="AE8" s="2">
        <f t="shared" si="10"/>
        <v>0.1</v>
      </c>
      <c r="AF8" s="2">
        <f t="shared" si="11"/>
        <v>99.45</v>
      </c>
      <c r="AG8" s="1" t="e">
        <f t="shared" si="12"/>
        <v>#N/A</v>
      </c>
      <c r="AH8" s="2" t="e">
        <f t="shared" si="13"/>
        <v>#N/A</v>
      </c>
      <c r="AI8" s="2" t="e">
        <f t="shared" si="14"/>
        <v>#N/A</v>
      </c>
      <c r="AJ8" s="1" t="e">
        <f t="shared" si="15"/>
        <v>#N/A</v>
      </c>
      <c r="AK8" s="2" t="e">
        <f t="shared" si="16"/>
        <v>#N/A</v>
      </c>
      <c r="AL8" s="2" t="e">
        <f t="shared" si="17"/>
        <v>#N/A</v>
      </c>
    </row>
    <row r="9" spans="2:38">
      <c r="B9" s="1">
        <v>5</v>
      </c>
      <c r="C9" s="2">
        <f>IF('Stratification Diagram'!C11="","",'Stratification Diagram'!C11)</f>
        <v>0.24</v>
      </c>
      <c r="D9" s="2">
        <f>IF('Stratification Diagram'!D11="","",'Stratification Diagram'!D11)</f>
        <v>99.66</v>
      </c>
      <c r="F9" s="2">
        <f>IF('Stratification Diagram'!F11="","",'Stratification Diagram'!F11)</f>
        <v>0.34</v>
      </c>
      <c r="G9" s="2">
        <f>IF('Stratification Diagram'!G11="","",'Stratification Diagram'!G11)</f>
        <v>99.75</v>
      </c>
      <c r="I9" s="2">
        <f>IF('Stratification Diagram'!I11="","",'Stratification Diagram'!I11)</f>
        <v>0.28999999999999998</v>
      </c>
      <c r="J9" s="2">
        <f>IF('Stratification Diagram'!J11="","",'Stratification Diagram'!J11)</f>
        <v>98.75</v>
      </c>
      <c r="L9" s="2">
        <f>IF('Stratification Diagram'!L11="","",'Stratification Diagram'!L11)</f>
        <v>0.15</v>
      </c>
      <c r="M9" s="2">
        <f>IF('Stratification Diagram'!M11="","",'Stratification Diagram'!M11)</f>
        <v>98.8</v>
      </c>
      <c r="O9" s="2" t="str">
        <f>IF('Stratification Diagram'!O11="","",'Stratification Diagram'!O11)</f>
        <v/>
      </c>
      <c r="P9" s="2" t="str">
        <f>IF('Stratification Diagram'!P11="","",'Stratification Diagram'!P11)</f>
        <v/>
      </c>
      <c r="R9" s="2" t="str">
        <f>IF('Stratification Diagram'!R11="","",'Stratification Diagram'!R11)</f>
        <v/>
      </c>
      <c r="S9" s="2" t="str">
        <f>IF('Stratification Diagram'!S11="","",'Stratification Diagram'!S11)</f>
        <v/>
      </c>
      <c r="U9" s="1">
        <f t="shared" si="0"/>
        <v>1</v>
      </c>
      <c r="V9" s="2">
        <f t="shared" si="1"/>
        <v>0.24</v>
      </c>
      <c r="W9" s="2">
        <f t="shared" si="2"/>
        <v>99.66</v>
      </c>
      <c r="X9" s="1">
        <f t="shared" si="3"/>
        <v>2</v>
      </c>
      <c r="Y9" s="2">
        <f t="shared" si="4"/>
        <v>0.34</v>
      </c>
      <c r="Z9" s="2">
        <f t="shared" si="5"/>
        <v>99.75</v>
      </c>
      <c r="AA9" s="1">
        <f t="shared" si="6"/>
        <v>3</v>
      </c>
      <c r="AB9" s="2">
        <f t="shared" si="7"/>
        <v>0.28999999999999998</v>
      </c>
      <c r="AC9" s="2">
        <f t="shared" si="8"/>
        <v>98.75</v>
      </c>
      <c r="AD9" s="1">
        <f t="shared" si="9"/>
        <v>4</v>
      </c>
      <c r="AE9" s="2">
        <f t="shared" si="10"/>
        <v>0.15</v>
      </c>
      <c r="AF9" s="2">
        <f t="shared" si="11"/>
        <v>98.8</v>
      </c>
      <c r="AG9" s="1" t="e">
        <f t="shared" si="12"/>
        <v>#N/A</v>
      </c>
      <c r="AH9" s="2" t="e">
        <f t="shared" si="13"/>
        <v>#N/A</v>
      </c>
      <c r="AI9" s="2" t="e">
        <f t="shared" si="14"/>
        <v>#N/A</v>
      </c>
      <c r="AJ9" s="1" t="e">
        <f t="shared" si="15"/>
        <v>#N/A</v>
      </c>
      <c r="AK9" s="2" t="e">
        <f t="shared" si="16"/>
        <v>#N/A</v>
      </c>
      <c r="AL9" s="2" t="e">
        <f t="shared" si="17"/>
        <v>#N/A</v>
      </c>
    </row>
    <row r="10" spans="2:38">
      <c r="B10" s="1">
        <v>6</v>
      </c>
      <c r="C10" s="2">
        <f>IF('Stratification Diagram'!C12="","",'Stratification Diagram'!C12)</f>
        <v>0.4</v>
      </c>
      <c r="D10" s="2">
        <f>IF('Stratification Diagram'!D12="","",'Stratification Diagram'!D12)</f>
        <v>99.45</v>
      </c>
      <c r="F10" s="2">
        <f>IF('Stratification Diagram'!F12="","",'Stratification Diagram'!F12)</f>
        <v>0.24</v>
      </c>
      <c r="G10" s="2">
        <f>IF('Stratification Diagram'!G12="","",'Stratification Diagram'!G12)</f>
        <v>98.9</v>
      </c>
      <c r="I10" s="2">
        <f>IF('Stratification Diagram'!I12="","",'Stratification Diagram'!I12)</f>
        <v>0.21</v>
      </c>
      <c r="J10" s="2">
        <f>IF('Stratification Diagram'!J12="","",'Stratification Diagram'!J12)</f>
        <v>98.75</v>
      </c>
      <c r="L10" s="2">
        <f>IF('Stratification Diagram'!L12="","",'Stratification Diagram'!L12)</f>
        <v>0.2</v>
      </c>
      <c r="M10" s="2">
        <f>IF('Stratification Diagram'!M12="","",'Stratification Diagram'!M12)</f>
        <v>98.3</v>
      </c>
      <c r="O10" s="2" t="str">
        <f>IF('Stratification Diagram'!O12="","",'Stratification Diagram'!O12)</f>
        <v/>
      </c>
      <c r="P10" s="2" t="str">
        <f>IF('Stratification Diagram'!P12="","",'Stratification Diagram'!P12)</f>
        <v/>
      </c>
      <c r="R10" s="2" t="str">
        <f>IF('Stratification Diagram'!R12="","",'Stratification Diagram'!R12)</f>
        <v/>
      </c>
      <c r="S10" s="2" t="str">
        <f>IF('Stratification Diagram'!S12="","",'Stratification Diagram'!S12)</f>
        <v/>
      </c>
      <c r="U10" s="1">
        <f t="shared" si="0"/>
        <v>1</v>
      </c>
      <c r="V10" s="2">
        <f t="shared" si="1"/>
        <v>0.4</v>
      </c>
      <c r="W10" s="2">
        <f t="shared" si="2"/>
        <v>99.45</v>
      </c>
      <c r="X10" s="1">
        <f t="shared" si="3"/>
        <v>2</v>
      </c>
      <c r="Y10" s="2">
        <f t="shared" si="4"/>
        <v>0.24</v>
      </c>
      <c r="Z10" s="2">
        <f t="shared" si="5"/>
        <v>98.9</v>
      </c>
      <c r="AA10" s="1">
        <f t="shared" si="6"/>
        <v>3</v>
      </c>
      <c r="AB10" s="2">
        <f t="shared" si="7"/>
        <v>0.21</v>
      </c>
      <c r="AC10" s="2">
        <f t="shared" si="8"/>
        <v>98.75</v>
      </c>
      <c r="AD10" s="1">
        <f t="shared" si="9"/>
        <v>4</v>
      </c>
      <c r="AE10" s="2">
        <f t="shared" si="10"/>
        <v>0.2</v>
      </c>
      <c r="AF10" s="2">
        <f t="shared" si="11"/>
        <v>98.3</v>
      </c>
      <c r="AG10" s="1" t="e">
        <f t="shared" si="12"/>
        <v>#N/A</v>
      </c>
      <c r="AH10" s="2" t="e">
        <f t="shared" si="13"/>
        <v>#N/A</v>
      </c>
      <c r="AI10" s="2" t="e">
        <f t="shared" si="14"/>
        <v>#N/A</v>
      </c>
      <c r="AJ10" s="1" t="e">
        <f t="shared" si="15"/>
        <v>#N/A</v>
      </c>
      <c r="AK10" s="2" t="e">
        <f t="shared" si="16"/>
        <v>#N/A</v>
      </c>
      <c r="AL10" s="2" t="e">
        <f t="shared" si="17"/>
        <v>#N/A</v>
      </c>
    </row>
    <row r="11" spans="2:38">
      <c r="B11" s="1">
        <v>7</v>
      </c>
      <c r="C11" s="2">
        <f>IF('Stratification Diagram'!C13="","",'Stratification Diagram'!C13)</f>
        <v>0.22</v>
      </c>
      <c r="D11" s="2">
        <f>IF('Stratification Diagram'!D13="","",'Stratification Diagram'!D13)</f>
        <v>98.8</v>
      </c>
      <c r="F11" s="2">
        <f>IF('Stratification Diagram'!F13="","",'Stratification Diagram'!F13)</f>
        <v>0.25</v>
      </c>
      <c r="G11" s="2">
        <f>IF('Stratification Diagram'!G13="","",'Stratification Diagram'!G13)</f>
        <v>98.99</v>
      </c>
      <c r="I11" s="2">
        <f>IF('Stratification Diagram'!I13="","",'Stratification Diagram'!I13)</f>
        <v>0.31</v>
      </c>
      <c r="J11" s="2">
        <f>IF('Stratification Diagram'!J13="","",'Stratification Diagram'!J13)</f>
        <v>98.85</v>
      </c>
      <c r="L11" s="2">
        <f>IF('Stratification Diagram'!L13="","",'Stratification Diagram'!L13)</f>
        <v>0.3</v>
      </c>
      <c r="M11" s="2">
        <f>IF('Stratification Diagram'!M13="","",'Stratification Diagram'!M13)</f>
        <v>99.54</v>
      </c>
      <c r="O11" s="2" t="str">
        <f>IF('Stratification Diagram'!O13="","",'Stratification Diagram'!O13)</f>
        <v/>
      </c>
      <c r="P11" s="2" t="str">
        <f>IF('Stratification Diagram'!P13="","",'Stratification Diagram'!P13)</f>
        <v/>
      </c>
      <c r="R11" s="2" t="str">
        <f>IF('Stratification Diagram'!R13="","",'Stratification Diagram'!R13)</f>
        <v/>
      </c>
      <c r="S11" s="2" t="str">
        <f>IF('Stratification Diagram'!S13="","",'Stratification Diagram'!S13)</f>
        <v/>
      </c>
      <c r="U11" s="1">
        <f t="shared" si="0"/>
        <v>1</v>
      </c>
      <c r="V11" s="2">
        <f t="shared" si="1"/>
        <v>0.22</v>
      </c>
      <c r="W11" s="2">
        <f t="shared" si="2"/>
        <v>98.8</v>
      </c>
      <c r="X11" s="1">
        <f t="shared" si="3"/>
        <v>2</v>
      </c>
      <c r="Y11" s="2">
        <f t="shared" si="4"/>
        <v>0.25</v>
      </c>
      <c r="Z11" s="2">
        <f t="shared" si="5"/>
        <v>98.99</v>
      </c>
      <c r="AA11" s="1">
        <f t="shared" si="6"/>
        <v>3</v>
      </c>
      <c r="AB11" s="2">
        <f t="shared" si="7"/>
        <v>0.31</v>
      </c>
      <c r="AC11" s="2">
        <f t="shared" si="8"/>
        <v>98.85</v>
      </c>
      <c r="AD11" s="1">
        <f t="shared" si="9"/>
        <v>4</v>
      </c>
      <c r="AE11" s="2">
        <f t="shared" si="10"/>
        <v>0.3</v>
      </c>
      <c r="AF11" s="2">
        <f t="shared" si="11"/>
        <v>99.54</v>
      </c>
      <c r="AG11" s="1" t="e">
        <f t="shared" si="12"/>
        <v>#N/A</v>
      </c>
      <c r="AH11" s="2" t="e">
        <f t="shared" si="13"/>
        <v>#N/A</v>
      </c>
      <c r="AI11" s="2" t="e">
        <f t="shared" si="14"/>
        <v>#N/A</v>
      </c>
      <c r="AJ11" s="1" t="e">
        <f t="shared" si="15"/>
        <v>#N/A</v>
      </c>
      <c r="AK11" s="2" t="e">
        <f t="shared" si="16"/>
        <v>#N/A</v>
      </c>
      <c r="AL11" s="2" t="e">
        <f t="shared" si="17"/>
        <v>#N/A</v>
      </c>
    </row>
    <row r="12" spans="2:38">
      <c r="B12" s="1">
        <v>8</v>
      </c>
      <c r="C12" s="2" t="str">
        <f>IF('Stratification Diagram'!C14="","",'Stratification Diagram'!C14)</f>
        <v/>
      </c>
      <c r="D12" s="2" t="str">
        <f>IF('Stratification Diagram'!D14="","",'Stratification Diagram'!D14)</f>
        <v/>
      </c>
      <c r="F12" s="2" t="str">
        <f>IF('Stratification Diagram'!F14="","",'Stratification Diagram'!F14)</f>
        <v/>
      </c>
      <c r="G12" s="2" t="str">
        <f>IF('Stratification Diagram'!G14="","",'Stratification Diagram'!G14)</f>
        <v/>
      </c>
      <c r="I12" s="2">
        <f>IF('Stratification Diagram'!I14="","",'Stratification Diagram'!I14)</f>
        <v>0.22</v>
      </c>
      <c r="J12" s="2">
        <f>IF('Stratification Diagram'!J14="","",'Stratification Diagram'!J14)</f>
        <v>98.85</v>
      </c>
      <c r="L12" s="2">
        <f>IF('Stratification Diagram'!L14="","",'Stratification Diagram'!L14)</f>
        <v>0.4</v>
      </c>
      <c r="M12" s="2">
        <f>IF('Stratification Diagram'!M14="","",'Stratification Diagram'!M14)</f>
        <v>99.75</v>
      </c>
      <c r="O12" s="2" t="str">
        <f>IF('Stratification Diagram'!O14="","",'Stratification Diagram'!O14)</f>
        <v/>
      </c>
      <c r="P12" s="2" t="str">
        <f>IF('Stratification Diagram'!P14="","",'Stratification Diagram'!P14)</f>
        <v/>
      </c>
      <c r="R12" s="2" t="str">
        <f>IF('Stratification Diagram'!R14="","",'Stratification Diagram'!R14)</f>
        <v/>
      </c>
      <c r="S12" s="2" t="str">
        <f>IF('Stratification Diagram'!S14="","",'Stratification Diagram'!S14)</f>
        <v/>
      </c>
      <c r="U12" s="1" t="e">
        <f t="shared" si="0"/>
        <v>#N/A</v>
      </c>
      <c r="V12" s="2" t="e">
        <f t="shared" si="1"/>
        <v>#N/A</v>
      </c>
      <c r="W12" s="2" t="e">
        <f t="shared" si="2"/>
        <v>#N/A</v>
      </c>
      <c r="X12" s="1" t="e">
        <f t="shared" si="3"/>
        <v>#N/A</v>
      </c>
      <c r="Y12" s="2" t="e">
        <f t="shared" si="4"/>
        <v>#N/A</v>
      </c>
      <c r="Z12" s="2" t="e">
        <f t="shared" si="5"/>
        <v>#N/A</v>
      </c>
      <c r="AA12" s="1">
        <f t="shared" si="6"/>
        <v>3</v>
      </c>
      <c r="AB12" s="2">
        <f t="shared" si="7"/>
        <v>0.22</v>
      </c>
      <c r="AC12" s="2">
        <f t="shared" si="8"/>
        <v>98.85</v>
      </c>
      <c r="AD12" s="1">
        <f t="shared" si="9"/>
        <v>4</v>
      </c>
      <c r="AE12" s="2">
        <f t="shared" si="10"/>
        <v>0.4</v>
      </c>
      <c r="AF12" s="2">
        <f t="shared" si="11"/>
        <v>99.75</v>
      </c>
      <c r="AG12" s="1" t="e">
        <f t="shared" si="12"/>
        <v>#N/A</v>
      </c>
      <c r="AH12" s="2" t="e">
        <f t="shared" si="13"/>
        <v>#N/A</v>
      </c>
      <c r="AI12" s="2" t="e">
        <f t="shared" si="14"/>
        <v>#N/A</v>
      </c>
      <c r="AJ12" s="1" t="e">
        <f t="shared" si="15"/>
        <v>#N/A</v>
      </c>
      <c r="AK12" s="2" t="e">
        <f t="shared" si="16"/>
        <v>#N/A</v>
      </c>
      <c r="AL12" s="2" t="e">
        <f t="shared" si="17"/>
        <v>#N/A</v>
      </c>
    </row>
    <row r="13" spans="2:38">
      <c r="B13" s="1">
        <v>9</v>
      </c>
      <c r="C13" s="2" t="str">
        <f>IF('Stratification Diagram'!C15="","",'Stratification Diagram'!C15)</f>
        <v/>
      </c>
      <c r="D13" s="2" t="str">
        <f>IF('Stratification Diagram'!D15="","",'Stratification Diagram'!D15)</f>
        <v/>
      </c>
      <c r="F13" s="2" t="str">
        <f>IF('Stratification Diagram'!F15="","",'Stratification Diagram'!F15)</f>
        <v/>
      </c>
      <c r="G13" s="2" t="str">
        <f>IF('Stratification Diagram'!G15="","",'Stratification Diagram'!G15)</f>
        <v/>
      </c>
      <c r="I13" s="2">
        <f>IF('Stratification Diagram'!I15="","",'Stratification Diagram'!I15)</f>
        <v>0.13</v>
      </c>
      <c r="J13" s="2">
        <f>IF('Stratification Diagram'!J15="","",'Stratification Diagram'!J15)</f>
        <v>98.95</v>
      </c>
      <c r="L13" s="2">
        <f>IF('Stratification Diagram'!L15="","",'Stratification Diagram'!L15)</f>
        <v>0.3</v>
      </c>
      <c r="M13" s="2">
        <f>IF('Stratification Diagram'!M15="","",'Stratification Diagram'!M15)</f>
        <v>98.9</v>
      </c>
      <c r="O13" s="2" t="str">
        <f>IF('Stratification Diagram'!O15="","",'Stratification Diagram'!O15)</f>
        <v/>
      </c>
      <c r="P13" s="2" t="str">
        <f>IF('Stratification Diagram'!P15="","",'Stratification Diagram'!P15)</f>
        <v/>
      </c>
      <c r="R13" s="2" t="str">
        <f>IF('Stratification Diagram'!R15="","",'Stratification Diagram'!R15)</f>
        <v/>
      </c>
      <c r="S13" s="2" t="str">
        <f>IF('Stratification Diagram'!S15="","",'Stratification Diagram'!S15)</f>
        <v/>
      </c>
      <c r="U13" s="1" t="e">
        <f t="shared" si="0"/>
        <v>#N/A</v>
      </c>
      <c r="V13" s="2" t="e">
        <f t="shared" si="1"/>
        <v>#N/A</v>
      </c>
      <c r="W13" s="2" t="e">
        <f t="shared" si="2"/>
        <v>#N/A</v>
      </c>
      <c r="X13" s="1" t="e">
        <f t="shared" si="3"/>
        <v>#N/A</v>
      </c>
      <c r="Y13" s="2" t="e">
        <f t="shared" si="4"/>
        <v>#N/A</v>
      </c>
      <c r="Z13" s="2" t="e">
        <f t="shared" si="5"/>
        <v>#N/A</v>
      </c>
      <c r="AA13" s="1">
        <f t="shared" si="6"/>
        <v>3</v>
      </c>
      <c r="AB13" s="2">
        <f t="shared" si="7"/>
        <v>0.13</v>
      </c>
      <c r="AC13" s="2">
        <f t="shared" si="8"/>
        <v>98.95</v>
      </c>
      <c r="AD13" s="1">
        <f t="shared" si="9"/>
        <v>4</v>
      </c>
      <c r="AE13" s="2">
        <f t="shared" si="10"/>
        <v>0.3</v>
      </c>
      <c r="AF13" s="2">
        <f t="shared" si="11"/>
        <v>98.9</v>
      </c>
      <c r="AG13" s="1" t="e">
        <f t="shared" si="12"/>
        <v>#N/A</v>
      </c>
      <c r="AH13" s="2" t="e">
        <f t="shared" si="13"/>
        <v>#N/A</v>
      </c>
      <c r="AI13" s="2" t="e">
        <f t="shared" si="14"/>
        <v>#N/A</v>
      </c>
      <c r="AJ13" s="1" t="e">
        <f t="shared" si="15"/>
        <v>#N/A</v>
      </c>
      <c r="AK13" s="2" t="e">
        <f t="shared" si="16"/>
        <v>#N/A</v>
      </c>
      <c r="AL13" s="2" t="e">
        <f t="shared" si="17"/>
        <v>#N/A</v>
      </c>
    </row>
    <row r="14" spans="2:38">
      <c r="B14" s="1">
        <v>10</v>
      </c>
      <c r="C14" s="2" t="str">
        <f>IF('Stratification Diagram'!C16="","",'Stratification Diagram'!C16)</f>
        <v/>
      </c>
      <c r="D14" s="2" t="str">
        <f>IF('Stratification Diagram'!D16="","",'Stratification Diagram'!D16)</f>
        <v/>
      </c>
      <c r="F14" s="2" t="str">
        <f>IF('Stratification Diagram'!F16="","",'Stratification Diagram'!F16)</f>
        <v/>
      </c>
      <c r="G14" s="2" t="str">
        <f>IF('Stratification Diagram'!G16="","",'Stratification Diagram'!G16)</f>
        <v/>
      </c>
      <c r="I14" s="2">
        <f>IF('Stratification Diagram'!I16="","",'Stratification Diagram'!I16)</f>
        <v>0.11</v>
      </c>
      <c r="J14" s="2">
        <f>IF('Stratification Diagram'!J16="","",'Stratification Diagram'!J16)</f>
        <v>99.05</v>
      </c>
      <c r="L14" s="2" t="str">
        <f>IF('Stratification Diagram'!L16="","",'Stratification Diagram'!L16)</f>
        <v/>
      </c>
      <c r="M14" s="2" t="str">
        <f>IF('Stratification Diagram'!M16="","",'Stratification Diagram'!M16)</f>
        <v/>
      </c>
      <c r="O14" s="2" t="str">
        <f>IF('Stratification Diagram'!O16="","",'Stratification Diagram'!O16)</f>
        <v/>
      </c>
      <c r="P14" s="2" t="str">
        <f>IF('Stratification Diagram'!P16="","",'Stratification Diagram'!P16)</f>
        <v/>
      </c>
      <c r="R14" s="2" t="str">
        <f>IF('Stratification Diagram'!R16="","",'Stratification Diagram'!R16)</f>
        <v/>
      </c>
      <c r="S14" s="2" t="str">
        <f>IF('Stratification Diagram'!S16="","",'Stratification Diagram'!S16)</f>
        <v/>
      </c>
      <c r="U14" s="1" t="e">
        <f t="shared" si="0"/>
        <v>#N/A</v>
      </c>
      <c r="V14" s="2" t="e">
        <f t="shared" si="1"/>
        <v>#N/A</v>
      </c>
      <c r="W14" s="2" t="e">
        <f t="shared" si="2"/>
        <v>#N/A</v>
      </c>
      <c r="X14" s="1" t="e">
        <f t="shared" si="3"/>
        <v>#N/A</v>
      </c>
      <c r="Y14" s="2" t="e">
        <f t="shared" si="4"/>
        <v>#N/A</v>
      </c>
      <c r="Z14" s="2" t="e">
        <f t="shared" si="5"/>
        <v>#N/A</v>
      </c>
      <c r="AA14" s="1">
        <f t="shared" si="6"/>
        <v>3</v>
      </c>
      <c r="AB14" s="2">
        <f t="shared" si="7"/>
        <v>0.11</v>
      </c>
      <c r="AC14" s="2">
        <f t="shared" si="8"/>
        <v>99.05</v>
      </c>
      <c r="AD14" s="1" t="e">
        <f t="shared" si="9"/>
        <v>#N/A</v>
      </c>
      <c r="AE14" s="2" t="e">
        <f t="shared" si="10"/>
        <v>#N/A</v>
      </c>
      <c r="AF14" s="2" t="e">
        <f t="shared" si="11"/>
        <v>#N/A</v>
      </c>
      <c r="AG14" s="1" t="e">
        <f t="shared" si="12"/>
        <v>#N/A</v>
      </c>
      <c r="AH14" s="2" t="e">
        <f t="shared" si="13"/>
        <v>#N/A</v>
      </c>
      <c r="AI14" s="2" t="e">
        <f t="shared" si="14"/>
        <v>#N/A</v>
      </c>
      <c r="AJ14" s="1" t="e">
        <f t="shared" si="15"/>
        <v>#N/A</v>
      </c>
      <c r="AK14" s="2" t="e">
        <f t="shared" si="16"/>
        <v>#N/A</v>
      </c>
      <c r="AL14" s="2" t="e">
        <f t="shared" si="17"/>
        <v>#N/A</v>
      </c>
    </row>
    <row r="15" spans="2:38">
      <c r="B15" s="1">
        <v>11</v>
      </c>
      <c r="C15" s="2" t="str">
        <f>IF('Stratification Diagram'!C17="","",'Stratification Diagram'!C17)</f>
        <v/>
      </c>
      <c r="D15" s="2" t="str">
        <f>IF('Stratification Diagram'!D17="","",'Stratification Diagram'!D17)</f>
        <v/>
      </c>
      <c r="F15" s="2" t="str">
        <f>IF('Stratification Diagram'!F17="","",'Stratification Diagram'!F17)</f>
        <v/>
      </c>
      <c r="G15" s="2" t="str">
        <f>IF('Stratification Diagram'!G17="","",'Stratification Diagram'!G17)</f>
        <v/>
      </c>
      <c r="I15" s="2" t="str">
        <f>IF('Stratification Diagram'!I17="","",'Stratification Diagram'!I17)</f>
        <v/>
      </c>
      <c r="J15" s="2" t="str">
        <f>IF('Stratification Diagram'!J17="","",'Stratification Diagram'!J17)</f>
        <v/>
      </c>
      <c r="L15" s="2" t="str">
        <f>IF('Stratification Diagram'!L17="","",'Stratification Diagram'!L17)</f>
        <v/>
      </c>
      <c r="M15" s="2" t="str">
        <f>IF('Stratification Diagram'!M17="","",'Stratification Diagram'!M17)</f>
        <v/>
      </c>
      <c r="O15" s="2" t="str">
        <f>IF('Stratification Diagram'!O17="","",'Stratification Diagram'!O17)</f>
        <v/>
      </c>
      <c r="P15" s="2" t="str">
        <f>IF('Stratification Diagram'!P17="","",'Stratification Diagram'!P17)</f>
        <v/>
      </c>
      <c r="R15" s="2" t="str">
        <f>IF('Stratification Diagram'!R17="","",'Stratification Diagram'!R17)</f>
        <v/>
      </c>
      <c r="S15" s="2" t="str">
        <f>IF('Stratification Diagram'!S17="","",'Stratification Diagram'!S17)</f>
        <v/>
      </c>
      <c r="U15" s="1" t="e">
        <f t="shared" si="0"/>
        <v>#N/A</v>
      </c>
      <c r="V15" s="2" t="e">
        <f t="shared" si="1"/>
        <v>#N/A</v>
      </c>
      <c r="W15" s="2" t="e">
        <f t="shared" si="2"/>
        <v>#N/A</v>
      </c>
      <c r="X15" s="1" t="e">
        <f t="shared" si="3"/>
        <v>#N/A</v>
      </c>
      <c r="Y15" s="2" t="e">
        <f t="shared" si="4"/>
        <v>#N/A</v>
      </c>
      <c r="Z15" s="2" t="e">
        <f t="shared" si="5"/>
        <v>#N/A</v>
      </c>
      <c r="AA15" s="1" t="e">
        <f t="shared" si="6"/>
        <v>#N/A</v>
      </c>
      <c r="AB15" s="2" t="e">
        <f t="shared" si="7"/>
        <v>#N/A</v>
      </c>
      <c r="AC15" s="2" t="e">
        <f t="shared" si="8"/>
        <v>#N/A</v>
      </c>
      <c r="AD15" s="1" t="e">
        <f t="shared" si="9"/>
        <v>#N/A</v>
      </c>
      <c r="AE15" s="2" t="e">
        <f t="shared" si="10"/>
        <v>#N/A</v>
      </c>
      <c r="AF15" s="2" t="e">
        <f t="shared" si="11"/>
        <v>#N/A</v>
      </c>
      <c r="AG15" s="1" t="e">
        <f t="shared" si="12"/>
        <v>#N/A</v>
      </c>
      <c r="AH15" s="2" t="e">
        <f t="shared" si="13"/>
        <v>#N/A</v>
      </c>
      <c r="AI15" s="2" t="e">
        <f t="shared" si="14"/>
        <v>#N/A</v>
      </c>
      <c r="AJ15" s="1" t="e">
        <f t="shared" si="15"/>
        <v>#N/A</v>
      </c>
      <c r="AK15" s="2" t="e">
        <f t="shared" si="16"/>
        <v>#N/A</v>
      </c>
      <c r="AL15" s="2" t="e">
        <f t="shared" si="17"/>
        <v>#N/A</v>
      </c>
    </row>
    <row r="16" spans="2:38">
      <c r="B16" s="1">
        <v>12</v>
      </c>
      <c r="C16" s="2" t="str">
        <f>IF('Stratification Diagram'!C18="","",'Stratification Diagram'!C18)</f>
        <v/>
      </c>
      <c r="D16" s="2" t="str">
        <f>IF('Stratification Diagram'!D18="","",'Stratification Diagram'!D18)</f>
        <v/>
      </c>
      <c r="F16" s="2" t="str">
        <f>IF('Stratification Diagram'!F18="","",'Stratification Diagram'!F18)</f>
        <v/>
      </c>
      <c r="G16" s="2" t="str">
        <f>IF('Stratification Diagram'!G18="","",'Stratification Diagram'!G18)</f>
        <v/>
      </c>
      <c r="I16" s="2" t="str">
        <f>IF('Stratification Diagram'!I18="","",'Stratification Diagram'!I18)</f>
        <v/>
      </c>
      <c r="J16" s="2" t="str">
        <f>IF('Stratification Diagram'!J18="","",'Stratification Diagram'!J18)</f>
        <v/>
      </c>
      <c r="L16" s="2" t="str">
        <f>IF('Stratification Diagram'!L18="","",'Stratification Diagram'!L18)</f>
        <v/>
      </c>
      <c r="M16" s="2" t="str">
        <f>IF('Stratification Diagram'!M18="","",'Stratification Diagram'!M18)</f>
        <v/>
      </c>
      <c r="O16" s="2" t="str">
        <f>IF('Stratification Diagram'!O18="","",'Stratification Diagram'!O18)</f>
        <v/>
      </c>
      <c r="P16" s="2" t="str">
        <f>IF('Stratification Diagram'!P18="","",'Stratification Diagram'!P18)</f>
        <v/>
      </c>
      <c r="R16" s="2" t="str">
        <f>IF('Stratification Diagram'!R18="","",'Stratification Diagram'!R18)</f>
        <v/>
      </c>
      <c r="S16" s="2" t="str">
        <f>IF('Stratification Diagram'!S18="","",'Stratification Diagram'!S18)</f>
        <v/>
      </c>
      <c r="U16" s="1" t="e">
        <f t="shared" si="0"/>
        <v>#N/A</v>
      </c>
      <c r="V16" s="2" t="e">
        <f t="shared" si="1"/>
        <v>#N/A</v>
      </c>
      <c r="W16" s="2" t="e">
        <f t="shared" si="2"/>
        <v>#N/A</v>
      </c>
      <c r="X16" s="1" t="e">
        <f t="shared" si="3"/>
        <v>#N/A</v>
      </c>
      <c r="Y16" s="2" t="e">
        <f t="shared" si="4"/>
        <v>#N/A</v>
      </c>
      <c r="Z16" s="2" t="e">
        <f t="shared" si="5"/>
        <v>#N/A</v>
      </c>
      <c r="AA16" s="1" t="e">
        <f t="shared" si="6"/>
        <v>#N/A</v>
      </c>
      <c r="AB16" s="2" t="e">
        <f t="shared" si="7"/>
        <v>#N/A</v>
      </c>
      <c r="AC16" s="2" t="e">
        <f t="shared" si="8"/>
        <v>#N/A</v>
      </c>
      <c r="AD16" s="1" t="e">
        <f t="shared" si="9"/>
        <v>#N/A</v>
      </c>
      <c r="AE16" s="2" t="e">
        <f t="shared" si="10"/>
        <v>#N/A</v>
      </c>
      <c r="AF16" s="2" t="e">
        <f t="shared" si="11"/>
        <v>#N/A</v>
      </c>
      <c r="AG16" s="1" t="e">
        <f t="shared" si="12"/>
        <v>#N/A</v>
      </c>
      <c r="AH16" s="2" t="e">
        <f t="shared" si="13"/>
        <v>#N/A</v>
      </c>
      <c r="AI16" s="2" t="e">
        <f t="shared" si="14"/>
        <v>#N/A</v>
      </c>
      <c r="AJ16" s="1" t="e">
        <f t="shared" si="15"/>
        <v>#N/A</v>
      </c>
      <c r="AK16" s="2" t="e">
        <f t="shared" si="16"/>
        <v>#N/A</v>
      </c>
      <c r="AL16" s="2" t="e">
        <f t="shared" si="17"/>
        <v>#N/A</v>
      </c>
    </row>
    <row r="17" spans="2:38">
      <c r="B17" s="1">
        <v>13</v>
      </c>
      <c r="C17" s="2" t="str">
        <f>IF('Stratification Diagram'!C19="","",'Stratification Diagram'!C19)</f>
        <v/>
      </c>
      <c r="D17" s="2" t="str">
        <f>IF('Stratification Diagram'!D19="","",'Stratification Diagram'!D19)</f>
        <v/>
      </c>
      <c r="F17" s="2" t="str">
        <f>IF('Stratification Diagram'!F19="","",'Stratification Diagram'!F19)</f>
        <v/>
      </c>
      <c r="G17" s="2" t="str">
        <f>IF('Stratification Diagram'!G19="","",'Stratification Diagram'!G19)</f>
        <v/>
      </c>
      <c r="I17" s="2" t="str">
        <f>IF('Stratification Diagram'!I19="","",'Stratification Diagram'!I19)</f>
        <v/>
      </c>
      <c r="J17" s="2" t="str">
        <f>IF('Stratification Diagram'!J19="","",'Stratification Diagram'!J19)</f>
        <v/>
      </c>
      <c r="L17" s="2" t="str">
        <f>IF('Stratification Diagram'!L19="","",'Stratification Diagram'!L19)</f>
        <v/>
      </c>
      <c r="M17" s="2" t="str">
        <f>IF('Stratification Diagram'!M19="","",'Stratification Diagram'!M19)</f>
        <v/>
      </c>
      <c r="O17" s="2" t="str">
        <f>IF('Stratification Diagram'!O19="","",'Stratification Diagram'!O19)</f>
        <v/>
      </c>
      <c r="P17" s="2" t="str">
        <f>IF('Stratification Diagram'!P19="","",'Stratification Diagram'!P19)</f>
        <v/>
      </c>
      <c r="R17" s="2" t="str">
        <f>IF('Stratification Diagram'!R19="","",'Stratification Diagram'!R19)</f>
        <v/>
      </c>
      <c r="S17" s="2" t="str">
        <f>IF('Stratification Diagram'!S19="","",'Stratification Diagram'!S19)</f>
        <v/>
      </c>
      <c r="U17" s="1" t="e">
        <f t="shared" si="0"/>
        <v>#N/A</v>
      </c>
      <c r="V17" s="2" t="e">
        <f t="shared" si="1"/>
        <v>#N/A</v>
      </c>
      <c r="W17" s="2" t="e">
        <f t="shared" si="2"/>
        <v>#N/A</v>
      </c>
      <c r="X17" s="1" t="e">
        <f t="shared" si="3"/>
        <v>#N/A</v>
      </c>
      <c r="Y17" s="2" t="e">
        <f t="shared" si="4"/>
        <v>#N/A</v>
      </c>
      <c r="Z17" s="2" t="e">
        <f t="shared" si="5"/>
        <v>#N/A</v>
      </c>
      <c r="AA17" s="1" t="e">
        <f t="shared" si="6"/>
        <v>#N/A</v>
      </c>
      <c r="AB17" s="2" t="e">
        <f t="shared" si="7"/>
        <v>#N/A</v>
      </c>
      <c r="AC17" s="2" t="e">
        <f t="shared" si="8"/>
        <v>#N/A</v>
      </c>
      <c r="AD17" s="1" t="e">
        <f t="shared" si="9"/>
        <v>#N/A</v>
      </c>
      <c r="AE17" s="2" t="e">
        <f t="shared" si="10"/>
        <v>#N/A</v>
      </c>
      <c r="AF17" s="2" t="e">
        <f t="shared" si="11"/>
        <v>#N/A</v>
      </c>
      <c r="AG17" s="1" t="e">
        <f t="shared" si="12"/>
        <v>#N/A</v>
      </c>
      <c r="AH17" s="2" t="e">
        <f t="shared" si="13"/>
        <v>#N/A</v>
      </c>
      <c r="AI17" s="2" t="e">
        <f t="shared" si="14"/>
        <v>#N/A</v>
      </c>
      <c r="AJ17" s="1" t="e">
        <f t="shared" si="15"/>
        <v>#N/A</v>
      </c>
      <c r="AK17" s="2" t="e">
        <f t="shared" si="16"/>
        <v>#N/A</v>
      </c>
      <c r="AL17" s="2" t="e">
        <f t="shared" si="17"/>
        <v>#N/A</v>
      </c>
    </row>
    <row r="18" spans="2:38">
      <c r="B18" s="1">
        <v>14</v>
      </c>
      <c r="C18" s="2" t="str">
        <f>IF('Stratification Diagram'!C20="","",'Stratification Diagram'!C20)</f>
        <v/>
      </c>
      <c r="D18" s="2" t="str">
        <f>IF('Stratification Diagram'!D20="","",'Stratification Diagram'!D20)</f>
        <v/>
      </c>
      <c r="F18" s="2" t="str">
        <f>IF('Stratification Diagram'!F20="","",'Stratification Diagram'!F20)</f>
        <v/>
      </c>
      <c r="G18" s="2" t="str">
        <f>IF('Stratification Diagram'!G20="","",'Stratification Diagram'!G20)</f>
        <v/>
      </c>
      <c r="I18" s="2" t="str">
        <f>IF('Stratification Diagram'!I20="","",'Stratification Diagram'!I20)</f>
        <v/>
      </c>
      <c r="J18" s="2" t="str">
        <f>IF('Stratification Diagram'!J20="","",'Stratification Diagram'!J20)</f>
        <v/>
      </c>
      <c r="L18" s="2" t="str">
        <f>IF('Stratification Diagram'!L20="","",'Stratification Diagram'!L20)</f>
        <v/>
      </c>
      <c r="M18" s="2" t="str">
        <f>IF('Stratification Diagram'!M20="","",'Stratification Diagram'!M20)</f>
        <v/>
      </c>
      <c r="O18" s="2" t="str">
        <f>IF('Stratification Diagram'!O20="","",'Stratification Diagram'!O20)</f>
        <v/>
      </c>
      <c r="P18" s="2" t="str">
        <f>IF('Stratification Diagram'!P20="","",'Stratification Diagram'!P20)</f>
        <v/>
      </c>
      <c r="R18" s="2" t="str">
        <f>IF('Stratification Diagram'!R20="","",'Stratification Diagram'!R20)</f>
        <v/>
      </c>
      <c r="S18" s="2" t="str">
        <f>IF('Stratification Diagram'!S20="","",'Stratification Diagram'!S20)</f>
        <v/>
      </c>
      <c r="U18" s="1" t="e">
        <f t="shared" si="0"/>
        <v>#N/A</v>
      </c>
      <c r="V18" s="2" t="e">
        <f t="shared" si="1"/>
        <v>#N/A</v>
      </c>
      <c r="W18" s="2" t="e">
        <f t="shared" si="2"/>
        <v>#N/A</v>
      </c>
      <c r="X18" s="1" t="e">
        <f t="shared" si="3"/>
        <v>#N/A</v>
      </c>
      <c r="Y18" s="2" t="e">
        <f t="shared" si="4"/>
        <v>#N/A</v>
      </c>
      <c r="Z18" s="2" t="e">
        <f t="shared" si="5"/>
        <v>#N/A</v>
      </c>
      <c r="AA18" s="1" t="e">
        <f t="shared" si="6"/>
        <v>#N/A</v>
      </c>
      <c r="AB18" s="2" t="e">
        <f t="shared" si="7"/>
        <v>#N/A</v>
      </c>
      <c r="AC18" s="2" t="e">
        <f t="shared" si="8"/>
        <v>#N/A</v>
      </c>
      <c r="AD18" s="1" t="e">
        <f t="shared" si="9"/>
        <v>#N/A</v>
      </c>
      <c r="AE18" s="2" t="e">
        <f t="shared" si="10"/>
        <v>#N/A</v>
      </c>
      <c r="AF18" s="2" t="e">
        <f t="shared" si="11"/>
        <v>#N/A</v>
      </c>
      <c r="AG18" s="1" t="e">
        <f t="shared" si="12"/>
        <v>#N/A</v>
      </c>
      <c r="AH18" s="2" t="e">
        <f t="shared" si="13"/>
        <v>#N/A</v>
      </c>
      <c r="AI18" s="2" t="e">
        <f t="shared" si="14"/>
        <v>#N/A</v>
      </c>
      <c r="AJ18" s="1" t="e">
        <f t="shared" si="15"/>
        <v>#N/A</v>
      </c>
      <c r="AK18" s="2" t="e">
        <f t="shared" si="16"/>
        <v>#N/A</v>
      </c>
      <c r="AL18" s="2" t="e">
        <f t="shared" si="17"/>
        <v>#N/A</v>
      </c>
    </row>
    <row r="19" spans="2:38">
      <c r="B19" s="1">
        <v>15</v>
      </c>
      <c r="C19" s="2" t="str">
        <f>IF('Stratification Diagram'!C21="","",'Stratification Diagram'!C21)</f>
        <v/>
      </c>
      <c r="D19" s="2" t="str">
        <f>IF('Stratification Diagram'!D21="","",'Stratification Diagram'!D21)</f>
        <v/>
      </c>
      <c r="F19" s="2" t="str">
        <f>IF('Stratification Diagram'!F21="","",'Stratification Diagram'!F21)</f>
        <v/>
      </c>
      <c r="G19" s="2" t="str">
        <f>IF('Stratification Diagram'!G21="","",'Stratification Diagram'!G21)</f>
        <v/>
      </c>
      <c r="I19" s="2" t="str">
        <f>IF('Stratification Diagram'!I21="","",'Stratification Diagram'!I21)</f>
        <v/>
      </c>
      <c r="J19" s="2" t="str">
        <f>IF('Stratification Diagram'!J21="","",'Stratification Diagram'!J21)</f>
        <v/>
      </c>
      <c r="L19" s="2" t="str">
        <f>IF('Stratification Diagram'!L21="","",'Stratification Diagram'!L21)</f>
        <v/>
      </c>
      <c r="M19" s="2" t="str">
        <f>IF('Stratification Diagram'!M21="","",'Stratification Diagram'!M21)</f>
        <v/>
      </c>
      <c r="O19" s="2" t="str">
        <f>IF('Stratification Diagram'!O21="","",'Stratification Diagram'!O21)</f>
        <v/>
      </c>
      <c r="P19" s="2" t="str">
        <f>IF('Stratification Diagram'!P21="","",'Stratification Diagram'!P21)</f>
        <v/>
      </c>
      <c r="R19" s="2" t="str">
        <f>IF('Stratification Diagram'!R21="","",'Stratification Diagram'!R21)</f>
        <v/>
      </c>
      <c r="S19" s="2" t="str">
        <f>IF('Stratification Diagram'!S21="","",'Stratification Diagram'!S21)</f>
        <v/>
      </c>
      <c r="U19" s="1" t="e">
        <f t="shared" si="0"/>
        <v>#N/A</v>
      </c>
      <c r="V19" s="2" t="e">
        <f t="shared" si="1"/>
        <v>#N/A</v>
      </c>
      <c r="W19" s="2" t="e">
        <f t="shared" si="2"/>
        <v>#N/A</v>
      </c>
      <c r="X19" s="1" t="e">
        <f t="shared" si="3"/>
        <v>#N/A</v>
      </c>
      <c r="Y19" s="2" t="e">
        <f t="shared" si="4"/>
        <v>#N/A</v>
      </c>
      <c r="Z19" s="2" t="e">
        <f t="shared" si="5"/>
        <v>#N/A</v>
      </c>
      <c r="AA19" s="1" t="e">
        <f t="shared" si="6"/>
        <v>#N/A</v>
      </c>
      <c r="AB19" s="2" t="e">
        <f t="shared" si="7"/>
        <v>#N/A</v>
      </c>
      <c r="AC19" s="2" t="e">
        <f t="shared" si="8"/>
        <v>#N/A</v>
      </c>
      <c r="AD19" s="1" t="e">
        <f t="shared" si="9"/>
        <v>#N/A</v>
      </c>
      <c r="AE19" s="2" t="e">
        <f t="shared" si="10"/>
        <v>#N/A</v>
      </c>
      <c r="AF19" s="2" t="e">
        <f t="shared" si="11"/>
        <v>#N/A</v>
      </c>
      <c r="AG19" s="1" t="e">
        <f t="shared" si="12"/>
        <v>#N/A</v>
      </c>
      <c r="AH19" s="2" t="e">
        <f t="shared" si="13"/>
        <v>#N/A</v>
      </c>
      <c r="AI19" s="2" t="e">
        <f t="shared" si="14"/>
        <v>#N/A</v>
      </c>
      <c r="AJ19" s="1" t="e">
        <f t="shared" si="15"/>
        <v>#N/A</v>
      </c>
      <c r="AK19" s="2" t="e">
        <f t="shared" si="16"/>
        <v>#N/A</v>
      </c>
      <c r="AL19" s="2" t="e">
        <f t="shared" si="17"/>
        <v>#N/A</v>
      </c>
    </row>
    <row r="20" spans="2:38">
      <c r="B20" s="1">
        <v>16</v>
      </c>
      <c r="C20" s="2" t="str">
        <f>IF('Stratification Diagram'!C22="","",'Stratification Diagram'!C22)</f>
        <v/>
      </c>
      <c r="D20" s="2" t="str">
        <f>IF('Stratification Diagram'!D22="","",'Stratification Diagram'!D22)</f>
        <v/>
      </c>
      <c r="F20" s="2" t="str">
        <f>IF('Stratification Diagram'!F22="","",'Stratification Diagram'!F22)</f>
        <v/>
      </c>
      <c r="G20" s="2" t="str">
        <f>IF('Stratification Diagram'!G22="","",'Stratification Diagram'!G22)</f>
        <v/>
      </c>
      <c r="I20" s="2" t="str">
        <f>IF('Stratification Diagram'!I22="","",'Stratification Diagram'!I22)</f>
        <v/>
      </c>
      <c r="J20" s="2" t="str">
        <f>IF('Stratification Diagram'!J22="","",'Stratification Diagram'!J22)</f>
        <v/>
      </c>
      <c r="L20" s="2" t="str">
        <f>IF('Stratification Diagram'!L22="","",'Stratification Diagram'!L22)</f>
        <v/>
      </c>
      <c r="M20" s="2" t="str">
        <f>IF('Stratification Diagram'!M22="","",'Stratification Diagram'!M22)</f>
        <v/>
      </c>
      <c r="O20" s="2" t="str">
        <f>IF('Stratification Diagram'!O22="","",'Stratification Diagram'!O22)</f>
        <v/>
      </c>
      <c r="P20" s="2" t="str">
        <f>IF('Stratification Diagram'!P22="","",'Stratification Diagram'!P22)</f>
        <v/>
      </c>
      <c r="R20" s="2" t="str">
        <f>IF('Stratification Diagram'!R22="","",'Stratification Diagram'!R22)</f>
        <v/>
      </c>
      <c r="S20" s="2" t="str">
        <f>IF('Stratification Diagram'!S22="","",'Stratification Diagram'!S22)</f>
        <v/>
      </c>
      <c r="U20" s="1" t="e">
        <f t="shared" si="0"/>
        <v>#N/A</v>
      </c>
      <c r="V20" s="2" t="e">
        <f t="shared" si="1"/>
        <v>#N/A</v>
      </c>
      <c r="W20" s="2" t="e">
        <f t="shared" si="2"/>
        <v>#N/A</v>
      </c>
      <c r="X20" s="1" t="e">
        <f t="shared" si="3"/>
        <v>#N/A</v>
      </c>
      <c r="Y20" s="2" t="e">
        <f t="shared" si="4"/>
        <v>#N/A</v>
      </c>
      <c r="Z20" s="2" t="e">
        <f t="shared" si="5"/>
        <v>#N/A</v>
      </c>
      <c r="AA20" s="1" t="e">
        <f t="shared" si="6"/>
        <v>#N/A</v>
      </c>
      <c r="AB20" s="2" t="e">
        <f t="shared" si="7"/>
        <v>#N/A</v>
      </c>
      <c r="AC20" s="2" t="e">
        <f t="shared" si="8"/>
        <v>#N/A</v>
      </c>
      <c r="AD20" s="1" t="e">
        <f t="shared" si="9"/>
        <v>#N/A</v>
      </c>
      <c r="AE20" s="2" t="e">
        <f t="shared" si="10"/>
        <v>#N/A</v>
      </c>
      <c r="AF20" s="2" t="e">
        <f t="shared" si="11"/>
        <v>#N/A</v>
      </c>
      <c r="AG20" s="1" t="e">
        <f t="shared" si="12"/>
        <v>#N/A</v>
      </c>
      <c r="AH20" s="2" t="e">
        <f t="shared" si="13"/>
        <v>#N/A</v>
      </c>
      <c r="AI20" s="2" t="e">
        <f t="shared" si="14"/>
        <v>#N/A</v>
      </c>
      <c r="AJ20" s="1" t="e">
        <f t="shared" si="15"/>
        <v>#N/A</v>
      </c>
      <c r="AK20" s="2" t="e">
        <f t="shared" si="16"/>
        <v>#N/A</v>
      </c>
      <c r="AL20" s="2" t="e">
        <f t="shared" si="17"/>
        <v>#N/A</v>
      </c>
    </row>
    <row r="21" spans="2:38">
      <c r="B21" s="1">
        <v>17</v>
      </c>
      <c r="C21" s="2" t="str">
        <f>IF('Stratification Diagram'!C23="","",'Stratification Diagram'!C23)</f>
        <v/>
      </c>
      <c r="D21" s="2" t="str">
        <f>IF('Stratification Diagram'!D23="","",'Stratification Diagram'!D23)</f>
        <v/>
      </c>
      <c r="F21" s="2" t="str">
        <f>IF('Stratification Diagram'!F23="","",'Stratification Diagram'!F23)</f>
        <v/>
      </c>
      <c r="G21" s="2" t="str">
        <f>IF('Stratification Diagram'!G23="","",'Stratification Diagram'!G23)</f>
        <v/>
      </c>
      <c r="I21" s="2" t="str">
        <f>IF('Stratification Diagram'!I23="","",'Stratification Diagram'!I23)</f>
        <v/>
      </c>
      <c r="J21" s="2" t="str">
        <f>IF('Stratification Diagram'!J23="","",'Stratification Diagram'!J23)</f>
        <v/>
      </c>
      <c r="L21" s="2" t="str">
        <f>IF('Stratification Diagram'!L23="","",'Stratification Diagram'!L23)</f>
        <v/>
      </c>
      <c r="M21" s="2" t="str">
        <f>IF('Stratification Diagram'!M23="","",'Stratification Diagram'!M23)</f>
        <v/>
      </c>
      <c r="O21" s="2" t="str">
        <f>IF('Stratification Diagram'!O23="","",'Stratification Diagram'!O23)</f>
        <v/>
      </c>
      <c r="P21" s="2" t="str">
        <f>IF('Stratification Diagram'!P23="","",'Stratification Diagram'!P23)</f>
        <v/>
      </c>
      <c r="R21" s="2" t="str">
        <f>IF('Stratification Diagram'!R23="","",'Stratification Diagram'!R23)</f>
        <v/>
      </c>
      <c r="S21" s="2" t="str">
        <f>IF('Stratification Diagram'!S23="","",'Stratification Diagram'!S23)</f>
        <v/>
      </c>
      <c r="U21" s="1" t="e">
        <f t="shared" si="0"/>
        <v>#N/A</v>
      </c>
      <c r="V21" s="2" t="e">
        <f t="shared" si="1"/>
        <v>#N/A</v>
      </c>
      <c r="W21" s="2" t="e">
        <f t="shared" si="2"/>
        <v>#N/A</v>
      </c>
      <c r="X21" s="1" t="e">
        <f t="shared" si="3"/>
        <v>#N/A</v>
      </c>
      <c r="Y21" s="2" t="e">
        <f t="shared" si="4"/>
        <v>#N/A</v>
      </c>
      <c r="Z21" s="2" t="e">
        <f t="shared" si="5"/>
        <v>#N/A</v>
      </c>
      <c r="AA21" s="1" t="e">
        <f t="shared" si="6"/>
        <v>#N/A</v>
      </c>
      <c r="AB21" s="2" t="e">
        <f t="shared" si="7"/>
        <v>#N/A</v>
      </c>
      <c r="AC21" s="2" t="e">
        <f t="shared" si="8"/>
        <v>#N/A</v>
      </c>
      <c r="AD21" s="1" t="e">
        <f t="shared" si="9"/>
        <v>#N/A</v>
      </c>
      <c r="AE21" s="2" t="e">
        <f t="shared" si="10"/>
        <v>#N/A</v>
      </c>
      <c r="AF21" s="2" t="e">
        <f t="shared" si="11"/>
        <v>#N/A</v>
      </c>
      <c r="AG21" s="1" t="e">
        <f t="shared" si="12"/>
        <v>#N/A</v>
      </c>
      <c r="AH21" s="2" t="e">
        <f t="shared" si="13"/>
        <v>#N/A</v>
      </c>
      <c r="AI21" s="2" t="e">
        <f t="shared" si="14"/>
        <v>#N/A</v>
      </c>
      <c r="AJ21" s="1" t="e">
        <f t="shared" si="15"/>
        <v>#N/A</v>
      </c>
      <c r="AK21" s="2" t="e">
        <f t="shared" si="16"/>
        <v>#N/A</v>
      </c>
      <c r="AL21" s="2" t="e">
        <f t="shared" si="17"/>
        <v>#N/A</v>
      </c>
    </row>
    <row r="22" spans="2:38">
      <c r="B22" s="1">
        <v>18</v>
      </c>
      <c r="C22" s="2" t="str">
        <f>IF('Stratification Diagram'!C24="","",'Stratification Diagram'!C24)</f>
        <v/>
      </c>
      <c r="D22" s="2" t="str">
        <f>IF('Stratification Diagram'!D24="","",'Stratification Diagram'!D24)</f>
        <v/>
      </c>
      <c r="F22" s="2" t="str">
        <f>IF('Stratification Diagram'!F24="","",'Stratification Diagram'!F24)</f>
        <v/>
      </c>
      <c r="G22" s="2" t="str">
        <f>IF('Stratification Diagram'!G24="","",'Stratification Diagram'!G24)</f>
        <v/>
      </c>
      <c r="I22" s="2" t="str">
        <f>IF('Stratification Diagram'!I24="","",'Stratification Diagram'!I24)</f>
        <v/>
      </c>
      <c r="J22" s="2" t="str">
        <f>IF('Stratification Diagram'!J24="","",'Stratification Diagram'!J24)</f>
        <v/>
      </c>
      <c r="L22" s="2" t="str">
        <f>IF('Stratification Diagram'!L24="","",'Stratification Diagram'!L24)</f>
        <v/>
      </c>
      <c r="M22" s="2" t="str">
        <f>IF('Stratification Diagram'!M24="","",'Stratification Diagram'!M24)</f>
        <v/>
      </c>
      <c r="O22" s="2" t="str">
        <f>IF('Stratification Diagram'!O24="","",'Stratification Diagram'!O24)</f>
        <v/>
      </c>
      <c r="P22" s="2" t="str">
        <f>IF('Stratification Diagram'!P24="","",'Stratification Diagram'!P24)</f>
        <v/>
      </c>
      <c r="R22" s="2" t="str">
        <f>IF('Stratification Diagram'!R24="","",'Stratification Diagram'!R24)</f>
        <v/>
      </c>
      <c r="S22" s="2" t="str">
        <f>IF('Stratification Diagram'!S24="","",'Stratification Diagram'!S24)</f>
        <v/>
      </c>
      <c r="U22" s="1" t="e">
        <f t="shared" si="0"/>
        <v>#N/A</v>
      </c>
      <c r="V22" s="2" t="e">
        <f t="shared" si="1"/>
        <v>#N/A</v>
      </c>
      <c r="W22" s="2" t="e">
        <f t="shared" si="2"/>
        <v>#N/A</v>
      </c>
      <c r="X22" s="1" t="e">
        <f t="shared" si="3"/>
        <v>#N/A</v>
      </c>
      <c r="Y22" s="2" t="e">
        <f t="shared" si="4"/>
        <v>#N/A</v>
      </c>
      <c r="Z22" s="2" t="e">
        <f t="shared" si="5"/>
        <v>#N/A</v>
      </c>
      <c r="AA22" s="1" t="e">
        <f t="shared" si="6"/>
        <v>#N/A</v>
      </c>
      <c r="AB22" s="2" t="e">
        <f t="shared" si="7"/>
        <v>#N/A</v>
      </c>
      <c r="AC22" s="2" t="e">
        <f t="shared" si="8"/>
        <v>#N/A</v>
      </c>
      <c r="AD22" s="1" t="e">
        <f t="shared" si="9"/>
        <v>#N/A</v>
      </c>
      <c r="AE22" s="2" t="e">
        <f t="shared" si="10"/>
        <v>#N/A</v>
      </c>
      <c r="AF22" s="2" t="e">
        <f t="shared" si="11"/>
        <v>#N/A</v>
      </c>
      <c r="AG22" s="1" t="e">
        <f t="shared" si="12"/>
        <v>#N/A</v>
      </c>
      <c r="AH22" s="2" t="e">
        <f t="shared" si="13"/>
        <v>#N/A</v>
      </c>
      <c r="AI22" s="2" t="e">
        <f t="shared" si="14"/>
        <v>#N/A</v>
      </c>
      <c r="AJ22" s="1" t="e">
        <f t="shared" si="15"/>
        <v>#N/A</v>
      </c>
      <c r="AK22" s="2" t="e">
        <f t="shared" si="16"/>
        <v>#N/A</v>
      </c>
      <c r="AL22" s="2" t="e">
        <f t="shared" si="17"/>
        <v>#N/A</v>
      </c>
    </row>
    <row r="23" spans="2:38">
      <c r="B23" s="1">
        <v>19</v>
      </c>
      <c r="C23" s="2" t="str">
        <f>IF('Stratification Diagram'!C25="","",'Stratification Diagram'!C25)</f>
        <v/>
      </c>
      <c r="D23" s="2" t="str">
        <f>IF('Stratification Diagram'!D25="","",'Stratification Diagram'!D25)</f>
        <v/>
      </c>
      <c r="F23" s="2" t="str">
        <f>IF('Stratification Diagram'!F25="","",'Stratification Diagram'!F25)</f>
        <v/>
      </c>
      <c r="G23" s="2" t="str">
        <f>IF('Stratification Diagram'!G25="","",'Stratification Diagram'!G25)</f>
        <v/>
      </c>
      <c r="I23" s="2" t="str">
        <f>IF('Stratification Diagram'!I25="","",'Stratification Diagram'!I25)</f>
        <v/>
      </c>
      <c r="J23" s="2" t="str">
        <f>IF('Stratification Diagram'!J25="","",'Stratification Diagram'!J25)</f>
        <v/>
      </c>
      <c r="L23" s="2" t="str">
        <f>IF('Stratification Diagram'!L25="","",'Stratification Diagram'!L25)</f>
        <v/>
      </c>
      <c r="M23" s="2" t="str">
        <f>IF('Stratification Diagram'!M25="","",'Stratification Diagram'!M25)</f>
        <v/>
      </c>
      <c r="O23" s="2" t="str">
        <f>IF('Stratification Diagram'!O25="","",'Stratification Diagram'!O25)</f>
        <v/>
      </c>
      <c r="P23" s="2" t="str">
        <f>IF('Stratification Diagram'!P25="","",'Stratification Diagram'!P25)</f>
        <v/>
      </c>
      <c r="R23" s="2" t="str">
        <f>IF('Stratification Diagram'!R25="","",'Stratification Diagram'!R25)</f>
        <v/>
      </c>
      <c r="S23" s="2" t="str">
        <f>IF('Stratification Diagram'!S25="","",'Stratification Diagram'!S25)</f>
        <v/>
      </c>
      <c r="U23" s="1" t="e">
        <f t="shared" si="0"/>
        <v>#N/A</v>
      </c>
      <c r="V23" s="2" t="e">
        <f t="shared" si="1"/>
        <v>#N/A</v>
      </c>
      <c r="W23" s="2" t="e">
        <f t="shared" si="2"/>
        <v>#N/A</v>
      </c>
      <c r="X23" s="1" t="e">
        <f t="shared" si="3"/>
        <v>#N/A</v>
      </c>
      <c r="Y23" s="2" t="e">
        <f t="shared" si="4"/>
        <v>#N/A</v>
      </c>
      <c r="Z23" s="2" t="e">
        <f t="shared" si="5"/>
        <v>#N/A</v>
      </c>
      <c r="AA23" s="1" t="e">
        <f t="shared" si="6"/>
        <v>#N/A</v>
      </c>
      <c r="AB23" s="2" t="e">
        <f t="shared" si="7"/>
        <v>#N/A</v>
      </c>
      <c r="AC23" s="2" t="e">
        <f t="shared" si="8"/>
        <v>#N/A</v>
      </c>
      <c r="AD23" s="1" t="e">
        <f t="shared" si="9"/>
        <v>#N/A</v>
      </c>
      <c r="AE23" s="2" t="e">
        <f t="shared" si="10"/>
        <v>#N/A</v>
      </c>
      <c r="AF23" s="2" t="e">
        <f t="shared" si="11"/>
        <v>#N/A</v>
      </c>
      <c r="AG23" s="1" t="e">
        <f t="shared" si="12"/>
        <v>#N/A</v>
      </c>
      <c r="AH23" s="2" t="e">
        <f t="shared" si="13"/>
        <v>#N/A</v>
      </c>
      <c r="AI23" s="2" t="e">
        <f t="shared" si="14"/>
        <v>#N/A</v>
      </c>
      <c r="AJ23" s="1" t="e">
        <f t="shared" si="15"/>
        <v>#N/A</v>
      </c>
      <c r="AK23" s="2" t="e">
        <f t="shared" si="16"/>
        <v>#N/A</v>
      </c>
      <c r="AL23" s="2" t="e">
        <f t="shared" si="17"/>
        <v>#N/A</v>
      </c>
    </row>
    <row r="41" spans="40:42">
      <c r="AN41" s="4" t="s">
        <v>6</v>
      </c>
      <c r="AO41" s="2" t="str">
        <f>V3</f>
        <v>Process 1</v>
      </c>
      <c r="AP41" s="4" t="str">
        <f t="shared" ref="AP41:AP46" si="18">IF(AO41="","",AN41)</f>
        <v>u</v>
      </c>
    </row>
    <row r="42" spans="40:42">
      <c r="AN42" s="5" t="s">
        <v>7</v>
      </c>
      <c r="AO42" s="2" t="str">
        <f>Y3</f>
        <v>Process 2</v>
      </c>
      <c r="AP42" s="5" t="str">
        <f t="shared" si="18"/>
        <v>v</v>
      </c>
    </row>
    <row r="43" spans="40:42">
      <c r="AN43" s="6" t="s">
        <v>8</v>
      </c>
      <c r="AO43" s="2" t="str">
        <f>AB3</f>
        <v>Process 3</v>
      </c>
      <c r="AP43" s="6" t="str">
        <f t="shared" si="18"/>
        <v>n</v>
      </c>
    </row>
    <row r="44" spans="40:42">
      <c r="AN44" s="7" t="s">
        <v>6</v>
      </c>
      <c r="AO44" s="2" t="str">
        <f>AE3</f>
        <v>Process 4</v>
      </c>
      <c r="AP44" s="7" t="str">
        <f t="shared" si="18"/>
        <v>u</v>
      </c>
    </row>
    <row r="45" spans="40:42">
      <c r="AN45" s="8" t="s">
        <v>10</v>
      </c>
      <c r="AO45" s="2" t="str">
        <f>AH3</f>
        <v>Process 5</v>
      </c>
      <c r="AP45" s="8" t="str">
        <f t="shared" si="18"/>
        <v>m</v>
      </c>
    </row>
    <row r="46" spans="40:42">
      <c r="AN46" s="9" t="s">
        <v>9</v>
      </c>
      <c r="AO46" s="2" t="str">
        <f>AK3</f>
        <v>Process 6</v>
      </c>
      <c r="AP46" s="9" t="str">
        <f t="shared" si="18"/>
        <v>x</v>
      </c>
    </row>
    <row r="48" spans="40:42">
      <c r="AN48" s="1" t="str">
        <f>IF(AND(C5="",COUNTBLANK(D5)=0)=TRUE,"Output (y) vs Category","Output(y) vs. Input(x) by Category")</f>
        <v>Output(y) vs. Input(x) by Category</v>
      </c>
    </row>
  </sheetData>
  <mergeCells count="12">
    <mergeCell ref="AE3:AF3"/>
    <mergeCell ref="AH3:AI3"/>
    <mergeCell ref="AK3:AL3"/>
    <mergeCell ref="AB3:AC3"/>
    <mergeCell ref="C3:D3"/>
    <mergeCell ref="F3:G3"/>
    <mergeCell ref="I3:J3"/>
    <mergeCell ref="V3:W3"/>
    <mergeCell ref="Y3:Z3"/>
    <mergeCell ref="L3:M3"/>
    <mergeCell ref="O3:P3"/>
    <mergeCell ref="R3:S3"/>
  </mergeCells>
  <phoneticPr fontId="1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Introduction</vt:lpstr>
      <vt:lpstr>Stratification Diagram</vt:lpstr>
      <vt:lpstr>Helper sheet</vt:lpstr>
      <vt:lpstr>'Stratification Diagram'!Print_Area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QSK1184</cp:lastModifiedBy>
  <cp:lastPrinted>2008-03-30T00:58:15Z</cp:lastPrinted>
  <dcterms:created xsi:type="dcterms:W3CDTF">1901-01-01T04:00:00Z</dcterms:created>
  <dcterms:modified xsi:type="dcterms:W3CDTF">2024-09-20T12:11:15Z</dcterms:modified>
</cp:coreProperties>
</file>