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Data Analysis\"/>
    </mc:Choice>
  </mc:AlternateContent>
  <xr:revisionPtr revIDLastSave="0" documentId="13_ncr:1_{CC086E7A-A5B0-4729-8C84-02F64B2744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Panel Comparison Analysis" sheetId="6" r:id="rId2"/>
    <sheet name="Sheet2" sheetId="8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8" l="1"/>
  <c r="E8" i="8"/>
  <c r="E7" i="8"/>
</calcChain>
</file>

<file path=xl/sharedStrings.xml><?xml version="1.0" encoding="utf-8"?>
<sst xmlns="http://schemas.openxmlformats.org/spreadsheetml/2006/main" count="103" uniqueCount="58">
  <si>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</si>
  <si>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</si>
  <si>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</si>
  <si>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</si>
  <si>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</si>
  <si>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</si>
  <si>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</si>
  <si>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</si>
  <si>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</si>
  <si>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</si>
  <si>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</si>
  <si>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</si>
  <si>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</si>
  <si>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</si>
  <si>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</si>
  <si>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Panel Matrix Diagram</t>
  </si>
  <si>
    <t>Comparison Dataset</t>
  </si>
  <si>
    <t>Dataset #1</t>
  </si>
  <si>
    <t>Month</t>
  </si>
  <si>
    <t>Actual</t>
  </si>
  <si>
    <t>Budget</t>
  </si>
  <si>
    <t>-</t>
  </si>
  <si>
    <t>Jan</t>
  </si>
  <si>
    <t>May</t>
  </si>
  <si>
    <t>Sep</t>
  </si>
  <si>
    <t>Dec</t>
  </si>
  <si>
    <t>Dataset #2</t>
  </si>
  <si>
    <t>Dataset #3</t>
  </si>
  <si>
    <t>Dataset #4</t>
  </si>
  <si>
    <t>Dividers</t>
  </si>
  <si>
    <t>X</t>
  </si>
  <si>
    <t>Y</t>
  </si>
  <si>
    <t>Panel Chart is one of the most effective comparison chart that looks like mini charts placed beside each other</t>
  </si>
  <si>
    <t>Showing these mini charts right beside each other is a very effective way of comparing different variables for different categories.</t>
  </si>
  <si>
    <t>Panel Chart "Comparison Analysis"</t>
  </si>
  <si>
    <t>Panel Comparison Analysis</t>
  </si>
  <si>
    <t>Throught this sheet you will add your interest of dataset to be analyzed using Panel Chart</t>
  </si>
  <si>
    <t>In panel comparison analysis sheet you will start to record you interest of data to be analyzed and compared using Panel Chart</t>
  </si>
  <si>
    <t>Comparing categories may be Products, Companies, Line or any other different variables</t>
  </si>
  <si>
    <t>In left side table start to record up to 4 dataset " you can rename datase sequence Dataset#1, Dataset#2, Dataset#3, Dataset#4 with your comparing categories</t>
  </si>
  <si>
    <t>After rename dataset# to your comparing category set you intervals time in month column</t>
  </si>
  <si>
    <t>The next step is to record actual VS plan or budget monthly base</t>
  </si>
  <si>
    <t>Please note that for each category dataset only allowed to insert data in blank white cells for actual and budget columns</t>
  </si>
  <si>
    <t>After completing all categories field, Panel chart will be draw automatically with smart view of mini charts beside each others</t>
  </si>
  <si>
    <t>To maximize display view you can click "Full Screen" button it top area</t>
  </si>
  <si>
    <t>For fast clear dataset content you can use "Clear Data" button in top area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</si>
  <si>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</si>
  <si>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</si>
  <si>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</si>
  <si>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</si>
  <si>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</si>
  <si>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</si>
  <si>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</si>
  <si>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</si>
  <si>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</si>
  <si>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</si>
  <si>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</si>
  <si>
    <t>Panel 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</si>
</sst>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0.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 tint="0.34998626667073579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b/>
      <sz val="10"/>
      <color theme="1" tint="0.34998626667073579"/>
      <name val="Arial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CFAD"/>
        <bgColor indexed="64"/>
      </patternFill>
    </fill>
  </fills>
  <borders count="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499984740745262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 applyNumberFormat="0" applyFill="0" applyBorder="0" applyAlignment="0" applyProtection="0"/>
    <xf numFmtId="0" fontId="6" fillId="0" borderId="0"/>
    <xf numFmtId="164" fontId="15" fillId="0" borderId="0" applyFont="0" applyFill="0" applyBorder="0" applyAlignment="0" applyProtection="0"/>
  </cellStyleXfs>
  <cellXfs count="68">
    <xf numFmtId="0" fontId="0" fillId="0" borderId="0" xfId="0"/>
    <xf numFmtId="0" fontId="6" fillId="0" borderId="0" xfId="2" applyFont="1"/>
    <xf numFmtId="0" fontId="6" fillId="2" borderId="0" xfId="2" applyFont="1" applyFill="1"/>
    <xf numFmtId="0" fontId="7" fillId="0" borderId="0" xfId="2" applyFont="1"/>
    <xf numFmtId="0" fontId="8" fillId="2" borderId="0" xfId="2" applyFont="1" applyFill="1"/>
    <xf numFmtId="0" fontId="4" fillId="2" borderId="0" xfId="2" applyFont="1" applyFill="1"/>
    <xf numFmtId="0" fontId="10" fillId="2" borderId="0" xfId="3" applyFont="1" applyFill="1"/>
    <xf numFmtId="0" fontId="5" fillId="2" borderId="0" xfId="3" applyFont="1" applyFill="1"/>
    <xf numFmtId="0" fontId="11" fillId="0" borderId="0" xfId="2" applyFont="1" applyAlignment="1">
      <alignment horizontal="right"/>
    </xf>
    <xf numFmtId="0" fontId="7" fillId="0" borderId="0" xfId="4" applyFont="1"/>
    <xf numFmtId="0" fontId="12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4" fillId="2" borderId="0" xfId="1" applyFont="1" applyFill="1" applyAlignment="1" applyProtection="1"/>
    <xf numFmtId="0" fontId="13" fillId="0" borderId="0" xfId="0" applyFont="1"/>
    <xf numFmtId="0" fontId="15" fillId="0" borderId="0" xfId="0" applyFont="1"/>
    <xf numFmtId="49" fontId="15" fillId="0" borderId="0" xfId="0" applyNumberFormat="1" applyFont="1"/>
    <xf numFmtId="0" fontId="15" fillId="0" borderId="0" xfId="0" applyFont="1" applyAlignment="1">
      <alignment horizontal="center"/>
    </xf>
    <xf numFmtId="49" fontId="15" fillId="4" borderId="0" xfId="0" applyNumberFormat="1" applyFont="1" applyFill="1"/>
    <xf numFmtId="0" fontId="15" fillId="3" borderId="0" xfId="0" applyFont="1" applyFill="1" applyAlignment="1">
      <alignment horizontal="center"/>
    </xf>
    <xf numFmtId="0" fontId="6" fillId="3" borderId="1" xfId="0" applyFont="1" applyFill="1" applyBorder="1"/>
    <xf numFmtId="0" fontId="6" fillId="3" borderId="4" xfId="0" applyFont="1" applyFill="1" applyBorder="1"/>
    <xf numFmtId="14" fontId="6" fillId="3" borderId="4" xfId="0" applyNumberFormat="1" applyFont="1" applyFill="1" applyBorder="1" applyAlignment="1">
      <alignment horizontal="center"/>
    </xf>
    <xf numFmtId="0" fontId="16" fillId="0" borderId="5" xfId="0" applyFont="1" applyBorder="1"/>
    <xf numFmtId="49" fontId="16" fillId="0" borderId="5" xfId="0" applyNumberFormat="1" applyFont="1" applyBorder="1" applyProtection="1">
      <protection locked="0"/>
    </xf>
    <xf numFmtId="166" fontId="15" fillId="0" borderId="0" xfId="0" applyNumberFormat="1" applyFont="1"/>
    <xf numFmtId="166" fontId="6" fillId="0" borderId="1" xfId="0" applyNumberFormat="1" applyFont="1" applyBorder="1" applyAlignment="1" applyProtection="1">
      <alignment horizontal="center" vertical="center"/>
      <protection locked="0"/>
    </xf>
    <xf numFmtId="166" fontId="6" fillId="0" borderId="2" xfId="0" applyNumberFormat="1" applyFont="1" applyBorder="1" applyAlignment="1" applyProtection="1">
      <alignment horizontal="center" vertical="center"/>
      <protection locked="0"/>
    </xf>
    <xf numFmtId="166" fontId="6" fillId="0" borderId="4" xfId="0" applyNumberFormat="1" applyFont="1" applyBorder="1" applyAlignment="1" applyProtection="1">
      <alignment horizontal="center"/>
      <protection locked="0"/>
    </xf>
    <xf numFmtId="166" fontId="6" fillId="0" borderId="8" xfId="0" applyNumberFormat="1" applyFont="1" applyBorder="1" applyAlignment="1" applyProtection="1">
      <alignment horizontal="center" vertical="center"/>
      <protection locked="0"/>
    </xf>
    <xf numFmtId="0" fontId="18" fillId="4" borderId="0" xfId="0" applyFont="1" applyFill="1"/>
    <xf numFmtId="0" fontId="18" fillId="0" borderId="0" xfId="0" applyFont="1"/>
    <xf numFmtId="0" fontId="15" fillId="0" borderId="0" xfId="0" applyFont="1" applyAlignment="1">
      <alignment vertical="top"/>
    </xf>
    <xf numFmtId="14" fontId="6" fillId="3" borderId="6" xfId="0" applyNumberFormat="1" applyFont="1" applyFill="1" applyBorder="1" applyAlignment="1">
      <alignment horizontal="center"/>
    </xf>
    <xf numFmtId="0" fontId="15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15" fillId="4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165" fontId="15" fillId="0" borderId="0" xfId="5" applyNumberFormat="1" applyFont="1" applyFill="1" applyBorder="1" applyAlignment="1" applyProtection="1">
      <alignment vertical="center"/>
    </xf>
    <xf numFmtId="0" fontId="6" fillId="3" borderId="2" xfId="0" applyFont="1" applyFill="1" applyBorder="1" applyAlignment="1">
      <alignment vertical="center"/>
    </xf>
    <xf numFmtId="0" fontId="7" fillId="3" borderId="1" xfId="0" applyFont="1" applyFill="1" applyBorder="1"/>
    <xf numFmtId="165" fontId="15" fillId="4" borderId="0" xfId="5" applyNumberFormat="1" applyFont="1" applyFill="1" applyBorder="1" applyAlignment="1" applyProtection="1">
      <alignment vertical="center"/>
    </xf>
    <xf numFmtId="0" fontId="6" fillId="3" borderId="2" xfId="0" applyFont="1" applyFill="1" applyBorder="1" applyAlignment="1">
      <alignment horizontal="center" vertical="center"/>
    </xf>
    <xf numFmtId="0" fontId="15" fillId="0" borderId="7" xfId="0" applyFont="1" applyBorder="1"/>
    <xf numFmtId="0" fontId="6" fillId="3" borderId="8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16" fillId="0" borderId="5" xfId="0" applyFont="1" applyBorder="1" applyProtection="1">
      <protection locked="0"/>
    </xf>
    <xf numFmtId="166" fontId="6" fillId="0" borderId="6" xfId="0" applyNumberFormat="1" applyFont="1" applyBorder="1" applyAlignment="1" applyProtection="1">
      <alignment horizontal="center"/>
      <protection locked="0"/>
    </xf>
    <xf numFmtId="166" fontId="6" fillId="0" borderId="1" xfId="0" applyNumberFormat="1" applyFont="1" applyBorder="1" applyAlignment="1" applyProtection="1">
      <alignment horizontal="center"/>
      <protection locked="0"/>
    </xf>
    <xf numFmtId="0" fontId="6" fillId="0" borderId="6" xfId="0" applyFont="1" applyBorder="1" applyProtection="1">
      <protection locked="0"/>
    </xf>
    <xf numFmtId="0" fontId="6" fillId="0" borderId="1" xfId="0" quotePrefix="1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6" fillId="0" borderId="2" xfId="0" quotePrefix="1" applyFont="1" applyBorder="1" applyProtection="1">
      <protection locked="0"/>
    </xf>
    <xf numFmtId="0" fontId="6" fillId="0" borderId="2" xfId="0" applyFont="1" applyBorder="1" applyProtection="1">
      <protection locked="0"/>
    </xf>
    <xf numFmtId="0" fontId="6" fillId="0" borderId="4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13" fillId="0" borderId="0" xfId="0" applyFont="1" applyProtection="1">
      <protection locked="0"/>
    </xf>
    <xf numFmtId="0" fontId="13" fillId="0" borderId="3" xfId="0" applyFont="1" applyBorder="1" applyProtection="1">
      <protection locked="0"/>
    </xf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right"/>
    </xf>
    <xf numFmtId="0" fontId="6" fillId="0" borderId="0" xfId="4"/>
    <xf numFmtId="0" fontId="3" fillId="0" borderId="0" xfId="1" applyAlignment="1" applyProtection="1"/>
    <xf numFmtId="0" fontId="17" fillId="2" borderId="0" xfId="0" applyFont="1" applyFill="1" applyAlignment="1">
      <alignment horizontal="center" vertical="center"/>
    </xf>
  </cellXfs>
  <cellStyles count="6">
    <cellStyle name="Comma" xfId="5" builtinId="3"/>
    <cellStyle name="Hyperlink" xfId="1" builtinId="8"/>
    <cellStyle name="Hyperlink 2" xfId="3" xr:uid="{D0C469F9-1DFE-4E96-9222-F5C6E60C0113}"/>
    <cellStyle name="Normal" xfId="0" builtinId="0"/>
    <cellStyle name="Normal 2" xfId="2" xr:uid="{4ECE8E6A-28E9-4710-9235-23CE4B3B11A1}"/>
    <cellStyle name="Normal 2 2" xfId="4" xr:uid="{EB2EEF92-C657-401D-8170-F27A72E1E815}"/>
  </cellStyles>
  <dxfs count="0"/>
  <tableStyles count="0" defaultTableStyle="TableStyleMedium2" defaultPivotStyle="PivotStyleLight16"/>
  <colors>
    <mruColors>
      <color rgb="FF50B47F"/>
      <color rgb="FF8FCFAD"/>
      <color rgb="FFE8D272"/>
      <color rgb="FFFFE05B"/>
      <color rgb="FFFFEB9C"/>
      <color rgb="FF8A0007"/>
      <color rgb="FF9C0006"/>
      <color rgb="FF9C5700"/>
      <color rgb="FFFFC7CE"/>
      <color rgb="FFE9C2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'Panel Comparison Analysis'!$C$2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rgbClr val="50B47F"/>
              </a:solidFill>
              <a:round/>
            </a:ln>
            <a:effectLst/>
          </c:spPr>
          <c:marker>
            <c:symbol val="none"/>
          </c:marker>
          <c:cat>
            <c:multiLvlStrRef>
              <c:f>'Panel Comparison Analysis'!$A$3:$B$50</c:f>
              <c:multiLvlStrCache>
                <c:ptCount val="48"/>
                <c:lvl>
                  <c:pt idx="0">
                    <c:v>Jan</c:v>
                  </c:pt>
                  <c:pt idx="1">
                    <c:v>-</c:v>
                  </c:pt>
                  <c:pt idx="2">
                    <c:v>-</c:v>
                  </c:pt>
                  <c:pt idx="3">
                    <c:v>-</c:v>
                  </c:pt>
                  <c:pt idx="4">
                    <c:v>May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Sep</c:v>
                  </c:pt>
                  <c:pt idx="9">
                    <c:v>-</c:v>
                  </c:pt>
                  <c:pt idx="10">
                    <c:v>-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-</c:v>
                  </c:pt>
                  <c:pt idx="14">
                    <c:v>-</c:v>
                  </c:pt>
                  <c:pt idx="15">
                    <c:v>-</c:v>
                  </c:pt>
                  <c:pt idx="16">
                    <c:v>May</c:v>
                  </c:pt>
                  <c:pt idx="17">
                    <c:v>-</c:v>
                  </c:pt>
                  <c:pt idx="18">
                    <c:v>-</c:v>
                  </c:pt>
                  <c:pt idx="19">
                    <c:v>-</c:v>
                  </c:pt>
                  <c:pt idx="20">
                    <c:v>Sep</c:v>
                  </c:pt>
                  <c:pt idx="21">
                    <c:v>-</c:v>
                  </c:pt>
                  <c:pt idx="22">
                    <c:v>-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-</c:v>
                  </c:pt>
                  <c:pt idx="26">
                    <c:v>-</c:v>
                  </c:pt>
                  <c:pt idx="27">
                    <c:v>-</c:v>
                  </c:pt>
                  <c:pt idx="28">
                    <c:v>May</c:v>
                  </c:pt>
                  <c:pt idx="29">
                    <c:v>-</c:v>
                  </c:pt>
                  <c:pt idx="30">
                    <c:v>-</c:v>
                  </c:pt>
                  <c:pt idx="31">
                    <c:v>-</c:v>
                  </c:pt>
                  <c:pt idx="32">
                    <c:v>Sep</c:v>
                  </c:pt>
                  <c:pt idx="33">
                    <c:v>-</c:v>
                  </c:pt>
                  <c:pt idx="34">
                    <c:v>-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-</c:v>
                  </c:pt>
                  <c:pt idx="38">
                    <c:v>-</c:v>
                  </c:pt>
                  <c:pt idx="39">
                    <c:v>-</c:v>
                  </c:pt>
                  <c:pt idx="40">
                    <c:v>May</c:v>
                  </c:pt>
                  <c:pt idx="41">
                    <c:v>-</c:v>
                  </c:pt>
                  <c:pt idx="42">
                    <c:v>-</c:v>
                  </c:pt>
                  <c:pt idx="43">
                    <c:v>-</c:v>
                  </c:pt>
                  <c:pt idx="44">
                    <c:v>Sep</c:v>
                  </c:pt>
                  <c:pt idx="45">
                    <c:v>-</c:v>
                  </c:pt>
                  <c:pt idx="46">
                    <c:v>-</c:v>
                  </c:pt>
                  <c:pt idx="47">
                    <c:v>Dec</c:v>
                  </c:pt>
                </c:lvl>
                <c:lvl>
                  <c:pt idx="0">
                    <c:v>Dataset #1</c:v>
                  </c:pt>
                  <c:pt idx="12">
                    <c:v>Dataset #2</c:v>
                  </c:pt>
                  <c:pt idx="24">
                    <c:v>Dataset #3</c:v>
                  </c:pt>
                  <c:pt idx="36">
                    <c:v>Dataset #4</c:v>
                  </c:pt>
                </c:lvl>
              </c:multiLvlStrCache>
            </c:multiLvlStrRef>
          </c:cat>
          <c:val>
            <c:numRef>
              <c:f>'Panel Comparison Analysis'!$C$3:$C$50</c:f>
              <c:numCache>
                <c:formatCode>0.0</c:formatCode>
                <c:ptCount val="48"/>
                <c:pt idx="0">
                  <c:v>140</c:v>
                </c:pt>
                <c:pt idx="1">
                  <c:v>210</c:v>
                </c:pt>
                <c:pt idx="2">
                  <c:v>240</c:v>
                </c:pt>
                <c:pt idx="3">
                  <c:v>250</c:v>
                </c:pt>
                <c:pt idx="4">
                  <c:v>320</c:v>
                </c:pt>
                <c:pt idx="5">
                  <c:v>480</c:v>
                </c:pt>
                <c:pt idx="6">
                  <c:v>700</c:v>
                </c:pt>
                <c:pt idx="7">
                  <c:v>908</c:v>
                </c:pt>
                <c:pt idx="8">
                  <c:v>1200</c:v>
                </c:pt>
                <c:pt idx="9">
                  <c:v>1600</c:v>
                </c:pt>
                <c:pt idx="10">
                  <c:v>2000</c:v>
                </c:pt>
                <c:pt idx="11">
                  <c:v>2300</c:v>
                </c:pt>
                <c:pt idx="24">
                  <c:v>204.48</c:v>
                </c:pt>
                <c:pt idx="25">
                  <c:v>303.88</c:v>
                </c:pt>
                <c:pt idx="26">
                  <c:v>355</c:v>
                </c:pt>
                <c:pt idx="27">
                  <c:v>454.4</c:v>
                </c:pt>
                <c:pt idx="28">
                  <c:v>653.19999999999993</c:v>
                </c:pt>
                <c:pt idx="29">
                  <c:v>1065</c:v>
                </c:pt>
                <c:pt idx="30">
                  <c:v>1192.8</c:v>
                </c:pt>
                <c:pt idx="31">
                  <c:v>1562</c:v>
                </c:pt>
                <c:pt idx="32">
                  <c:v>1917</c:v>
                </c:pt>
                <c:pt idx="33">
                  <c:v>2328.7999999999997</c:v>
                </c:pt>
                <c:pt idx="34">
                  <c:v>2556</c:v>
                </c:pt>
                <c:pt idx="35">
                  <c:v>2911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4-4132-AC94-13824C7762BF}"/>
            </c:ext>
          </c:extLst>
        </c:ser>
        <c:ser>
          <c:idx val="1"/>
          <c:order val="1"/>
          <c:tx>
            <c:strRef>
              <c:f>'Panel Comparison Analysis'!$D$2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'Panel Comparison Analysis'!$A$3:$B$50</c:f>
              <c:multiLvlStrCache>
                <c:ptCount val="48"/>
                <c:lvl>
                  <c:pt idx="0">
                    <c:v>Jan</c:v>
                  </c:pt>
                  <c:pt idx="1">
                    <c:v>-</c:v>
                  </c:pt>
                  <c:pt idx="2">
                    <c:v>-</c:v>
                  </c:pt>
                  <c:pt idx="3">
                    <c:v>-</c:v>
                  </c:pt>
                  <c:pt idx="4">
                    <c:v>May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Sep</c:v>
                  </c:pt>
                  <c:pt idx="9">
                    <c:v>-</c:v>
                  </c:pt>
                  <c:pt idx="10">
                    <c:v>-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-</c:v>
                  </c:pt>
                  <c:pt idx="14">
                    <c:v>-</c:v>
                  </c:pt>
                  <c:pt idx="15">
                    <c:v>-</c:v>
                  </c:pt>
                  <c:pt idx="16">
                    <c:v>May</c:v>
                  </c:pt>
                  <c:pt idx="17">
                    <c:v>-</c:v>
                  </c:pt>
                  <c:pt idx="18">
                    <c:v>-</c:v>
                  </c:pt>
                  <c:pt idx="19">
                    <c:v>-</c:v>
                  </c:pt>
                  <c:pt idx="20">
                    <c:v>Sep</c:v>
                  </c:pt>
                  <c:pt idx="21">
                    <c:v>-</c:v>
                  </c:pt>
                  <c:pt idx="22">
                    <c:v>-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-</c:v>
                  </c:pt>
                  <c:pt idx="26">
                    <c:v>-</c:v>
                  </c:pt>
                  <c:pt idx="27">
                    <c:v>-</c:v>
                  </c:pt>
                  <c:pt idx="28">
                    <c:v>May</c:v>
                  </c:pt>
                  <c:pt idx="29">
                    <c:v>-</c:v>
                  </c:pt>
                  <c:pt idx="30">
                    <c:v>-</c:v>
                  </c:pt>
                  <c:pt idx="31">
                    <c:v>-</c:v>
                  </c:pt>
                  <c:pt idx="32">
                    <c:v>Sep</c:v>
                  </c:pt>
                  <c:pt idx="33">
                    <c:v>-</c:v>
                  </c:pt>
                  <c:pt idx="34">
                    <c:v>-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-</c:v>
                  </c:pt>
                  <c:pt idx="38">
                    <c:v>-</c:v>
                  </c:pt>
                  <c:pt idx="39">
                    <c:v>-</c:v>
                  </c:pt>
                  <c:pt idx="40">
                    <c:v>May</c:v>
                  </c:pt>
                  <c:pt idx="41">
                    <c:v>-</c:v>
                  </c:pt>
                  <c:pt idx="42">
                    <c:v>-</c:v>
                  </c:pt>
                  <c:pt idx="43">
                    <c:v>-</c:v>
                  </c:pt>
                  <c:pt idx="44">
                    <c:v>Sep</c:v>
                  </c:pt>
                  <c:pt idx="45">
                    <c:v>-</c:v>
                  </c:pt>
                  <c:pt idx="46">
                    <c:v>-</c:v>
                  </c:pt>
                  <c:pt idx="47">
                    <c:v>Dec</c:v>
                  </c:pt>
                </c:lvl>
                <c:lvl>
                  <c:pt idx="0">
                    <c:v>Dataset #1</c:v>
                  </c:pt>
                  <c:pt idx="12">
                    <c:v>Dataset #2</c:v>
                  </c:pt>
                  <c:pt idx="24">
                    <c:v>Dataset #3</c:v>
                  </c:pt>
                  <c:pt idx="36">
                    <c:v>Dataset #4</c:v>
                  </c:pt>
                </c:lvl>
              </c:multiLvlStrCache>
            </c:multiLvlStrRef>
          </c:cat>
          <c:val>
            <c:numRef>
              <c:f>'Panel Comparison Analysis'!$D$3:$D$50</c:f>
              <c:numCache>
                <c:formatCode>0.0</c:formatCode>
                <c:ptCount val="48"/>
                <c:pt idx="0">
                  <c:v>100</c:v>
                </c:pt>
                <c:pt idx="1">
                  <c:v>180</c:v>
                </c:pt>
                <c:pt idx="2">
                  <c:v>200</c:v>
                </c:pt>
                <c:pt idx="3">
                  <c:v>220</c:v>
                </c:pt>
                <c:pt idx="4">
                  <c:v>300</c:v>
                </c:pt>
                <c:pt idx="5">
                  <c:v>400</c:v>
                </c:pt>
                <c:pt idx="6">
                  <c:v>550</c:v>
                </c:pt>
                <c:pt idx="7">
                  <c:v>700</c:v>
                </c:pt>
                <c:pt idx="8">
                  <c:v>900</c:v>
                </c:pt>
                <c:pt idx="9">
                  <c:v>1200</c:v>
                </c:pt>
                <c:pt idx="10">
                  <c:v>1400</c:v>
                </c:pt>
                <c:pt idx="11">
                  <c:v>1700</c:v>
                </c:pt>
                <c:pt idx="24">
                  <c:v>144</c:v>
                </c:pt>
                <c:pt idx="25">
                  <c:v>214</c:v>
                </c:pt>
                <c:pt idx="26">
                  <c:v>250</c:v>
                </c:pt>
                <c:pt idx="27">
                  <c:v>320</c:v>
                </c:pt>
                <c:pt idx="28">
                  <c:v>460</c:v>
                </c:pt>
                <c:pt idx="29">
                  <c:v>750</c:v>
                </c:pt>
                <c:pt idx="30">
                  <c:v>840</c:v>
                </c:pt>
                <c:pt idx="31">
                  <c:v>1100</c:v>
                </c:pt>
                <c:pt idx="32">
                  <c:v>1350</c:v>
                </c:pt>
                <c:pt idx="33">
                  <c:v>1640</c:v>
                </c:pt>
                <c:pt idx="34">
                  <c:v>1800</c:v>
                </c:pt>
                <c:pt idx="35">
                  <c:v>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94-4132-AC94-13824C7762BF}"/>
            </c:ext>
          </c:extLst>
        </c:ser>
        <c:ser>
          <c:idx val="2"/>
          <c:order val="2"/>
          <c:tx>
            <c:strRef>
              <c:f>'Panel Comparison Analysis'!$E$2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rgbClr val="50B47F"/>
              </a:solidFill>
              <a:round/>
            </a:ln>
            <a:effectLst/>
          </c:spPr>
          <c:marker>
            <c:symbol val="none"/>
          </c:marker>
          <c:cat>
            <c:multiLvlStrRef>
              <c:f>'Panel Comparison Analysis'!$A$3:$B$50</c:f>
              <c:multiLvlStrCache>
                <c:ptCount val="48"/>
                <c:lvl>
                  <c:pt idx="0">
                    <c:v>Jan</c:v>
                  </c:pt>
                  <c:pt idx="1">
                    <c:v>-</c:v>
                  </c:pt>
                  <c:pt idx="2">
                    <c:v>-</c:v>
                  </c:pt>
                  <c:pt idx="3">
                    <c:v>-</c:v>
                  </c:pt>
                  <c:pt idx="4">
                    <c:v>May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Sep</c:v>
                  </c:pt>
                  <c:pt idx="9">
                    <c:v>-</c:v>
                  </c:pt>
                  <c:pt idx="10">
                    <c:v>-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-</c:v>
                  </c:pt>
                  <c:pt idx="14">
                    <c:v>-</c:v>
                  </c:pt>
                  <c:pt idx="15">
                    <c:v>-</c:v>
                  </c:pt>
                  <c:pt idx="16">
                    <c:v>May</c:v>
                  </c:pt>
                  <c:pt idx="17">
                    <c:v>-</c:v>
                  </c:pt>
                  <c:pt idx="18">
                    <c:v>-</c:v>
                  </c:pt>
                  <c:pt idx="19">
                    <c:v>-</c:v>
                  </c:pt>
                  <c:pt idx="20">
                    <c:v>Sep</c:v>
                  </c:pt>
                  <c:pt idx="21">
                    <c:v>-</c:v>
                  </c:pt>
                  <c:pt idx="22">
                    <c:v>-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-</c:v>
                  </c:pt>
                  <c:pt idx="26">
                    <c:v>-</c:v>
                  </c:pt>
                  <c:pt idx="27">
                    <c:v>-</c:v>
                  </c:pt>
                  <c:pt idx="28">
                    <c:v>May</c:v>
                  </c:pt>
                  <c:pt idx="29">
                    <c:v>-</c:v>
                  </c:pt>
                  <c:pt idx="30">
                    <c:v>-</c:v>
                  </c:pt>
                  <c:pt idx="31">
                    <c:v>-</c:v>
                  </c:pt>
                  <c:pt idx="32">
                    <c:v>Sep</c:v>
                  </c:pt>
                  <c:pt idx="33">
                    <c:v>-</c:v>
                  </c:pt>
                  <c:pt idx="34">
                    <c:v>-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-</c:v>
                  </c:pt>
                  <c:pt idx="38">
                    <c:v>-</c:v>
                  </c:pt>
                  <c:pt idx="39">
                    <c:v>-</c:v>
                  </c:pt>
                  <c:pt idx="40">
                    <c:v>May</c:v>
                  </c:pt>
                  <c:pt idx="41">
                    <c:v>-</c:v>
                  </c:pt>
                  <c:pt idx="42">
                    <c:v>-</c:v>
                  </c:pt>
                  <c:pt idx="43">
                    <c:v>-</c:v>
                  </c:pt>
                  <c:pt idx="44">
                    <c:v>Sep</c:v>
                  </c:pt>
                  <c:pt idx="45">
                    <c:v>-</c:v>
                  </c:pt>
                  <c:pt idx="46">
                    <c:v>-</c:v>
                  </c:pt>
                  <c:pt idx="47">
                    <c:v>Dec</c:v>
                  </c:pt>
                </c:lvl>
                <c:lvl>
                  <c:pt idx="0">
                    <c:v>Dataset #1</c:v>
                  </c:pt>
                  <c:pt idx="12">
                    <c:v>Dataset #2</c:v>
                  </c:pt>
                  <c:pt idx="24">
                    <c:v>Dataset #3</c:v>
                  </c:pt>
                  <c:pt idx="36">
                    <c:v>Dataset #4</c:v>
                  </c:pt>
                </c:lvl>
              </c:multiLvlStrCache>
            </c:multiLvlStrRef>
          </c:cat>
          <c:val>
            <c:numRef>
              <c:f>'Panel Comparison Analysis'!$E$3:$E$50</c:f>
              <c:numCache>
                <c:formatCode>General</c:formatCode>
                <c:ptCount val="48"/>
                <c:pt idx="12" formatCode="0.0">
                  <c:v>132.30000000000001</c:v>
                </c:pt>
                <c:pt idx="13" formatCode="0.0">
                  <c:v>162</c:v>
                </c:pt>
                <c:pt idx="14" formatCode="0.0">
                  <c:v>243.00000000000003</c:v>
                </c:pt>
                <c:pt idx="15" formatCode="0.0">
                  <c:v>324</c:v>
                </c:pt>
                <c:pt idx="16" formatCode="0.0">
                  <c:v>540</c:v>
                </c:pt>
                <c:pt idx="17" formatCode="0.0">
                  <c:v>877.50000000000011</c:v>
                </c:pt>
                <c:pt idx="18" formatCode="0.0">
                  <c:v>1201.5</c:v>
                </c:pt>
                <c:pt idx="19" formatCode="0.0">
                  <c:v>1485</c:v>
                </c:pt>
                <c:pt idx="20" formatCode="0.0">
                  <c:v>1957.5000000000002</c:v>
                </c:pt>
                <c:pt idx="21" formatCode="0.0">
                  <c:v>2362.5</c:v>
                </c:pt>
                <c:pt idx="22" formatCode="0.0">
                  <c:v>2565</c:v>
                </c:pt>
                <c:pt idx="23" formatCode="0.0">
                  <c:v>2835</c:v>
                </c:pt>
                <c:pt idx="36" formatCode="0.0">
                  <c:v>67.099999999999994</c:v>
                </c:pt>
                <c:pt idx="37" formatCode="0.0">
                  <c:v>134.19999999999999</c:v>
                </c:pt>
                <c:pt idx="38" formatCode="0.0">
                  <c:v>195.2</c:v>
                </c:pt>
                <c:pt idx="39" formatCode="0.0">
                  <c:v>292.8</c:v>
                </c:pt>
                <c:pt idx="40" formatCode="0.0">
                  <c:v>390.4</c:v>
                </c:pt>
                <c:pt idx="41" formatCode="0.0">
                  <c:v>585.6</c:v>
                </c:pt>
                <c:pt idx="42" formatCode="0.0">
                  <c:v>793</c:v>
                </c:pt>
                <c:pt idx="43" formatCode="0.0">
                  <c:v>866.19999999999993</c:v>
                </c:pt>
                <c:pt idx="44" formatCode="0.0">
                  <c:v>1281</c:v>
                </c:pt>
                <c:pt idx="45" formatCode="0.0">
                  <c:v>1464</c:v>
                </c:pt>
                <c:pt idx="46" formatCode="0.0">
                  <c:v>1500</c:v>
                </c:pt>
                <c:pt idx="47" formatCode="0.0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94-4132-AC94-13824C7762BF}"/>
            </c:ext>
          </c:extLst>
        </c:ser>
        <c:ser>
          <c:idx val="3"/>
          <c:order val="3"/>
          <c:tx>
            <c:strRef>
              <c:f>'Panel Comparison Analysis'!$F$2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'Panel Comparison Analysis'!$A$3:$B$50</c:f>
              <c:multiLvlStrCache>
                <c:ptCount val="48"/>
                <c:lvl>
                  <c:pt idx="0">
                    <c:v>Jan</c:v>
                  </c:pt>
                  <c:pt idx="1">
                    <c:v>-</c:v>
                  </c:pt>
                  <c:pt idx="2">
                    <c:v>-</c:v>
                  </c:pt>
                  <c:pt idx="3">
                    <c:v>-</c:v>
                  </c:pt>
                  <c:pt idx="4">
                    <c:v>May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Sep</c:v>
                  </c:pt>
                  <c:pt idx="9">
                    <c:v>-</c:v>
                  </c:pt>
                  <c:pt idx="10">
                    <c:v>-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-</c:v>
                  </c:pt>
                  <c:pt idx="14">
                    <c:v>-</c:v>
                  </c:pt>
                  <c:pt idx="15">
                    <c:v>-</c:v>
                  </c:pt>
                  <c:pt idx="16">
                    <c:v>May</c:v>
                  </c:pt>
                  <c:pt idx="17">
                    <c:v>-</c:v>
                  </c:pt>
                  <c:pt idx="18">
                    <c:v>-</c:v>
                  </c:pt>
                  <c:pt idx="19">
                    <c:v>-</c:v>
                  </c:pt>
                  <c:pt idx="20">
                    <c:v>Sep</c:v>
                  </c:pt>
                  <c:pt idx="21">
                    <c:v>-</c:v>
                  </c:pt>
                  <c:pt idx="22">
                    <c:v>-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-</c:v>
                  </c:pt>
                  <c:pt idx="26">
                    <c:v>-</c:v>
                  </c:pt>
                  <c:pt idx="27">
                    <c:v>-</c:v>
                  </c:pt>
                  <c:pt idx="28">
                    <c:v>May</c:v>
                  </c:pt>
                  <c:pt idx="29">
                    <c:v>-</c:v>
                  </c:pt>
                  <c:pt idx="30">
                    <c:v>-</c:v>
                  </c:pt>
                  <c:pt idx="31">
                    <c:v>-</c:v>
                  </c:pt>
                  <c:pt idx="32">
                    <c:v>Sep</c:v>
                  </c:pt>
                  <c:pt idx="33">
                    <c:v>-</c:v>
                  </c:pt>
                  <c:pt idx="34">
                    <c:v>-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-</c:v>
                  </c:pt>
                  <c:pt idx="38">
                    <c:v>-</c:v>
                  </c:pt>
                  <c:pt idx="39">
                    <c:v>-</c:v>
                  </c:pt>
                  <c:pt idx="40">
                    <c:v>May</c:v>
                  </c:pt>
                  <c:pt idx="41">
                    <c:v>-</c:v>
                  </c:pt>
                  <c:pt idx="42">
                    <c:v>-</c:v>
                  </c:pt>
                  <c:pt idx="43">
                    <c:v>-</c:v>
                  </c:pt>
                  <c:pt idx="44">
                    <c:v>Sep</c:v>
                  </c:pt>
                  <c:pt idx="45">
                    <c:v>-</c:v>
                  </c:pt>
                  <c:pt idx="46">
                    <c:v>-</c:v>
                  </c:pt>
                  <c:pt idx="47">
                    <c:v>Dec</c:v>
                  </c:pt>
                </c:lvl>
                <c:lvl>
                  <c:pt idx="0">
                    <c:v>Dataset #1</c:v>
                  </c:pt>
                  <c:pt idx="12">
                    <c:v>Dataset #2</c:v>
                  </c:pt>
                  <c:pt idx="24">
                    <c:v>Dataset #3</c:v>
                  </c:pt>
                  <c:pt idx="36">
                    <c:v>Dataset #4</c:v>
                  </c:pt>
                </c:lvl>
              </c:multiLvlStrCache>
            </c:multiLvlStrRef>
          </c:cat>
          <c:val>
            <c:numRef>
              <c:f>'Panel Comparison Analysis'!$F$3:$F$50</c:f>
              <c:numCache>
                <c:formatCode>General</c:formatCode>
                <c:ptCount val="48"/>
                <c:pt idx="12" formatCode="0.0">
                  <c:v>98</c:v>
                </c:pt>
                <c:pt idx="13" formatCode="0.0">
                  <c:v>120</c:v>
                </c:pt>
                <c:pt idx="14" formatCode="0.0">
                  <c:v>180</c:v>
                </c:pt>
                <c:pt idx="15" formatCode="0.0">
                  <c:v>240</c:v>
                </c:pt>
                <c:pt idx="16" formatCode="0.0">
                  <c:v>400</c:v>
                </c:pt>
                <c:pt idx="17" formatCode="0.0">
                  <c:v>650</c:v>
                </c:pt>
                <c:pt idx="18" formatCode="0.0">
                  <c:v>890</c:v>
                </c:pt>
                <c:pt idx="19" formatCode="0.0">
                  <c:v>1100</c:v>
                </c:pt>
                <c:pt idx="20" formatCode="0.0">
                  <c:v>1450</c:v>
                </c:pt>
                <c:pt idx="21" formatCode="0.0">
                  <c:v>1750</c:v>
                </c:pt>
                <c:pt idx="22" formatCode="0.0">
                  <c:v>1900</c:v>
                </c:pt>
                <c:pt idx="23" formatCode="0.0">
                  <c:v>2100</c:v>
                </c:pt>
                <c:pt idx="36" formatCode="0.0">
                  <c:v>55</c:v>
                </c:pt>
                <c:pt idx="37" formatCode="0.0">
                  <c:v>110</c:v>
                </c:pt>
                <c:pt idx="38" formatCode="0.0">
                  <c:v>160</c:v>
                </c:pt>
                <c:pt idx="39" formatCode="0.0">
                  <c:v>240</c:v>
                </c:pt>
                <c:pt idx="40" formatCode="0.0">
                  <c:v>320</c:v>
                </c:pt>
                <c:pt idx="41" formatCode="0.0">
                  <c:v>480</c:v>
                </c:pt>
                <c:pt idx="42" formatCode="0.0">
                  <c:v>650</c:v>
                </c:pt>
                <c:pt idx="43" formatCode="0.0">
                  <c:v>710</c:v>
                </c:pt>
                <c:pt idx="44" formatCode="0.0">
                  <c:v>1050</c:v>
                </c:pt>
                <c:pt idx="45" formatCode="0.0">
                  <c:v>1200</c:v>
                </c:pt>
                <c:pt idx="46" formatCode="0.0">
                  <c:v>1200</c:v>
                </c:pt>
                <c:pt idx="47" formatCode="0.0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94-4132-AC94-13824C77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574559"/>
        <c:axId val="326578719"/>
      </c:lineChart>
      <c:scatterChart>
        <c:scatterStyle val="lineMarker"/>
        <c:varyColors val="0"/>
        <c:ser>
          <c:idx val="4"/>
          <c:order val="4"/>
          <c:tx>
            <c:strRef>
              <c:f>Sheet2!$D$4</c:f>
              <c:strCache>
                <c:ptCount val="1"/>
                <c:pt idx="0">
                  <c:v>Dividers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Sheet2!$E$7:$E$9</c:f>
              <c:numCache>
                <c:formatCode>General</c:formatCode>
                <c:ptCount val="3"/>
                <c:pt idx="0">
                  <c:v>12.5</c:v>
                </c:pt>
                <c:pt idx="1">
                  <c:v>24.5</c:v>
                </c:pt>
                <c:pt idx="2">
                  <c:v>36.5</c:v>
                </c:pt>
              </c:numCache>
            </c:numRef>
          </c:xVal>
          <c:yVal>
            <c:numRef>
              <c:f>Sheet2!$F$7:$F$9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94-4132-AC94-13824C77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975311"/>
        <c:axId val="427980303"/>
      </c:scatterChart>
      <c:catAx>
        <c:axId val="32657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6578719"/>
        <c:crosses val="autoZero"/>
        <c:auto val="1"/>
        <c:lblAlgn val="ctr"/>
        <c:lblOffset val="100"/>
        <c:noMultiLvlLbl val="0"/>
      </c:catAx>
      <c:valAx>
        <c:axId val="326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74559"/>
        <c:crosses val="autoZero"/>
        <c:crossBetween val="between"/>
      </c:valAx>
      <c:valAx>
        <c:axId val="427980303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solidFill>
            <a:schemeClr val="bg1">
              <a:lumMod val="65000"/>
              <a:alpha val="91000"/>
            </a:schemeClr>
          </a:solidFill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975311"/>
        <c:crosses val="max"/>
        <c:crossBetween val="midCat"/>
      </c:valAx>
      <c:valAx>
        <c:axId val="427975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7980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34</xdr:row>
      <xdr:rowOff>19050</xdr:rowOff>
    </xdr:from>
    <xdr:to>
      <xdr:col>12</xdr:col>
      <xdr:colOff>437029</xdr:colOff>
      <xdr:row>38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C6A9F1F-5088-4181-BE08-196C99E5611D}"/>
            </a:ext>
          </a:extLst>
        </xdr:cNvPr>
        <xdr:cNvGrpSpPr/>
      </xdr:nvGrpSpPr>
      <xdr:grpSpPr>
        <a:xfrm>
          <a:off x="4653242" y="5420285"/>
          <a:ext cx="5835463" cy="646580"/>
          <a:chOff x="4257674" y="8324850"/>
          <a:chExt cx="7353301" cy="666750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ED7F0404-851B-4AD7-B547-2B63F2A409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B09F1A4E-58FE-4C65-A121-A9509A60017A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2D5CF24-203A-4C03-AFD8-1E9200A95CB0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42</xdr:row>
      <xdr:rowOff>95250</xdr:rowOff>
    </xdr:from>
    <xdr:to>
      <xdr:col>12</xdr:col>
      <xdr:colOff>456079</xdr:colOff>
      <xdr:row>46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D18487C3-7C7A-4784-AD67-4E5F780D5E7F}"/>
            </a:ext>
          </a:extLst>
        </xdr:cNvPr>
        <xdr:cNvGrpSpPr/>
      </xdr:nvGrpSpPr>
      <xdr:grpSpPr>
        <a:xfrm>
          <a:off x="4672292" y="6751544"/>
          <a:ext cx="5835463" cy="646580"/>
          <a:chOff x="4276724" y="9696450"/>
          <a:chExt cx="7353301" cy="666750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CC2AE122-80F9-41F8-8114-26687793EA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340E1939-82F1-400D-8AF7-3F86E6CE6BEA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48</xdr:row>
      <xdr:rowOff>47625</xdr:rowOff>
    </xdr:from>
    <xdr:to>
      <xdr:col>12</xdr:col>
      <xdr:colOff>420024</xdr:colOff>
      <xdr:row>52</xdr:row>
      <xdr:rowOff>133350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88835B5-A8EE-4620-AE82-1F60FB365F99}"/>
            </a:ext>
          </a:extLst>
        </xdr:cNvPr>
        <xdr:cNvGrpSpPr/>
      </xdr:nvGrpSpPr>
      <xdr:grpSpPr>
        <a:xfrm>
          <a:off x="4691343" y="7645213"/>
          <a:ext cx="5780357" cy="713255"/>
          <a:chOff x="4295775" y="10620375"/>
          <a:chExt cx="7334250" cy="733425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DAEB9AF7-69DD-42A9-9028-C5A059E3D97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6F295C59-C3E4-452F-9EAF-6EDEA4BC9914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56029</xdr:colOff>
      <xdr:row>2</xdr:row>
      <xdr:rowOff>134471</xdr:rowOff>
    </xdr:from>
    <xdr:to>
      <xdr:col>24</xdr:col>
      <xdr:colOff>392206</xdr:colOff>
      <xdr:row>41</xdr:row>
      <xdr:rowOff>11206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8</xdr:col>
          <xdr:colOff>180975</xdr:colOff>
          <xdr:row>1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</xdr:row>
          <xdr:rowOff>9525</xdr:rowOff>
        </xdr:from>
        <xdr:to>
          <xdr:col>9</xdr:col>
          <xdr:colOff>371475</xdr:colOff>
          <xdr:row>1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Q60"/>
  <sheetViews>
    <sheetView showGridLines="0" showRowColHeaders="0" tabSelected="1" topLeftCell="A30" zoomScale="85" zoomScaleNormal="85" workbookViewId="0">
      <pane xSplit="3" topLeftCell="D1" activePane="topRight" state="frozen"/>
      <selection pane="topRight" activeCell="C54" sqref="C54:H65"/>
    </sheetView>
  </sheetViews>
  <sheetFormatPr defaultRowHeight="12.75" x14ac:dyDescent="0.2"/>
  <cols>
    <col min="1" max="1" width="24.28515625" style="2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57</v>
      </c>
    </row>
    <row r="7" spans="1:4" x14ac:dyDescent="0.2">
      <c r="A7" s="5"/>
    </row>
    <row r="8" spans="1:4" x14ac:dyDescent="0.2">
      <c r="A8" s="12" t="s">
        <v>35</v>
      </c>
      <c r="B8" s="3" t="s">
        <v>2</v>
      </c>
      <c r="D8" s="1" t="s">
        <v>32</v>
      </c>
    </row>
    <row r="9" spans="1:4" ht="15" x14ac:dyDescent="0.25">
      <c r="A9" s="6"/>
      <c r="B9" s="3"/>
      <c r="D9" s="1" t="s">
        <v>33</v>
      </c>
    </row>
    <row r="10" spans="1:4" ht="15" x14ac:dyDescent="0.25">
      <c r="A10" s="7"/>
    </row>
    <row r="11" spans="1:4" x14ac:dyDescent="0.2">
      <c r="B11" s="3"/>
      <c r="C11" s="8"/>
    </row>
    <row r="13" spans="1:4" x14ac:dyDescent="0.2">
      <c r="B13" s="9" t="s">
        <v>3</v>
      </c>
      <c r="D13" s="9">
        <v>1</v>
      </c>
    </row>
    <row r="15" spans="1:4" x14ac:dyDescent="0.2">
      <c r="B15" s="9" t="s">
        <v>4</v>
      </c>
      <c r="C15" s="10" t="s">
        <v>15</v>
      </c>
      <c r="D15" s="1" t="s">
        <v>36</v>
      </c>
    </row>
    <row r="16" spans="1:4" x14ac:dyDescent="0.2">
      <c r="C16" s="10"/>
    </row>
    <row r="17" spans="2:17" x14ac:dyDescent="0.2">
      <c r="C17" s="10"/>
    </row>
    <row r="19" spans="2:17" x14ac:dyDescent="0.2">
      <c r="B19" s="9" t="s">
        <v>5</v>
      </c>
      <c r="C19" s="11" t="s">
        <v>6</v>
      </c>
      <c r="D19" s="1" t="s">
        <v>37</v>
      </c>
    </row>
    <row r="20" spans="2:17" x14ac:dyDescent="0.2">
      <c r="C20" s="11" t="s">
        <v>7</v>
      </c>
      <c r="D20" s="1" t="s">
        <v>39</v>
      </c>
    </row>
    <row r="21" spans="2:17" x14ac:dyDescent="0.2">
      <c r="C21" s="11" t="s">
        <v>8</v>
      </c>
      <c r="D21" s="1" t="s">
        <v>38</v>
      </c>
    </row>
    <row r="22" spans="2:17" x14ac:dyDescent="0.2">
      <c r="C22" s="11" t="s">
        <v>9</v>
      </c>
      <c r="D22" s="1" t="s">
        <v>40</v>
      </c>
    </row>
    <row r="23" spans="2:17" x14ac:dyDescent="0.2">
      <c r="C23" s="11" t="s">
        <v>10</v>
      </c>
      <c r="D23" s="1" t="s">
        <v>41</v>
      </c>
    </row>
    <row r="24" spans="2:17" x14ac:dyDescent="0.2">
      <c r="C24" s="11" t="s">
        <v>11</v>
      </c>
      <c r="D24" s="1" t="s">
        <v>42</v>
      </c>
    </row>
    <row r="25" spans="2:17" x14ac:dyDescent="0.2">
      <c r="C25" s="11" t="s">
        <v>12</v>
      </c>
      <c r="D25" s="1" t="s">
        <v>43</v>
      </c>
    </row>
    <row r="26" spans="2:17" x14ac:dyDescent="0.2">
      <c r="C26" s="11" t="s">
        <v>13</v>
      </c>
      <c r="D26" s="1" t="s">
        <v>44</v>
      </c>
    </row>
    <row r="27" spans="2:17" x14ac:dyDescent="0.2">
      <c r="C27" s="11" t="s">
        <v>14</v>
      </c>
      <c r="D27" s="1" t="s">
        <v>45</v>
      </c>
    </row>
    <row r="28" spans="2:17" x14ac:dyDescent="0.2">
      <c r="C28" s="11"/>
    </row>
    <row r="29" spans="2:17" x14ac:dyDescent="0.2">
      <c r="C29" s="11"/>
    </row>
    <row r="30" spans="2:17" x14ac:dyDescent="0.2">
      <c r="C30" s="11"/>
    </row>
    <row r="31" spans="2:17" x14ac:dyDescent="0.2">
      <c r="B31" s="60" t="s">
        <v>46</v>
      </c>
      <c r="C31" s="61"/>
      <c r="D31" s="62" t="s">
        <v>47</v>
      </c>
      <c r="E31" s="63"/>
      <c r="F31" s="63"/>
      <c r="G31" s="63"/>
      <c r="H31" s="65"/>
      <c r="I31" s="65"/>
      <c r="J31" s="65"/>
      <c r="K31" s="65"/>
      <c r="L31" s="65"/>
      <c r="M31" s="65"/>
      <c r="N31" s="65"/>
      <c r="O31" s="63"/>
      <c r="P31" s="63"/>
      <c r="Q31" s="63"/>
    </row>
    <row r="32" spans="2:17" x14ac:dyDescent="0.2">
      <c r="B32" s="63"/>
      <c r="C32" s="63"/>
      <c r="D32" s="62" t="s">
        <v>48</v>
      </c>
      <c r="E32" s="63"/>
      <c r="F32" s="63"/>
      <c r="G32" s="63"/>
      <c r="H32" s="65"/>
      <c r="I32" s="65"/>
      <c r="J32" s="65"/>
      <c r="K32" s="65"/>
      <c r="L32" s="65"/>
      <c r="M32" s="65"/>
      <c r="N32" s="65"/>
      <c r="O32" s="63"/>
      <c r="P32" s="63"/>
      <c r="Q32" s="63"/>
    </row>
    <row r="33" spans="2:17" x14ac:dyDescent="0.2">
      <c r="B33" s="63"/>
      <c r="C33" s="63"/>
      <c r="D33" s="63"/>
      <c r="E33" s="63"/>
      <c r="F33" s="63"/>
      <c r="G33" s="63"/>
      <c r="H33" s="65"/>
      <c r="I33" s="65"/>
      <c r="J33" s="65"/>
      <c r="K33" s="65"/>
      <c r="L33" s="65"/>
      <c r="M33" s="65"/>
      <c r="N33" s="65"/>
      <c r="O33" s="63"/>
      <c r="P33" s="63"/>
      <c r="Q33" s="63"/>
    </row>
    <row r="34" spans="2:17" x14ac:dyDescent="0.2">
      <c r="B34" s="63"/>
      <c r="C34" s="64" t="s">
        <v>49</v>
      </c>
      <c r="D34" s="63" t="s">
        <v>50</v>
      </c>
      <c r="E34" s="63"/>
      <c r="F34" s="63"/>
      <c r="G34" s="63"/>
      <c r="H34" s="65"/>
      <c r="I34" s="65"/>
      <c r="J34" s="65"/>
      <c r="K34" s="65"/>
      <c r="L34" s="65"/>
      <c r="M34" s="65"/>
      <c r="N34" s="65"/>
      <c r="O34" s="63"/>
      <c r="P34" s="63"/>
      <c r="Q34" s="63"/>
    </row>
    <row r="35" spans="2:17" x14ac:dyDescent="0.2">
      <c r="B35" s="63"/>
      <c r="C35" s="63"/>
      <c r="D35" s="61"/>
      <c r="E35" s="63"/>
      <c r="F35" s="63"/>
      <c r="G35" s="63"/>
      <c r="H35" s="65"/>
      <c r="I35" s="65"/>
      <c r="J35" s="65"/>
      <c r="K35" s="65"/>
      <c r="L35" s="65"/>
      <c r="M35" s="65"/>
      <c r="N35" s="65"/>
      <c r="O35" s="63"/>
      <c r="P35" s="63"/>
      <c r="Q35" s="63"/>
    </row>
    <row r="36" spans="2:17" x14ac:dyDescent="0.2">
      <c r="B36" s="63"/>
      <c r="C36" s="63"/>
      <c r="D36" s="61"/>
      <c r="E36" s="63"/>
      <c r="F36" s="63"/>
      <c r="G36" s="63"/>
      <c r="H36" s="65"/>
      <c r="I36" s="65"/>
      <c r="J36" s="65"/>
      <c r="K36" s="65"/>
      <c r="L36" s="65"/>
      <c r="M36" s="65"/>
      <c r="N36" s="65"/>
      <c r="O36" s="63"/>
      <c r="P36" s="63"/>
      <c r="Q36" s="63"/>
    </row>
    <row r="37" spans="2:17" x14ac:dyDescent="0.2">
      <c r="B37" s="63"/>
      <c r="C37" s="63"/>
      <c r="D37" s="61"/>
      <c r="E37" s="63"/>
      <c r="F37" s="63"/>
      <c r="G37" s="63"/>
      <c r="H37" s="65"/>
      <c r="I37" s="65"/>
      <c r="J37" s="65"/>
      <c r="K37" s="65"/>
      <c r="L37" s="65"/>
      <c r="M37" s="65"/>
      <c r="N37" s="65"/>
      <c r="O37" s="63"/>
      <c r="P37" s="63"/>
      <c r="Q37" s="63"/>
    </row>
    <row r="38" spans="2:17" x14ac:dyDescent="0.2">
      <c r="B38" s="63"/>
      <c r="C38" s="63"/>
      <c r="D38" s="61"/>
      <c r="E38" s="63"/>
      <c r="F38" s="63"/>
      <c r="G38" s="63"/>
      <c r="H38" s="65"/>
      <c r="I38" s="65"/>
      <c r="J38" s="65"/>
      <c r="K38" s="65"/>
      <c r="L38" s="65"/>
      <c r="M38" s="65"/>
      <c r="N38" s="65"/>
      <c r="O38" s="63"/>
      <c r="P38" s="63"/>
      <c r="Q38" s="63"/>
    </row>
    <row r="39" spans="2:17" x14ac:dyDescent="0.2">
      <c r="B39" s="63"/>
      <c r="C39" s="63"/>
      <c r="D39" s="61"/>
      <c r="E39" s="63"/>
      <c r="F39" s="63"/>
      <c r="G39" s="63"/>
      <c r="H39" s="65"/>
      <c r="I39" s="65"/>
      <c r="J39" s="65"/>
      <c r="K39" s="65"/>
      <c r="L39" s="65"/>
      <c r="M39" s="65"/>
      <c r="N39" s="65"/>
      <c r="O39" s="63"/>
      <c r="P39" s="63"/>
      <c r="Q39" s="63"/>
    </row>
    <row r="40" spans="2:17" x14ac:dyDescent="0.2">
      <c r="B40" s="63"/>
      <c r="C40" s="64" t="s">
        <v>51</v>
      </c>
      <c r="D40" s="63" t="s">
        <v>52</v>
      </c>
      <c r="E40" s="63"/>
      <c r="F40" s="63"/>
      <c r="G40" s="63"/>
      <c r="H40" s="65"/>
      <c r="I40" s="65"/>
      <c r="J40" s="65"/>
      <c r="K40" s="65"/>
      <c r="L40" s="65"/>
      <c r="M40" s="65"/>
      <c r="N40" s="65"/>
      <c r="O40" s="63"/>
      <c r="P40" s="63"/>
      <c r="Q40" s="63"/>
    </row>
    <row r="41" spans="2:17" x14ac:dyDescent="0.2">
      <c r="B41" s="63"/>
      <c r="C41" s="63"/>
      <c r="D41" s="63"/>
      <c r="E41" s="63"/>
      <c r="F41" s="63"/>
      <c r="G41" s="63"/>
      <c r="H41" s="65"/>
      <c r="I41" s="65"/>
      <c r="J41" s="65"/>
      <c r="K41" s="65"/>
      <c r="L41" s="65"/>
      <c r="M41" s="65"/>
      <c r="N41" s="65"/>
      <c r="O41" s="63"/>
      <c r="P41" s="63"/>
      <c r="Q41" s="63"/>
    </row>
    <row r="42" spans="2:17" x14ac:dyDescent="0.2">
      <c r="B42" s="63"/>
      <c r="C42" s="64" t="s">
        <v>54</v>
      </c>
      <c r="D42" s="63" t="s">
        <v>53</v>
      </c>
      <c r="E42" s="63"/>
      <c r="F42" s="63"/>
      <c r="G42" s="63"/>
      <c r="H42" s="65"/>
      <c r="I42" s="65"/>
      <c r="J42" s="65"/>
      <c r="K42" s="65"/>
      <c r="L42" s="65"/>
      <c r="M42" s="65"/>
      <c r="N42" s="65"/>
      <c r="O42" s="63"/>
      <c r="P42" s="63"/>
      <c r="Q42" s="63"/>
    </row>
    <row r="43" spans="2:17" x14ac:dyDescent="0.2">
      <c r="B43" s="63"/>
      <c r="C43" s="63"/>
      <c r="D43" s="63"/>
      <c r="E43" s="63"/>
      <c r="F43" s="63"/>
      <c r="G43" s="63"/>
      <c r="H43" s="65"/>
      <c r="I43" s="65"/>
      <c r="J43" s="65"/>
      <c r="K43" s="65"/>
      <c r="L43" s="65"/>
      <c r="M43" s="65"/>
      <c r="N43" s="65"/>
      <c r="O43" s="63"/>
      <c r="P43" s="63"/>
      <c r="Q43" s="63"/>
    </row>
    <row r="44" spans="2:17" x14ac:dyDescent="0.2">
      <c r="B44" s="63"/>
      <c r="C44" s="63"/>
      <c r="D44" s="63"/>
      <c r="E44" s="63"/>
      <c r="F44" s="63"/>
      <c r="G44" s="63"/>
      <c r="H44" s="65"/>
      <c r="I44" s="65"/>
      <c r="J44" s="65"/>
      <c r="K44" s="65"/>
      <c r="L44" s="65"/>
      <c r="M44" s="65"/>
      <c r="N44" s="65"/>
      <c r="O44" s="63"/>
      <c r="P44" s="63"/>
      <c r="Q44" s="63"/>
    </row>
    <row r="45" spans="2:17" x14ac:dyDescent="0.2">
      <c r="B45" s="63"/>
      <c r="C45" s="63"/>
      <c r="D45" s="63"/>
      <c r="E45" s="63"/>
      <c r="F45" s="63"/>
      <c r="G45" s="63"/>
      <c r="H45" s="65"/>
      <c r="I45" s="65"/>
      <c r="J45" s="65"/>
      <c r="K45" s="65"/>
      <c r="L45" s="65"/>
      <c r="M45" s="65"/>
      <c r="N45" s="65"/>
      <c r="O45" s="63"/>
      <c r="P45" s="63"/>
      <c r="Q45" s="63"/>
    </row>
    <row r="46" spans="2:17" x14ac:dyDescent="0.2">
      <c r="B46" s="63"/>
      <c r="C46" s="63"/>
      <c r="D46" s="63"/>
      <c r="E46" s="63"/>
      <c r="F46" s="63"/>
      <c r="G46" s="63"/>
      <c r="H46" s="65"/>
      <c r="I46" s="65"/>
      <c r="J46" s="65"/>
      <c r="K46" s="65"/>
      <c r="L46" s="65"/>
      <c r="M46" s="65"/>
      <c r="N46" s="65"/>
      <c r="O46" s="63"/>
      <c r="P46" s="63"/>
      <c r="Q46" s="63"/>
    </row>
    <row r="47" spans="2:17" x14ac:dyDescent="0.2">
      <c r="B47" s="63"/>
      <c r="C47" s="63"/>
      <c r="D47" s="63"/>
      <c r="E47" s="63"/>
      <c r="F47" s="63"/>
      <c r="G47" s="63"/>
      <c r="H47" s="65"/>
      <c r="I47" s="65"/>
      <c r="J47" s="65"/>
      <c r="K47" s="65"/>
      <c r="L47" s="65"/>
      <c r="M47" s="65"/>
      <c r="N47" s="65"/>
      <c r="O47" s="63"/>
      <c r="P47" s="63"/>
      <c r="Q47" s="63"/>
    </row>
    <row r="48" spans="2:17" x14ac:dyDescent="0.2">
      <c r="B48" s="63"/>
      <c r="C48" s="64" t="s">
        <v>55</v>
      </c>
      <c r="D48" s="63" t="s">
        <v>56</v>
      </c>
      <c r="E48" s="63"/>
      <c r="F48" s="63"/>
      <c r="G48" s="63"/>
      <c r="H48" s="65"/>
      <c r="I48" s="65"/>
      <c r="J48" s="65"/>
      <c r="K48" s="65"/>
      <c r="L48" s="65"/>
      <c r="M48" s="65"/>
      <c r="N48" s="65"/>
      <c r="O48" s="63"/>
      <c r="P48" s="63"/>
      <c r="Q48" s="63"/>
    </row>
    <row r="49" spans="2:17" x14ac:dyDescent="0.2">
      <c r="B49" s="63"/>
      <c r="C49" s="63"/>
      <c r="D49" s="63"/>
      <c r="E49" s="63"/>
      <c r="F49" s="63"/>
      <c r="G49" s="63"/>
      <c r="H49" s="65"/>
      <c r="I49" s="65"/>
      <c r="J49" s="65"/>
      <c r="K49" s="65"/>
      <c r="L49" s="65"/>
      <c r="M49" s="65"/>
      <c r="N49" s="65"/>
      <c r="O49" s="63"/>
      <c r="P49" s="63"/>
      <c r="Q49" s="63"/>
    </row>
    <row r="50" spans="2:17" x14ac:dyDescent="0.2">
      <c r="B50" s="63"/>
      <c r="C50" s="63"/>
      <c r="D50" s="63"/>
      <c r="E50" s="63"/>
      <c r="F50" s="63"/>
      <c r="G50" s="63"/>
      <c r="H50" s="65"/>
      <c r="I50" s="65"/>
      <c r="J50" s="65"/>
      <c r="K50" s="65"/>
      <c r="L50" s="65"/>
      <c r="M50" s="65"/>
      <c r="N50" s="65"/>
      <c r="O50" s="63"/>
      <c r="P50" s="63"/>
      <c r="Q50" s="63"/>
    </row>
    <row r="51" spans="2:17" x14ac:dyDescent="0.2">
      <c r="B51" s="63"/>
      <c r="C51" s="63"/>
      <c r="D51" s="63"/>
      <c r="E51" s="63"/>
      <c r="F51" s="63"/>
      <c r="G51" s="63"/>
      <c r="H51" s="65"/>
      <c r="I51" s="65"/>
      <c r="J51" s="65"/>
      <c r="K51" s="65"/>
      <c r="L51" s="65"/>
      <c r="M51" s="65"/>
      <c r="N51" s="65"/>
      <c r="O51" s="63"/>
      <c r="P51" s="63"/>
      <c r="Q51" s="63"/>
    </row>
    <row r="52" spans="2:17" x14ac:dyDescent="0.2">
      <c r="B52" s="63"/>
      <c r="C52" s="63"/>
      <c r="D52" s="63"/>
      <c r="E52" s="63"/>
      <c r="F52" s="63"/>
      <c r="G52" s="63"/>
      <c r="H52" s="65"/>
      <c r="I52" s="65"/>
      <c r="J52" s="65"/>
      <c r="K52" s="65"/>
      <c r="L52" s="65"/>
      <c r="M52" s="65"/>
      <c r="N52" s="65"/>
      <c r="O52" s="63"/>
      <c r="P52" s="63"/>
      <c r="Q52" s="63"/>
    </row>
    <row r="53" spans="2:17" x14ac:dyDescent="0.2">
      <c r="B53" s="63"/>
      <c r="C53" s="63"/>
      <c r="D53" s="63"/>
      <c r="E53" s="63"/>
      <c r="F53" s="63"/>
      <c r="G53" s="63"/>
      <c r="H53" s="65"/>
      <c r="I53" s="65"/>
      <c r="J53" s="65"/>
      <c r="K53" s="65"/>
      <c r="L53" s="65"/>
      <c r="M53" s="65"/>
      <c r="N53" s="65"/>
      <c r="O53" s="63"/>
      <c r="P53" s="63"/>
      <c r="Q53" s="63"/>
    </row>
    <row r="54" spans="2:17" x14ac:dyDescent="0.2">
      <c r="B54" s="63"/>
      <c r="C54" s="63"/>
      <c r="D54" s="62"/>
      <c r="E54" s="63"/>
      <c r="F54" s="63"/>
      <c r="G54" s="63"/>
      <c r="H54" s="65"/>
      <c r="I54" s="65"/>
      <c r="J54" s="65"/>
      <c r="K54" s="65"/>
      <c r="L54" s="65"/>
      <c r="M54" s="65"/>
      <c r="N54" s="65"/>
    </row>
    <row r="55" spans="2:17" x14ac:dyDescent="0.2">
      <c r="B55" s="63"/>
      <c r="C55" s="63"/>
      <c r="D55" s="65"/>
      <c r="E55" s="63"/>
      <c r="F55" s="63"/>
      <c r="G55" s="63"/>
      <c r="H55" s="65"/>
      <c r="I55" s="65"/>
      <c r="J55" s="65"/>
      <c r="K55" s="65"/>
      <c r="L55" s="65"/>
      <c r="M55" s="65"/>
      <c r="N55" s="65"/>
    </row>
    <row r="56" spans="2:17" x14ac:dyDescent="0.2">
      <c r="B56" s="63"/>
      <c r="C56" s="63"/>
      <c r="D56" s="66"/>
      <c r="E56" s="63"/>
      <c r="F56" s="63"/>
      <c r="G56" s="63"/>
      <c r="H56" s="65"/>
      <c r="I56" s="65"/>
      <c r="J56" s="65"/>
      <c r="K56" s="65"/>
      <c r="L56" s="65"/>
      <c r="M56" s="65"/>
      <c r="N56" s="65"/>
    </row>
    <row r="57" spans="2:17" x14ac:dyDescent="0.2">
      <c r="B57" s="63"/>
      <c r="C57" s="63"/>
      <c r="D57" s="65"/>
      <c r="E57" s="63"/>
      <c r="F57" s="63"/>
      <c r="G57" s="63"/>
      <c r="H57" s="65"/>
      <c r="I57" s="65"/>
      <c r="J57" s="65"/>
      <c r="K57" s="65"/>
      <c r="L57" s="65"/>
      <c r="M57" s="65"/>
      <c r="N57" s="65"/>
    </row>
    <row r="58" spans="2:17" x14ac:dyDescent="0.2">
      <c r="B58" s="63"/>
      <c r="C58" s="63"/>
      <c r="D58" s="65"/>
      <c r="E58" s="63"/>
      <c r="F58" s="63"/>
      <c r="G58" s="63"/>
      <c r="H58" s="65"/>
      <c r="I58" s="65"/>
      <c r="J58" s="65"/>
      <c r="K58" s="65"/>
      <c r="L58" s="65"/>
      <c r="M58" s="65"/>
      <c r="N58" s="65"/>
    </row>
    <row r="59" spans="2:17" x14ac:dyDescent="0.2">
      <c r="B59" s="63"/>
      <c r="C59" s="63"/>
      <c r="D59" s="65"/>
      <c r="E59" s="63"/>
      <c r="F59" s="63"/>
      <c r="G59" s="63"/>
      <c r="H59" s="65"/>
      <c r="I59" s="65"/>
      <c r="J59" s="65"/>
      <c r="K59" s="65"/>
      <c r="L59" s="65"/>
      <c r="M59" s="65"/>
      <c r="N59" s="65"/>
    </row>
    <row r="60" spans="2:17" x14ac:dyDescent="0.2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</row>
  </sheetData>
  <conditionalFormatting sqref="D13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Panel Comparison Analysis'!A1" display="Panel Comparison Analysis" xr:uid="{B89450DB-109A-477B-A1E2-81664E2031E9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75980-E30B-4AFA-820E-08179B26AF35}">
  <sheetPr codeName="Sheet2">
    <tabColor rgb="FF50B47F"/>
    <pageSetUpPr fitToPage="1"/>
  </sheetPr>
  <dimension ref="A1:Y108"/>
  <sheetViews>
    <sheetView showGridLines="0" showRowColHeaders="0" zoomScale="85" zoomScaleNormal="85" workbookViewId="0">
      <pane ySplit="2" topLeftCell="A3" activePane="bottomLeft" state="frozen"/>
      <selection pane="bottomLeft" activeCell="F24" sqref="F24"/>
    </sheetView>
  </sheetViews>
  <sheetFormatPr defaultColWidth="0" defaultRowHeight="0" customHeight="1" zeroHeight="1" x14ac:dyDescent="0.2"/>
  <cols>
    <col min="1" max="1" width="10.42578125" style="14" customWidth="1"/>
    <col min="2" max="6" width="10.7109375" style="14" customWidth="1"/>
    <col min="7" max="7" width="0.42578125" style="33" customWidth="1"/>
    <col min="8" max="24" width="9.140625" style="14" customWidth="1"/>
    <col min="25" max="25" width="7.140625" style="14" customWidth="1"/>
    <col min="26" max="16384" width="9.140625" style="14" hidden="1"/>
  </cols>
  <sheetData>
    <row r="1" spans="1:25" s="30" customFormat="1" ht="20.25" customHeight="1" x14ac:dyDescent="0.25">
      <c r="A1" s="67" t="s">
        <v>16</v>
      </c>
      <c r="B1" s="67"/>
      <c r="C1" s="67"/>
      <c r="D1" s="67"/>
      <c r="E1" s="67"/>
      <c r="F1" s="67"/>
      <c r="G1" s="29"/>
      <c r="H1" s="67" t="s">
        <v>34</v>
      </c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</row>
    <row r="2" spans="1:25" ht="12.75" customHeight="1" thickBot="1" x14ac:dyDescent="0.25">
      <c r="A2" s="13"/>
      <c r="B2" s="22" t="s">
        <v>18</v>
      </c>
      <c r="C2" s="48" t="s">
        <v>19</v>
      </c>
      <c r="D2" s="23" t="s">
        <v>20</v>
      </c>
      <c r="E2" s="48" t="s">
        <v>19</v>
      </c>
      <c r="F2" s="23" t="s">
        <v>20</v>
      </c>
      <c r="G2" s="17"/>
      <c r="H2" s="15"/>
      <c r="I2" s="31"/>
      <c r="J2" s="31"/>
      <c r="K2" s="31"/>
    </row>
    <row r="3" spans="1:25" ht="12.75" customHeight="1" thickTop="1" x14ac:dyDescent="0.2">
      <c r="A3" s="58" t="s">
        <v>17</v>
      </c>
      <c r="B3" s="51" t="s">
        <v>22</v>
      </c>
      <c r="C3" s="49">
        <v>140</v>
      </c>
      <c r="D3" s="49">
        <v>100</v>
      </c>
      <c r="E3" s="32"/>
      <c r="F3" s="32"/>
      <c r="G3" s="17"/>
      <c r="H3" s="16"/>
      <c r="I3" s="31"/>
      <c r="J3" s="31"/>
      <c r="K3" s="31"/>
    </row>
    <row r="4" spans="1:25" ht="12.75" customHeight="1" x14ac:dyDescent="0.2">
      <c r="B4" s="52" t="s">
        <v>21</v>
      </c>
      <c r="C4" s="50">
        <v>210</v>
      </c>
      <c r="D4" s="50">
        <v>180</v>
      </c>
      <c r="E4" s="19"/>
      <c r="F4" s="19"/>
      <c r="I4" s="31"/>
      <c r="J4" s="31"/>
      <c r="K4" s="31"/>
    </row>
    <row r="5" spans="1:25" ht="12.75" customHeight="1" x14ac:dyDescent="0.2">
      <c r="B5" s="52" t="s">
        <v>21</v>
      </c>
      <c r="C5" s="50">
        <v>240</v>
      </c>
      <c r="D5" s="50">
        <v>200</v>
      </c>
      <c r="E5" s="19"/>
      <c r="F5" s="19"/>
      <c r="I5" s="31"/>
      <c r="J5" s="31"/>
      <c r="K5" s="31"/>
    </row>
    <row r="6" spans="1:25" ht="12.75" customHeight="1" x14ac:dyDescent="0.2">
      <c r="B6" s="52" t="s">
        <v>21</v>
      </c>
      <c r="C6" s="25">
        <v>250</v>
      </c>
      <c r="D6" s="25">
        <v>220</v>
      </c>
      <c r="E6" s="34"/>
      <c r="F6" s="34"/>
      <c r="G6" s="35"/>
      <c r="H6" s="36"/>
      <c r="I6" s="36"/>
      <c r="J6" s="36"/>
      <c r="K6" s="36"/>
    </row>
    <row r="7" spans="1:25" ht="12.75" customHeight="1" x14ac:dyDescent="0.2">
      <c r="B7" s="52" t="s">
        <v>23</v>
      </c>
      <c r="C7" s="25">
        <v>320</v>
      </c>
      <c r="D7" s="25">
        <v>300</v>
      </c>
      <c r="E7" s="37"/>
      <c r="F7" s="37"/>
      <c r="G7" s="38"/>
      <c r="H7" s="39"/>
      <c r="I7" s="39"/>
      <c r="J7" s="39"/>
      <c r="K7" s="40"/>
    </row>
    <row r="8" spans="1:25" ht="12.75" customHeight="1" x14ac:dyDescent="0.2">
      <c r="B8" s="52" t="s">
        <v>21</v>
      </c>
      <c r="C8" s="25">
        <v>480</v>
      </c>
      <c r="D8" s="25">
        <v>400</v>
      </c>
      <c r="E8" s="37"/>
      <c r="F8" s="37"/>
      <c r="G8" s="38"/>
      <c r="H8" s="39"/>
      <c r="I8" s="39"/>
      <c r="J8" s="39"/>
      <c r="K8" s="40"/>
    </row>
    <row r="9" spans="1:25" ht="12.75" customHeight="1" x14ac:dyDescent="0.2">
      <c r="B9" s="52" t="s">
        <v>21</v>
      </c>
      <c r="C9" s="25">
        <v>700</v>
      </c>
      <c r="D9" s="25">
        <v>550</v>
      </c>
      <c r="E9" s="37"/>
      <c r="F9" s="37"/>
      <c r="G9" s="38"/>
      <c r="H9" s="39"/>
      <c r="I9" s="39"/>
      <c r="J9" s="39"/>
      <c r="K9" s="40"/>
    </row>
    <row r="10" spans="1:25" ht="12.75" customHeight="1" x14ac:dyDescent="0.2">
      <c r="B10" s="52" t="s">
        <v>21</v>
      </c>
      <c r="C10" s="25">
        <v>908</v>
      </c>
      <c r="D10" s="25">
        <v>700</v>
      </c>
      <c r="E10" s="37"/>
      <c r="F10" s="37"/>
      <c r="G10" s="38"/>
      <c r="H10" s="39"/>
      <c r="I10" s="39"/>
      <c r="J10" s="39"/>
      <c r="K10" s="40"/>
    </row>
    <row r="11" spans="1:25" ht="12.75" customHeight="1" x14ac:dyDescent="0.2">
      <c r="B11" s="53" t="s">
        <v>24</v>
      </c>
      <c r="C11" s="25">
        <v>1200</v>
      </c>
      <c r="D11" s="25">
        <v>900</v>
      </c>
      <c r="E11" s="37"/>
      <c r="F11" s="37"/>
      <c r="G11" s="38"/>
      <c r="H11" s="39"/>
      <c r="I11" s="39"/>
      <c r="J11" s="39"/>
      <c r="K11" s="40"/>
    </row>
    <row r="12" spans="1:25" ht="12.75" customHeight="1" x14ac:dyDescent="0.2">
      <c r="B12" s="52" t="s">
        <v>21</v>
      </c>
      <c r="C12" s="25">
        <v>1600</v>
      </c>
      <c r="D12" s="25">
        <v>1200</v>
      </c>
      <c r="E12" s="37"/>
      <c r="F12" s="37"/>
      <c r="G12" s="38"/>
      <c r="H12" s="39"/>
      <c r="I12" s="39"/>
      <c r="J12" s="39"/>
      <c r="K12" s="40"/>
    </row>
    <row r="13" spans="1:25" ht="12.75" customHeight="1" x14ac:dyDescent="0.2">
      <c r="B13" s="54" t="s">
        <v>21</v>
      </c>
      <c r="C13" s="26">
        <v>2000</v>
      </c>
      <c r="D13" s="26">
        <v>1400</v>
      </c>
      <c r="E13" s="41"/>
      <c r="F13" s="41"/>
      <c r="G13" s="38"/>
      <c r="H13" s="39"/>
      <c r="I13" s="39"/>
      <c r="J13" s="39"/>
      <c r="K13" s="40"/>
    </row>
    <row r="14" spans="1:25" ht="12.75" customHeight="1" thickBot="1" x14ac:dyDescent="0.25">
      <c r="B14" s="55" t="s">
        <v>25</v>
      </c>
      <c r="C14" s="26">
        <v>2300</v>
      </c>
      <c r="D14" s="26">
        <v>1700</v>
      </c>
      <c r="E14" s="41"/>
      <c r="F14" s="41"/>
      <c r="G14" s="38"/>
      <c r="H14" s="39"/>
      <c r="I14" s="39"/>
      <c r="J14" s="39"/>
      <c r="K14" s="40"/>
    </row>
    <row r="15" spans="1:25" ht="12.75" customHeight="1" x14ac:dyDescent="0.2">
      <c r="A15" s="59" t="s">
        <v>26</v>
      </c>
      <c r="B15" s="56" t="s">
        <v>22</v>
      </c>
      <c r="C15" s="20"/>
      <c r="D15" s="21"/>
      <c r="E15" s="27">
        <v>132.30000000000001</v>
      </c>
      <c r="F15" s="27">
        <v>98</v>
      </c>
      <c r="G15" s="38"/>
      <c r="H15" s="39"/>
      <c r="I15" s="39"/>
      <c r="J15" s="39"/>
      <c r="K15" s="40"/>
    </row>
    <row r="16" spans="1:25" ht="12.75" customHeight="1" x14ac:dyDescent="0.2">
      <c r="B16" s="52" t="s">
        <v>21</v>
      </c>
      <c r="C16" s="19"/>
      <c r="D16" s="19"/>
      <c r="E16" s="50">
        <v>162</v>
      </c>
      <c r="F16" s="50">
        <v>120</v>
      </c>
      <c r="G16" s="38"/>
      <c r="H16" s="39"/>
      <c r="I16" s="39"/>
      <c r="J16" s="39"/>
      <c r="K16" s="40"/>
    </row>
    <row r="17" spans="1:11" ht="12.75" customHeight="1" x14ac:dyDescent="0.2">
      <c r="B17" s="52" t="s">
        <v>21</v>
      </c>
      <c r="C17" s="42"/>
      <c r="D17" s="19"/>
      <c r="E17" s="50">
        <v>243.00000000000003</v>
      </c>
      <c r="F17" s="50">
        <v>180</v>
      </c>
      <c r="G17" s="43"/>
      <c r="H17" s="40"/>
      <c r="I17" s="40"/>
      <c r="J17" s="40"/>
      <c r="K17" s="40"/>
    </row>
    <row r="18" spans="1:11" ht="12.75" customHeight="1" x14ac:dyDescent="0.2">
      <c r="B18" s="52" t="s">
        <v>21</v>
      </c>
      <c r="C18" s="34"/>
      <c r="D18" s="34"/>
      <c r="E18" s="25">
        <v>324</v>
      </c>
      <c r="F18" s="25">
        <v>240</v>
      </c>
    </row>
    <row r="19" spans="1:11" ht="12.75" customHeight="1" x14ac:dyDescent="0.2">
      <c r="B19" s="52" t="s">
        <v>23</v>
      </c>
      <c r="C19" s="34"/>
      <c r="D19" s="37"/>
      <c r="E19" s="25">
        <v>540</v>
      </c>
      <c r="F19" s="25">
        <v>400</v>
      </c>
    </row>
    <row r="20" spans="1:11" ht="12.75" customHeight="1" x14ac:dyDescent="0.2">
      <c r="B20" s="52" t="s">
        <v>21</v>
      </c>
      <c r="C20" s="34"/>
      <c r="D20" s="37"/>
      <c r="E20" s="25">
        <v>877.50000000000011</v>
      </c>
      <c r="F20" s="25">
        <v>650</v>
      </c>
    </row>
    <row r="21" spans="1:11" ht="12.75" customHeight="1" x14ac:dyDescent="0.2">
      <c r="B21" s="52" t="s">
        <v>21</v>
      </c>
      <c r="C21" s="34"/>
      <c r="D21" s="37"/>
      <c r="E21" s="25">
        <v>1201.5</v>
      </c>
      <c r="F21" s="25">
        <v>890</v>
      </c>
    </row>
    <row r="22" spans="1:11" ht="12.75" customHeight="1" x14ac:dyDescent="0.2">
      <c r="B22" s="52" t="s">
        <v>21</v>
      </c>
      <c r="C22" s="34"/>
      <c r="D22" s="37"/>
      <c r="E22" s="25">
        <v>1485</v>
      </c>
      <c r="F22" s="25">
        <v>1100</v>
      </c>
    </row>
    <row r="23" spans="1:11" ht="12.75" customHeight="1" x14ac:dyDescent="0.2">
      <c r="B23" s="53" t="s">
        <v>24</v>
      </c>
      <c r="C23" s="34"/>
      <c r="D23" s="37"/>
      <c r="E23" s="25">
        <v>1957.5000000000002</v>
      </c>
      <c r="F23" s="25">
        <v>1450</v>
      </c>
    </row>
    <row r="24" spans="1:11" ht="12.75" customHeight="1" x14ac:dyDescent="0.2">
      <c r="B24" s="52" t="s">
        <v>21</v>
      </c>
      <c r="C24" s="34"/>
      <c r="D24" s="37"/>
      <c r="E24" s="25">
        <v>2362.5</v>
      </c>
      <c r="F24" s="25">
        <v>1750</v>
      </c>
    </row>
    <row r="25" spans="1:11" ht="12.75" customHeight="1" x14ac:dyDescent="0.2">
      <c r="B25" s="54" t="s">
        <v>21</v>
      </c>
      <c r="C25" s="44"/>
      <c r="D25" s="41"/>
      <c r="E25" s="26">
        <v>2565</v>
      </c>
      <c r="F25" s="26">
        <v>1900</v>
      </c>
    </row>
    <row r="26" spans="1:11" ht="12.75" customHeight="1" thickBot="1" x14ac:dyDescent="0.25">
      <c r="B26" s="55" t="s">
        <v>25</v>
      </c>
      <c r="C26" s="44"/>
      <c r="D26" s="41"/>
      <c r="E26" s="26">
        <v>2835</v>
      </c>
      <c r="F26" s="26">
        <v>2100</v>
      </c>
    </row>
    <row r="27" spans="1:11" ht="12.75" customHeight="1" x14ac:dyDescent="0.2">
      <c r="A27" s="59" t="s">
        <v>27</v>
      </c>
      <c r="B27" s="56" t="s">
        <v>22</v>
      </c>
      <c r="C27" s="27">
        <v>204.48</v>
      </c>
      <c r="D27" s="27">
        <v>144</v>
      </c>
      <c r="E27" s="21"/>
      <c r="F27" s="21"/>
    </row>
    <row r="28" spans="1:11" ht="12.75" customHeight="1" x14ac:dyDescent="0.2">
      <c r="B28" s="52" t="s">
        <v>21</v>
      </c>
      <c r="C28" s="50">
        <v>303.88</v>
      </c>
      <c r="D28" s="50">
        <v>214</v>
      </c>
      <c r="E28" s="19"/>
      <c r="F28" s="19"/>
    </row>
    <row r="29" spans="1:11" ht="12.75" customHeight="1" x14ac:dyDescent="0.2">
      <c r="B29" s="52" t="s">
        <v>21</v>
      </c>
      <c r="C29" s="50">
        <v>355</v>
      </c>
      <c r="D29" s="50">
        <v>250</v>
      </c>
      <c r="E29" s="19"/>
      <c r="F29" s="19"/>
    </row>
    <row r="30" spans="1:11" ht="12.75" customHeight="1" x14ac:dyDescent="0.2">
      <c r="B30" s="52" t="s">
        <v>21</v>
      </c>
      <c r="C30" s="25">
        <v>454.4</v>
      </c>
      <c r="D30" s="25">
        <v>320</v>
      </c>
      <c r="E30" s="34"/>
      <c r="F30" s="34"/>
    </row>
    <row r="31" spans="1:11" ht="12.75" customHeight="1" x14ac:dyDescent="0.2">
      <c r="B31" s="52" t="s">
        <v>23</v>
      </c>
      <c r="C31" s="25">
        <v>653.19999999999993</v>
      </c>
      <c r="D31" s="25">
        <v>460</v>
      </c>
      <c r="E31" s="37"/>
      <c r="F31" s="37"/>
    </row>
    <row r="32" spans="1:11" ht="12.75" customHeight="1" x14ac:dyDescent="0.2">
      <c r="B32" s="52" t="s">
        <v>21</v>
      </c>
      <c r="C32" s="25">
        <v>1065</v>
      </c>
      <c r="D32" s="25">
        <v>750</v>
      </c>
      <c r="E32" s="37"/>
      <c r="F32" s="37"/>
    </row>
    <row r="33" spans="1:6" ht="12.75" customHeight="1" x14ac:dyDescent="0.2">
      <c r="B33" s="52" t="s">
        <v>21</v>
      </c>
      <c r="C33" s="25">
        <v>1192.8</v>
      </c>
      <c r="D33" s="25">
        <v>840</v>
      </c>
      <c r="E33" s="37"/>
      <c r="F33" s="37"/>
    </row>
    <row r="34" spans="1:6" ht="12.75" customHeight="1" x14ac:dyDescent="0.2">
      <c r="B34" s="52" t="s">
        <v>21</v>
      </c>
      <c r="C34" s="25">
        <v>1562</v>
      </c>
      <c r="D34" s="25">
        <v>1100</v>
      </c>
      <c r="E34" s="37"/>
      <c r="F34" s="37"/>
    </row>
    <row r="35" spans="1:6" ht="12.75" customHeight="1" x14ac:dyDescent="0.2">
      <c r="B35" s="53" t="s">
        <v>24</v>
      </c>
      <c r="C35" s="25">
        <v>1917</v>
      </c>
      <c r="D35" s="25">
        <v>1350</v>
      </c>
      <c r="E35" s="37"/>
      <c r="F35" s="37"/>
    </row>
    <row r="36" spans="1:6" ht="12.75" customHeight="1" x14ac:dyDescent="0.2">
      <c r="B36" s="52" t="s">
        <v>21</v>
      </c>
      <c r="C36" s="25">
        <v>2328.7999999999997</v>
      </c>
      <c r="D36" s="25">
        <v>1640</v>
      </c>
      <c r="E36" s="37"/>
      <c r="F36" s="37"/>
    </row>
    <row r="37" spans="1:6" ht="12.75" customHeight="1" x14ac:dyDescent="0.2">
      <c r="B37" s="54" t="s">
        <v>21</v>
      </c>
      <c r="C37" s="26">
        <v>2556</v>
      </c>
      <c r="D37" s="26">
        <v>1800</v>
      </c>
      <c r="E37" s="41"/>
      <c r="F37" s="41"/>
    </row>
    <row r="38" spans="1:6" ht="12.75" customHeight="1" thickBot="1" x14ac:dyDescent="0.25">
      <c r="A38" s="45"/>
      <c r="B38" s="57" t="s">
        <v>25</v>
      </c>
      <c r="C38" s="28">
        <v>2911</v>
      </c>
      <c r="D38" s="28">
        <v>2050</v>
      </c>
      <c r="E38" s="46"/>
      <c r="F38" s="46"/>
    </row>
    <row r="39" spans="1:6" ht="12.75" customHeight="1" x14ac:dyDescent="0.2">
      <c r="A39" s="59" t="s">
        <v>28</v>
      </c>
      <c r="B39" s="56" t="s">
        <v>22</v>
      </c>
      <c r="C39" s="20"/>
      <c r="D39" s="21"/>
      <c r="E39" s="27">
        <v>67.099999999999994</v>
      </c>
      <c r="F39" s="27">
        <v>55</v>
      </c>
    </row>
    <row r="40" spans="1:6" ht="12.75" customHeight="1" x14ac:dyDescent="0.2">
      <c r="B40" s="52" t="s">
        <v>21</v>
      </c>
      <c r="C40" s="19"/>
      <c r="D40" s="19"/>
      <c r="E40" s="50">
        <v>134.19999999999999</v>
      </c>
      <c r="F40" s="50">
        <v>110</v>
      </c>
    </row>
    <row r="41" spans="1:6" ht="12.75" customHeight="1" x14ac:dyDescent="0.2">
      <c r="B41" s="52" t="s">
        <v>21</v>
      </c>
      <c r="C41" s="42"/>
      <c r="D41" s="19"/>
      <c r="E41" s="50">
        <v>195.2</v>
      </c>
      <c r="F41" s="50">
        <v>160</v>
      </c>
    </row>
    <row r="42" spans="1:6" ht="12.75" customHeight="1" x14ac:dyDescent="0.2">
      <c r="B42" s="52" t="s">
        <v>21</v>
      </c>
      <c r="C42" s="34"/>
      <c r="D42" s="34"/>
      <c r="E42" s="25">
        <v>292.8</v>
      </c>
      <c r="F42" s="25">
        <v>240</v>
      </c>
    </row>
    <row r="43" spans="1:6" ht="12.75" customHeight="1" x14ac:dyDescent="0.2">
      <c r="B43" s="52" t="s">
        <v>23</v>
      </c>
      <c r="C43" s="34"/>
      <c r="D43" s="37"/>
      <c r="E43" s="25">
        <v>390.4</v>
      </c>
      <c r="F43" s="25">
        <v>320</v>
      </c>
    </row>
    <row r="44" spans="1:6" ht="12.75" customHeight="1" x14ac:dyDescent="0.2">
      <c r="B44" s="52" t="s">
        <v>21</v>
      </c>
      <c r="C44" s="34"/>
      <c r="D44" s="37"/>
      <c r="E44" s="25">
        <v>585.6</v>
      </c>
      <c r="F44" s="25">
        <v>480</v>
      </c>
    </row>
    <row r="45" spans="1:6" ht="12.75" customHeight="1" x14ac:dyDescent="0.2">
      <c r="B45" s="52" t="s">
        <v>21</v>
      </c>
      <c r="C45" s="34"/>
      <c r="D45" s="37"/>
      <c r="E45" s="25">
        <v>793</v>
      </c>
      <c r="F45" s="25">
        <v>650</v>
      </c>
    </row>
    <row r="46" spans="1:6" ht="12.75" customHeight="1" x14ac:dyDescent="0.2">
      <c r="B46" s="52" t="s">
        <v>21</v>
      </c>
      <c r="C46" s="34"/>
      <c r="D46" s="37"/>
      <c r="E46" s="25">
        <v>866.19999999999993</v>
      </c>
      <c r="F46" s="25">
        <v>710</v>
      </c>
    </row>
    <row r="47" spans="1:6" ht="12.75" customHeight="1" x14ac:dyDescent="0.2">
      <c r="B47" s="53" t="s">
        <v>24</v>
      </c>
      <c r="C47" s="34"/>
      <c r="D47" s="37"/>
      <c r="E47" s="25">
        <v>1281</v>
      </c>
      <c r="F47" s="25">
        <v>1050</v>
      </c>
    </row>
    <row r="48" spans="1:6" ht="12.75" customHeight="1" x14ac:dyDescent="0.2">
      <c r="B48" s="52" t="s">
        <v>21</v>
      </c>
      <c r="C48" s="34"/>
      <c r="D48" s="37"/>
      <c r="E48" s="25">
        <v>1464</v>
      </c>
      <c r="F48" s="25">
        <v>1200</v>
      </c>
    </row>
    <row r="49" spans="1:6" ht="12.75" customHeight="1" x14ac:dyDescent="0.2">
      <c r="B49" s="54" t="s">
        <v>21</v>
      </c>
      <c r="C49" s="44"/>
      <c r="D49" s="41"/>
      <c r="E49" s="26">
        <v>1500</v>
      </c>
      <c r="F49" s="26">
        <v>1200</v>
      </c>
    </row>
    <row r="50" spans="1:6" ht="12.75" customHeight="1" thickBot="1" x14ac:dyDescent="0.25">
      <c r="A50" s="45"/>
      <c r="B50" s="57" t="s">
        <v>25</v>
      </c>
      <c r="C50" s="47"/>
      <c r="D50" s="46"/>
      <c r="E50" s="28">
        <v>1500</v>
      </c>
      <c r="F50" s="28">
        <v>1300</v>
      </c>
    </row>
    <row r="51" spans="1:6" ht="12.75" hidden="1" customHeight="1" x14ac:dyDescent="0.2"/>
    <row r="52" spans="1:6" ht="12.75" hidden="1" customHeight="1" x14ac:dyDescent="0.2"/>
    <row r="53" spans="1:6" ht="12.75" hidden="1" customHeight="1" x14ac:dyDescent="0.2"/>
    <row r="54" spans="1:6" ht="12.75" hidden="1" customHeight="1" x14ac:dyDescent="0.2"/>
    <row r="55" spans="1:6" ht="12.75" hidden="1" customHeight="1" x14ac:dyDescent="0.2"/>
    <row r="56" spans="1:6" ht="12.75" hidden="1" customHeight="1" x14ac:dyDescent="0.2"/>
    <row r="57" spans="1:6" ht="12.75" hidden="1" customHeight="1" x14ac:dyDescent="0.2"/>
    <row r="58" spans="1:6" ht="12.75" hidden="1" customHeight="1" x14ac:dyDescent="0.2"/>
    <row r="59" spans="1:6" ht="12.75" hidden="1" customHeight="1" x14ac:dyDescent="0.2"/>
    <row r="60" spans="1:6" ht="12.75" hidden="1" customHeight="1" x14ac:dyDescent="0.2"/>
    <row r="61" spans="1:6" ht="12.75" hidden="1" customHeight="1" x14ac:dyDescent="0.2"/>
    <row r="62" spans="1:6" ht="12.75" hidden="1" customHeight="1" x14ac:dyDescent="0.2"/>
    <row r="63" spans="1:6" ht="12.75" hidden="1" customHeight="1" x14ac:dyDescent="0.2"/>
    <row r="64" spans="1:6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</sheetData>
  <sheetProtection sheet="1" objects="1" scenarios="1" selectLockedCells="1"/>
  <mergeCells count="2">
    <mergeCell ref="A1:F1"/>
    <mergeCell ref="H1:Y1"/>
  </mergeCells>
  <phoneticPr fontId="2" type="noConversion"/>
  <pageMargins left="0.25" right="0.25" top="0.75" bottom="0.75" header="0.3" footer="0.3"/>
  <pageSetup paperSize="9" scale="75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ll_screen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8</xdr:col>
                    <xdr:colOff>180975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lear_panel">
                <anchor moveWithCells="1" sizeWithCells="1">
                  <from>
                    <xdr:col>8</xdr:col>
                    <xdr:colOff>200025</xdr:colOff>
                    <xdr:row>1</xdr:row>
                    <xdr:rowOff>9525</xdr:rowOff>
                  </from>
                  <to>
                    <xdr:col>9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723E-4DC8-4C29-A282-18AD610B603E}">
  <dimension ref="D4:F9"/>
  <sheetViews>
    <sheetView workbookViewId="0">
      <selection activeCell="D4" sqref="D4:F9"/>
    </sheetView>
  </sheetViews>
  <sheetFormatPr defaultRowHeight="12.75" x14ac:dyDescent="0.2"/>
  <sheetData>
    <row r="4" spans="4:6" x14ac:dyDescent="0.2">
      <c r="D4" s="14" t="s">
        <v>29</v>
      </c>
      <c r="E4" s="24">
        <v>12</v>
      </c>
      <c r="F4" s="14"/>
    </row>
    <row r="5" spans="4:6" x14ac:dyDescent="0.2">
      <c r="D5" s="14"/>
      <c r="E5" s="14"/>
      <c r="F5" s="14"/>
    </row>
    <row r="6" spans="4:6" x14ac:dyDescent="0.2">
      <c r="D6" s="14"/>
      <c r="E6" s="18" t="s">
        <v>30</v>
      </c>
      <c r="F6" s="18" t="s">
        <v>31</v>
      </c>
    </row>
    <row r="7" spans="4:6" x14ac:dyDescent="0.2">
      <c r="D7" s="14">
        <v>1</v>
      </c>
      <c r="E7" s="18">
        <f>$E$4*D7+0.5</f>
        <v>12.5</v>
      </c>
      <c r="F7" s="18">
        <v>0</v>
      </c>
    </row>
    <row r="8" spans="4:6" x14ac:dyDescent="0.2">
      <c r="D8" s="14">
        <v>2</v>
      </c>
      <c r="E8" s="18">
        <f>$E$4*D8+0.5</f>
        <v>24.5</v>
      </c>
      <c r="F8" s="18">
        <v>0</v>
      </c>
    </row>
    <row r="9" spans="4:6" x14ac:dyDescent="0.2">
      <c r="D9" s="14">
        <v>3</v>
      </c>
      <c r="E9" s="18">
        <f>$E$4*D9+0.5</f>
        <v>36.5</v>
      </c>
      <c r="F9" s="1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Panel Comparison Analysis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2024-09-20T12:10:46Z</dcterms:modified>
</cp:coreProperties>
</file>