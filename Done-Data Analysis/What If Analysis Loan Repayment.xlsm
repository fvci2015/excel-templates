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Data Analysis\"/>
    </mc:Choice>
  </mc:AlternateContent>
  <xr:revisionPtr revIDLastSave="0" documentId="13_ncr:1_{2B63E3AF-08EC-4385-950C-3C6F538C5C0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What If Analysis" sheetId="6" r:id="rId2"/>
    <sheet name="Sheet2" sheetId="8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6" l="1"/>
  <c r="F20" i="6"/>
  <c r="F21" i="6"/>
  <c r="F23" i="6"/>
  <c r="F24" i="6"/>
  <c r="F25" i="6"/>
  <c r="F26" i="6"/>
  <c r="F27" i="6"/>
  <c r="F28" i="6"/>
  <c r="F29" i="6"/>
  <c r="F31" i="6"/>
  <c r="F34" i="6"/>
  <c r="F35" i="6"/>
  <c r="F36" i="6"/>
  <c r="F37" i="6"/>
  <c r="F18" i="6"/>
  <c r="F32" i="6"/>
  <c r="F30" i="6"/>
  <c r="F38" i="6"/>
  <c r="F22" i="6"/>
  <c r="F33" i="6"/>
  <c r="H39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H40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G40" i="6"/>
  <c r="G39" i="6"/>
  <c r="Q41" i="6" l="1"/>
  <c r="S41" i="6"/>
  <c r="M41" i="6"/>
  <c r="R41" i="6"/>
  <c r="T41" i="6"/>
  <c r="U41" i="6"/>
  <c r="N41" i="6"/>
  <c r="O41" i="6"/>
  <c r="H41" i="6"/>
  <c r="P41" i="6"/>
  <c r="L41" i="6"/>
  <c r="I41" i="6"/>
  <c r="J41" i="6"/>
  <c r="K41" i="6"/>
  <c r="G41" i="6"/>
  <c r="C18" i="6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17" i="6"/>
  <c r="B6" i="6"/>
  <c r="F17" i="6" s="1"/>
  <c r="B17" i="6" l="1"/>
  <c r="E9" i="8"/>
  <c r="E8" i="8"/>
  <c r="E7" i="8"/>
</calcChain>
</file>

<file path=xl/sharedStrings.xml><?xml version="1.0" encoding="utf-8"?>
<sst xmlns="http://schemas.openxmlformats.org/spreadsheetml/2006/main" count="91" uniqueCount="85">
  <si>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</si>
  <si>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</si>
  <si>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</si>
  <si>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</si>
  <si>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</si>
  <si>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</si>
  <si>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</si>
  <si>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</si>
  <si>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</si>
  <si>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</si>
  <si>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</si>
  <si>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</si>
  <si>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</si>
  <si>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</si>
  <si>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</si>
  <si>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Dividers</t>
  </si>
  <si>
    <t>X</t>
  </si>
  <si>
    <t>Y</t>
  </si>
  <si>
    <t>What If Analysis</t>
  </si>
  <si>
    <t>Total Amount</t>
  </si>
  <si>
    <t>Interest Rate %</t>
  </si>
  <si>
    <t>Per Month</t>
  </si>
  <si>
    <t>Financial Data</t>
  </si>
  <si>
    <t>Annual</t>
  </si>
  <si>
    <t>Amounts Scenarios</t>
  </si>
  <si>
    <t>Scenario Starting</t>
  </si>
  <si>
    <t xml:space="preserve">Repayment Scenarios </t>
  </si>
  <si>
    <t>Min Repayment</t>
  </si>
  <si>
    <t>Max Repayment</t>
  </si>
  <si>
    <t>Less Than Repayment Availability</t>
  </si>
  <si>
    <t>Target Repayment Availability</t>
  </si>
  <si>
    <t>More Than Repayment Availability</t>
  </si>
  <si>
    <t>References</t>
  </si>
  <si>
    <t>Target</t>
  </si>
  <si>
    <t>Repayment Amount</t>
  </si>
  <si>
    <t>Repayment Period</t>
  </si>
  <si>
    <t>Month</t>
  </si>
  <si>
    <t>Scenario Interval</t>
  </si>
  <si>
    <t>What If Scenarios "Repayment Period IS Fixed"</t>
  </si>
  <si>
    <t>Availability payment Monthly</t>
  </si>
  <si>
    <t>Update Buttons---&gt;</t>
  </si>
  <si>
    <t>What If Scenarios Table</t>
  </si>
  <si>
    <t>What-If Analysis is the process of changing the values in cells to see how those changes will affect the outcome of formulas on the worksheet.</t>
  </si>
  <si>
    <t>Through this sheet you can insert financial data and calculate all What IF Scenarios visualized by colors to specify your payment limits</t>
  </si>
  <si>
    <t>Starting from left side area "Financial Data" to record all required data to construct What If Scenarios and Analysis</t>
  </si>
  <si>
    <t>Record total amount required to borrow or to invest</t>
  </si>
  <si>
    <t>Set interest rate% that will be calculated in monthly base for the total amount</t>
  </si>
  <si>
    <t>At repayment period record period in month that required to repayment total amount</t>
  </si>
  <si>
    <t>After finishing above data recording , Automatically repayment amount will be calculated according to NPV "Net Present Value" and  FV "Future Value" calculations</t>
  </si>
  <si>
    <t>Now start to construct What If Analysis database</t>
  </si>
  <si>
    <t>Set scenario starting % of total amount then record scenario interval %</t>
  </si>
  <si>
    <t>To preview What If Analysis for fixed months click "What If Scenarios" button</t>
  </si>
  <si>
    <t>Set your repayment availability that you can pay per month</t>
  </si>
  <si>
    <t>10)</t>
  </si>
  <si>
    <t>Please note that if you changed any of above values you have to update the calculations using "What If Scenarios" button</t>
  </si>
  <si>
    <t>11)</t>
  </si>
  <si>
    <t>For more visual management analysis you can see limits colored by Yellow, Green and Red that already identified in beolw reference table</t>
  </si>
  <si>
    <t>12)</t>
  </si>
  <si>
    <t>13)</t>
  </si>
  <si>
    <t>In Right side area you can see more advanced What If Analysis for variable Total amount and Repayment months</t>
  </si>
  <si>
    <t>To clear or reset data you can click on "Clear Data" button</t>
  </si>
  <si>
    <t>14)</t>
  </si>
  <si>
    <t>15)</t>
  </si>
  <si>
    <t>16)</t>
  </si>
  <si>
    <t>17)</t>
  </si>
  <si>
    <t>You can change the term of months according to your interest</t>
  </si>
  <si>
    <t>Above trend will show you What If Analysis according to your orignal required amount by changing repayment period</t>
  </si>
  <si>
    <t>In the chart you can observe the repayment limits according to your repayment availability limits</t>
  </si>
  <si>
    <t>To maximize display view just click on "Full Screen" button</t>
  </si>
  <si>
    <t>Loan / Borrow or Investment Data</t>
  </si>
  <si>
    <t>Insert Term Of Months Scenarios-----&gt;</t>
  </si>
  <si>
    <t>&lt;------------Total Amount Scenarios</t>
  </si>
  <si>
    <t>Scenario % Of Orignal Amount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</si>
  <si>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</si>
  <si>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</si>
  <si>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</si>
  <si>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</si>
  <si>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</si>
  <si>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</si>
  <si>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</si>
  <si>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</si>
  <si>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Other Macros / Buttons</t>
  </si>
  <si>
    <t>Open in Desktop App</t>
  </si>
  <si>
    <t>To open online template using Desktop App be sure that you signed in to your Microsoft account / Onedrive account</t>
  </si>
  <si>
    <t>What If Analysis Loan-Repayment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</si>
</sst>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&quot;$&quot;#,##0.0"/>
    <numFmt numFmtId="168" formatCode="&quot;$&quot;#,##0"/>
    <numFmt numFmtId="169" formatCode="0.0%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 tint="0.34998626667073579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b/>
      <sz val="14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sz val="10"/>
      <color rgb="FF50B47F"/>
      <name val="Arial"/>
      <family val="2"/>
    </font>
    <font>
      <sz val="10"/>
      <color rgb="FFC00000"/>
      <name val="Arial"/>
      <family val="2"/>
    </font>
    <font>
      <sz val="10"/>
      <color theme="0" tint="-4.9989318521683403E-2"/>
      <name val="Arial"/>
      <family val="2"/>
    </font>
    <font>
      <sz val="10"/>
      <color rgb="FF9C0006"/>
      <name val="Arial"/>
      <family val="2"/>
    </font>
    <font>
      <sz val="10"/>
      <color rgb="FF006100"/>
      <name val="Arial"/>
      <family val="2"/>
    </font>
    <font>
      <sz val="10"/>
      <color rgb="FF9C5700"/>
      <name val="Arial"/>
      <family val="2"/>
    </font>
    <font>
      <sz val="10"/>
      <color rgb="FF000000"/>
      <name val="Arial"/>
      <family val="2"/>
    </font>
    <font>
      <u/>
      <sz val="10"/>
      <color theme="1" tint="0.34998626667073579"/>
      <name val="Arial"/>
      <family val="2"/>
    </font>
    <font>
      <sz val="9"/>
      <color theme="1" tint="0.34998626667073579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10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 applyNumberFormat="0" applyFill="0" applyBorder="0" applyAlignment="0" applyProtection="0"/>
    <xf numFmtId="0" fontId="6" fillId="0" borderId="0"/>
    <xf numFmtId="164" fontId="15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9" fillId="5" borderId="0" applyNumberFormat="0" applyBorder="0" applyAlignment="0" applyProtection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88">
    <xf numFmtId="0" fontId="0" fillId="0" borderId="0" xfId="0"/>
    <xf numFmtId="0" fontId="6" fillId="0" borderId="0" xfId="2" applyFont="1"/>
    <xf numFmtId="0" fontId="6" fillId="2" borderId="0" xfId="2" applyFont="1" applyFill="1"/>
    <xf numFmtId="0" fontId="7" fillId="0" borderId="0" xfId="2" applyFont="1"/>
    <xf numFmtId="0" fontId="8" fillId="2" borderId="0" xfId="2" applyFont="1" applyFill="1"/>
    <xf numFmtId="0" fontId="4" fillId="2" borderId="0" xfId="2" applyFont="1" applyFill="1"/>
    <xf numFmtId="0" fontId="10" fillId="2" borderId="0" xfId="3" applyFont="1" applyFill="1"/>
    <xf numFmtId="0" fontId="5" fillId="2" borderId="0" xfId="3" applyFont="1" applyFill="1"/>
    <xf numFmtId="0" fontId="11" fillId="0" borderId="0" xfId="2" applyFont="1" applyAlignment="1">
      <alignment horizontal="right"/>
    </xf>
    <xf numFmtId="0" fontId="7" fillId="0" borderId="0" xfId="4" applyFont="1"/>
    <xf numFmtId="0" fontId="12" fillId="0" borderId="0" xfId="2" applyFont="1" applyAlignment="1">
      <alignment horizontal="right"/>
    </xf>
    <xf numFmtId="0" fontId="6" fillId="0" borderId="0" xfId="2" applyFont="1" applyAlignment="1">
      <alignment horizontal="right"/>
    </xf>
    <xf numFmtId="0" fontId="14" fillId="2" borderId="0" xfId="1" applyFont="1" applyFill="1" applyAlignment="1" applyProtection="1"/>
    <xf numFmtId="0" fontId="15" fillId="0" borderId="0" xfId="0" applyFont="1"/>
    <xf numFmtId="49" fontId="15" fillId="0" borderId="0" xfId="0" applyNumberFormat="1" applyFont="1"/>
    <xf numFmtId="0" fontId="15" fillId="0" borderId="0" xfId="0" applyFont="1" applyAlignment="1">
      <alignment horizontal="center"/>
    </xf>
    <xf numFmtId="49" fontId="15" fillId="4" borderId="0" xfId="0" applyNumberFormat="1" applyFont="1" applyFill="1"/>
    <xf numFmtId="0" fontId="15" fillId="3" borderId="0" xfId="0" applyFont="1" applyFill="1" applyAlignment="1">
      <alignment horizontal="center"/>
    </xf>
    <xf numFmtId="166" fontId="15" fillId="0" borderId="0" xfId="0" applyNumberFormat="1" applyFont="1"/>
    <xf numFmtId="0" fontId="17" fillId="4" borderId="0" xfId="0" applyFont="1" applyFill="1"/>
    <xf numFmtId="0" fontId="17" fillId="0" borderId="0" xfId="0" applyFont="1"/>
    <xf numFmtId="0" fontId="15" fillId="0" borderId="0" xfId="0" applyFont="1" applyAlignment="1">
      <alignment vertical="top"/>
    </xf>
    <xf numFmtId="0" fontId="15" fillId="4" borderId="0" xfId="0" applyFont="1" applyFill="1"/>
    <xf numFmtId="0" fontId="15" fillId="4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4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165" fontId="15" fillId="0" borderId="0" xfId="5" applyNumberFormat="1" applyFont="1" applyFill="1" applyBorder="1" applyAlignment="1" applyProtection="1">
      <alignment vertical="center"/>
    </xf>
    <xf numFmtId="165" fontId="15" fillId="4" borderId="0" xfId="5" applyNumberFormat="1" applyFont="1" applyFill="1" applyBorder="1" applyAlignment="1" applyProtection="1">
      <alignment vertical="center"/>
    </xf>
    <xf numFmtId="0" fontId="15" fillId="0" borderId="0" xfId="0" quotePrefix="1" applyFont="1"/>
    <xf numFmtId="0" fontId="13" fillId="9" borderId="1" xfId="0" applyFont="1" applyFill="1" applyBorder="1"/>
    <xf numFmtId="166" fontId="13" fillId="9" borderId="1" xfId="0" applyNumberFormat="1" applyFont="1" applyFill="1" applyBorder="1" applyAlignment="1">
      <alignment horizontal="center" vertical="center"/>
    </xf>
    <xf numFmtId="166" fontId="13" fillId="9" borderId="1" xfId="0" applyNumberFormat="1" applyFont="1" applyFill="1" applyBorder="1" applyAlignment="1">
      <alignment horizontal="center"/>
    </xf>
    <xf numFmtId="0" fontId="24" fillId="9" borderId="1" xfId="0" applyFont="1" applyFill="1" applyBorder="1"/>
    <xf numFmtId="0" fontId="25" fillId="9" borderId="1" xfId="0" applyFont="1" applyFill="1" applyBorder="1"/>
    <xf numFmtId="9" fontId="15" fillId="0" borderId="0" xfId="6" applyFont="1" applyFill="1" applyBorder="1" applyAlignment="1" applyProtection="1">
      <alignment horizontal="center"/>
    </xf>
    <xf numFmtId="9" fontId="15" fillId="0" borderId="0" xfId="6" applyFont="1" applyFill="1" applyBorder="1" applyAlignment="1" applyProtection="1">
      <alignment horizontal="center" vertical="center"/>
    </xf>
    <xf numFmtId="9" fontId="13" fillId="9" borderId="1" xfId="6" applyFont="1" applyFill="1" applyBorder="1" applyAlignment="1" applyProtection="1">
      <alignment horizontal="center" vertical="center"/>
    </xf>
    <xf numFmtId="167" fontId="15" fillId="9" borderId="1" xfId="0" quotePrefix="1" applyNumberFormat="1" applyFont="1" applyFill="1" applyBorder="1" applyAlignment="1">
      <alignment horizontal="center"/>
    </xf>
    <xf numFmtId="9" fontId="17" fillId="0" borderId="0" xfId="6" applyFont="1" applyFill="1" applyBorder="1" applyAlignment="1" applyProtection="1">
      <alignment horizontal="center" vertical="center"/>
    </xf>
    <xf numFmtId="0" fontId="25" fillId="0" borderId="4" xfId="0" applyFont="1" applyBorder="1"/>
    <xf numFmtId="168" fontId="25" fillId="0" borderId="4" xfId="0" quotePrefix="1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167" fontId="13" fillId="0" borderId="0" xfId="0" quotePrefix="1" applyNumberFormat="1" applyFont="1" applyAlignment="1">
      <alignment horizontal="center"/>
    </xf>
    <xf numFmtId="9" fontId="13" fillId="0" borderId="0" xfId="6" applyFont="1" applyFill="1" applyBorder="1" applyAlignment="1" applyProtection="1">
      <alignment horizontal="center" vertical="center"/>
    </xf>
    <xf numFmtId="0" fontId="29" fillId="7" borderId="0" xfId="9" applyFont="1" applyBorder="1" applyAlignment="1" applyProtection="1">
      <alignment horizontal="center" wrapText="1"/>
    </xf>
    <xf numFmtId="0" fontId="28" fillId="5" borderId="0" xfId="7" applyFont="1" applyBorder="1" applyAlignment="1" applyProtection="1">
      <alignment horizontal="center" wrapText="1"/>
    </xf>
    <xf numFmtId="9" fontId="27" fillId="6" borderId="0" xfId="8" applyNumberFormat="1" applyFont="1" applyBorder="1" applyAlignment="1" applyProtection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68" fontId="13" fillId="9" borderId="1" xfId="0" quotePrefix="1" applyNumberFormat="1" applyFont="1" applyFill="1" applyBorder="1" applyAlignment="1">
      <alignment horizontal="center"/>
    </xf>
    <xf numFmtId="0" fontId="13" fillId="0" borderId="0" xfId="0" applyFont="1"/>
    <xf numFmtId="165" fontId="13" fillId="10" borderId="0" xfId="5" applyNumberFormat="1" applyFont="1" applyFill="1" applyBorder="1" applyAlignment="1" applyProtection="1">
      <alignment vertical="center"/>
    </xf>
    <xf numFmtId="0" fontId="4" fillId="0" borderId="0" xfId="0" applyFont="1"/>
    <xf numFmtId="168" fontId="4" fillId="0" borderId="0" xfId="0" applyNumberFormat="1" applyFont="1"/>
    <xf numFmtId="0" fontId="13" fillId="9" borderId="1" xfId="0" applyFont="1" applyFill="1" applyBorder="1" applyAlignment="1">
      <alignment vertical="center"/>
    </xf>
    <xf numFmtId="167" fontId="13" fillId="9" borderId="1" xfId="0" quotePrefix="1" applyNumberFormat="1" applyFont="1" applyFill="1" applyBorder="1" applyAlignment="1">
      <alignment horizontal="center" vertical="center"/>
    </xf>
    <xf numFmtId="9" fontId="26" fillId="9" borderId="1" xfId="6" applyFont="1" applyFill="1" applyBorder="1" applyAlignment="1" applyProtection="1">
      <alignment horizontal="center" vertical="center"/>
    </xf>
    <xf numFmtId="167" fontId="13" fillId="9" borderId="1" xfId="0" applyNumberFormat="1" applyFont="1" applyFill="1" applyBorder="1" applyAlignment="1">
      <alignment horizontal="center" vertical="center"/>
    </xf>
    <xf numFmtId="169" fontId="15" fillId="0" borderId="1" xfId="6" quotePrefix="1" applyNumberFormat="1" applyFont="1" applyFill="1" applyBorder="1" applyAlignment="1" applyProtection="1">
      <alignment horizontal="center"/>
      <protection locked="0"/>
    </xf>
    <xf numFmtId="1" fontId="15" fillId="0" borderId="1" xfId="0" quotePrefix="1" applyNumberFormat="1" applyFont="1" applyBorder="1" applyAlignment="1" applyProtection="1">
      <alignment horizontal="center"/>
      <protection locked="0"/>
    </xf>
    <xf numFmtId="168" fontId="24" fillId="0" borderId="1" xfId="0" quotePrefix="1" applyNumberFormat="1" applyFont="1" applyBorder="1" applyAlignment="1" applyProtection="1">
      <alignment horizontal="center"/>
      <protection locked="0"/>
    </xf>
    <xf numFmtId="168" fontId="25" fillId="0" borderId="1" xfId="0" quotePrefix="1" applyNumberFormat="1" applyFont="1" applyBorder="1" applyAlignment="1" applyProtection="1">
      <alignment horizontal="center"/>
      <protection locked="0"/>
    </xf>
    <xf numFmtId="9" fontId="17" fillId="0" borderId="1" xfId="6" applyFont="1" applyFill="1" applyBorder="1" applyAlignment="1" applyProtection="1">
      <alignment horizontal="center" vertical="center"/>
      <protection locked="0"/>
    </xf>
    <xf numFmtId="168" fontId="13" fillId="9" borderId="1" xfId="0" applyNumberFormat="1" applyFont="1" applyFill="1" applyBorder="1" applyAlignment="1" applyProtection="1">
      <alignment horizontal="center" vertical="center"/>
      <protection locked="0"/>
    </xf>
    <xf numFmtId="167" fontId="32" fillId="9" borderId="1" xfId="0" quotePrefix="1" applyNumberFormat="1" applyFont="1" applyFill="1" applyBorder="1" applyAlignment="1">
      <alignment horizontal="center" vertical="center"/>
    </xf>
    <xf numFmtId="167" fontId="32" fillId="9" borderId="5" xfId="0" quotePrefix="1" applyNumberFormat="1" applyFont="1" applyFill="1" applyBorder="1" applyAlignment="1">
      <alignment horizontal="center" vertical="center"/>
    </xf>
    <xf numFmtId="1" fontId="15" fillId="10" borderId="0" xfId="0" applyNumberFormat="1" applyFont="1" applyFill="1" applyAlignment="1" applyProtection="1">
      <alignment horizontal="center" vertical="center"/>
      <protection locked="0"/>
    </xf>
    <xf numFmtId="1" fontId="15" fillId="10" borderId="0" xfId="5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top" wrapText="1"/>
    </xf>
    <xf numFmtId="168" fontId="4" fillId="0" borderId="0" xfId="5" applyNumberFormat="1" applyFont="1" applyFill="1" applyBorder="1" applyAlignment="1" applyProtection="1">
      <alignment vertical="center"/>
    </xf>
    <xf numFmtId="0" fontId="15" fillId="10" borderId="0" xfId="0" applyFont="1" applyFill="1" applyAlignment="1">
      <alignment horizontal="left"/>
    </xf>
    <xf numFmtId="168" fontId="32" fillId="9" borderId="0" xfId="5" applyNumberFormat="1" applyFont="1" applyFill="1" applyBorder="1" applyAlignment="1" applyProtection="1">
      <alignment vertical="center"/>
    </xf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right"/>
    </xf>
    <xf numFmtId="0" fontId="6" fillId="0" borderId="0" xfId="4"/>
    <xf numFmtId="0" fontId="3" fillId="0" borderId="0" xfId="1" applyAlignment="1" applyProtection="1"/>
    <xf numFmtId="0" fontId="31" fillId="0" borderId="6" xfId="0" applyFont="1" applyBorder="1" applyAlignment="1">
      <alignment horizontal="left"/>
    </xf>
    <xf numFmtId="0" fontId="31" fillId="0" borderId="0" xfId="0" applyFont="1" applyAlignment="1">
      <alignment horizontal="left"/>
    </xf>
    <xf numFmtId="165" fontId="13" fillId="0" borderId="0" xfId="5" applyNumberFormat="1" applyFont="1" applyFill="1" applyBorder="1" applyAlignment="1" applyProtection="1">
      <alignment horizontal="center" vertical="top" textRotation="90"/>
    </xf>
    <xf numFmtId="0" fontId="4" fillId="8" borderId="0" xfId="0" applyFont="1" applyFill="1" applyAlignment="1">
      <alignment horizontal="center"/>
    </xf>
    <xf numFmtId="0" fontId="13" fillId="9" borderId="1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center" vertical="center"/>
    </xf>
    <xf numFmtId="168" fontId="22" fillId="0" borderId="2" xfId="0" applyNumberFormat="1" applyFont="1" applyBorder="1" applyAlignment="1" applyProtection="1">
      <alignment horizontal="center"/>
      <protection locked="0"/>
    </xf>
    <xf numFmtId="168" fontId="22" fillId="0" borderId="3" xfId="0" applyNumberFormat="1" applyFont="1" applyBorder="1" applyAlignment="1" applyProtection="1">
      <alignment horizontal="center"/>
      <protection locked="0"/>
    </xf>
  </cellXfs>
  <cellStyles count="10">
    <cellStyle name="Bad" xfId="8" builtinId="27"/>
    <cellStyle name="Comma" xfId="5" builtinId="3"/>
    <cellStyle name="Good" xfId="7" builtinId="26"/>
    <cellStyle name="Hyperlink" xfId="1" builtinId="8"/>
    <cellStyle name="Hyperlink 2" xfId="3" xr:uid="{D0C469F9-1DFE-4E96-9222-F5C6E60C0113}"/>
    <cellStyle name="Neutral" xfId="9" builtinId="28"/>
    <cellStyle name="Normal" xfId="0" builtinId="0"/>
    <cellStyle name="Normal 2" xfId="2" xr:uid="{4ECE8E6A-28E9-4710-9235-23CE4B3B11A1}"/>
    <cellStyle name="Normal 2 2" xfId="4" xr:uid="{EB2EEF92-C657-401D-8170-F27A72E1E815}"/>
    <cellStyle name="Percent" xfId="6" builtinId="5"/>
  </cellStyles>
  <dxfs count="6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A0007"/>
      <color rgb="FF8FCFAD"/>
      <color rgb="FF50B47F"/>
      <color rgb="FFE8D272"/>
      <color rgb="FFFFE05B"/>
      <color rgb="FFFFEB9C"/>
      <color rgb="FF9C0006"/>
      <color rgb="FF9C5700"/>
      <color rgb="FFFFC7CE"/>
      <color rgb="FFE9C2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>
                <a:latin typeface="Arial" panose="020B0604020202020204" pitchFamily="34" charset="0"/>
                <a:cs typeface="Arial" panose="020B0604020202020204" pitchFamily="34" charset="0"/>
              </a:rPr>
              <a:t>Average</a:t>
            </a:r>
            <a:r>
              <a:rPr lang="en-US" sz="1200" baseline="0">
                <a:latin typeface="Arial" panose="020B0604020202020204" pitchFamily="34" charset="0"/>
                <a:cs typeface="Arial" panose="020B0604020202020204" pitchFamily="34" charset="0"/>
              </a:rPr>
              <a:t> Repayment Scenarios For Target Amount</a:t>
            </a:r>
            <a:endParaRPr 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Repayment Amount</c:v>
          </c:tx>
          <c:spPr>
            <a:solidFill>
              <a:srgbClr val="8FCFA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'What If Analysis'!$G$17:$U$17</c:f>
              <c:numCache>
                <c:formatCode>0</c:formatCode>
                <c:ptCount val="15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84</c:v>
                </c:pt>
                <c:pt idx="7">
                  <c:v>96</c:v>
                </c:pt>
                <c:pt idx="8">
                  <c:v>108</c:v>
                </c:pt>
                <c:pt idx="9">
                  <c:v>120</c:v>
                </c:pt>
                <c:pt idx="10">
                  <c:v>132</c:v>
                </c:pt>
                <c:pt idx="11">
                  <c:v>144</c:v>
                </c:pt>
                <c:pt idx="12">
                  <c:v>156</c:v>
                </c:pt>
                <c:pt idx="13">
                  <c:v>168</c:v>
                </c:pt>
                <c:pt idx="14">
                  <c:v>180</c:v>
                </c:pt>
              </c:numCache>
            </c:numRef>
          </c:cat>
          <c:val>
            <c:numRef>
              <c:f>'What If Analysis'!$G$41:$U$41</c:f>
              <c:numCache>
                <c:formatCode>"$"#,##0</c:formatCode>
                <c:ptCount val="15"/>
                <c:pt idx="0">
                  <c:v>4747.4579104205186</c:v>
                </c:pt>
                <c:pt idx="1">
                  <c:v>2491.8260222258914</c:v>
                </c:pt>
                <c:pt idx="2">
                  <c:v>1742.4281084672241</c:v>
                </c:pt>
                <c:pt idx="3">
                  <c:v>1369.5795054763482</c:v>
                </c:pt>
                <c:pt idx="4">
                  <c:v>1147.3404144084868</c:v>
                </c:pt>
                <c:pt idx="5">
                  <c:v>1000.3952398916059</c:v>
                </c:pt>
                <c:pt idx="6">
                  <c:v>896.463937451839</c:v>
                </c:pt>
                <c:pt idx="7">
                  <c:v>819.40486128143391</c:v>
                </c:pt>
                <c:pt idx="8">
                  <c:v>760.2490557380462</c:v>
                </c:pt>
                <c:pt idx="9">
                  <c:v>713.61397916151293</c:v>
                </c:pt>
                <c:pt idx="10">
                  <c:v>676.07338409977694</c:v>
                </c:pt>
                <c:pt idx="11">
                  <c:v>645.34226192676022</c:v>
                </c:pt>
                <c:pt idx="12">
                  <c:v>619.83797027706578</c:v>
                </c:pt>
                <c:pt idx="13">
                  <c:v>598.42945117904901</c:v>
                </c:pt>
                <c:pt idx="14">
                  <c:v>580.2867635623827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B3-4106-A01B-BCD6D857E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05576512"/>
        <c:axId val="413128640"/>
      </c:barChart>
      <c:lineChart>
        <c:grouping val="standard"/>
        <c:varyColors val="0"/>
        <c:ser>
          <c:idx val="0"/>
          <c:order val="0"/>
          <c:tx>
            <c:strRef>
              <c:f>'What If Analysis'!$F$39</c:f>
              <c:strCache>
                <c:ptCount val="1"/>
                <c:pt idx="0">
                  <c:v>Min Repayment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  <a:alpha val="7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'What If Analysis'!$G$17:$U$17</c:f>
              <c:numCache>
                <c:formatCode>0</c:formatCode>
                <c:ptCount val="15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84</c:v>
                </c:pt>
                <c:pt idx="7">
                  <c:v>96</c:v>
                </c:pt>
                <c:pt idx="8">
                  <c:v>108</c:v>
                </c:pt>
                <c:pt idx="9">
                  <c:v>120</c:v>
                </c:pt>
                <c:pt idx="10">
                  <c:v>132</c:v>
                </c:pt>
                <c:pt idx="11">
                  <c:v>144</c:v>
                </c:pt>
                <c:pt idx="12">
                  <c:v>156</c:v>
                </c:pt>
                <c:pt idx="13">
                  <c:v>168</c:v>
                </c:pt>
                <c:pt idx="14">
                  <c:v>180</c:v>
                </c:pt>
              </c:numCache>
            </c:numRef>
          </c:cat>
          <c:val>
            <c:numRef>
              <c:f>'What If Analysis'!$G$39:$U$39</c:f>
              <c:numCache>
                <c:formatCode>"$"#,##0</c:formatCode>
                <c:ptCount val="15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3-4106-A01B-BCD6D857EFEB}"/>
            </c:ext>
          </c:extLst>
        </c:ser>
        <c:ser>
          <c:idx val="1"/>
          <c:order val="1"/>
          <c:tx>
            <c:strRef>
              <c:f>'What If Analysis'!$F$40</c:f>
              <c:strCache>
                <c:ptCount val="1"/>
                <c:pt idx="0">
                  <c:v>Max Repayment</c:v>
                </c:pt>
              </c:strCache>
            </c:strRef>
          </c:tx>
          <c:spPr>
            <a:ln w="28575" cap="rnd">
              <a:solidFill>
                <a:srgbClr val="8A0007">
                  <a:alpha val="53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'What If Analysis'!$G$17:$U$17</c:f>
              <c:numCache>
                <c:formatCode>0</c:formatCode>
                <c:ptCount val="15"/>
                <c:pt idx="0">
                  <c:v>12</c:v>
                </c:pt>
                <c:pt idx="1">
                  <c:v>24</c:v>
                </c:pt>
                <c:pt idx="2">
                  <c:v>36</c:v>
                </c:pt>
                <c:pt idx="3">
                  <c:v>48</c:v>
                </c:pt>
                <c:pt idx="4">
                  <c:v>60</c:v>
                </c:pt>
                <c:pt idx="5">
                  <c:v>72</c:v>
                </c:pt>
                <c:pt idx="6">
                  <c:v>84</c:v>
                </c:pt>
                <c:pt idx="7">
                  <c:v>96</c:v>
                </c:pt>
                <c:pt idx="8">
                  <c:v>108</c:v>
                </c:pt>
                <c:pt idx="9">
                  <c:v>120</c:v>
                </c:pt>
                <c:pt idx="10">
                  <c:v>132</c:v>
                </c:pt>
                <c:pt idx="11">
                  <c:v>144</c:v>
                </c:pt>
                <c:pt idx="12">
                  <c:v>156</c:v>
                </c:pt>
                <c:pt idx="13">
                  <c:v>168</c:v>
                </c:pt>
                <c:pt idx="14">
                  <c:v>180</c:v>
                </c:pt>
              </c:numCache>
            </c:numRef>
          </c:cat>
          <c:val>
            <c:numRef>
              <c:f>'What If Analysis'!$G$40:$U$40</c:f>
              <c:numCache>
                <c:formatCode>"$"#,##0</c:formatCode>
                <c:ptCount val="15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1800</c:v>
                </c:pt>
                <c:pt idx="8">
                  <c:v>1800</c:v>
                </c:pt>
                <c:pt idx="9">
                  <c:v>1800</c:v>
                </c:pt>
                <c:pt idx="10">
                  <c:v>1800</c:v>
                </c:pt>
                <c:pt idx="11">
                  <c:v>1800</c:v>
                </c:pt>
                <c:pt idx="12">
                  <c:v>1800</c:v>
                </c:pt>
                <c:pt idx="13">
                  <c:v>1800</c:v>
                </c:pt>
                <c:pt idx="14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B3-4106-A01B-BCD6D857E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576512"/>
        <c:axId val="413128640"/>
      </c:lineChart>
      <c:catAx>
        <c:axId val="405576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Repayment</a:t>
                </a:r>
                <a:r>
                  <a:rPr lang="en-US" baseline="0"/>
                  <a:t> Months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128640"/>
        <c:crosses val="autoZero"/>
        <c:auto val="1"/>
        <c:lblAlgn val="ctr"/>
        <c:lblOffset val="100"/>
        <c:noMultiLvlLbl val="0"/>
      </c:catAx>
      <c:valAx>
        <c:axId val="41312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7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41</xdr:row>
      <xdr:rowOff>19050</xdr:rowOff>
    </xdr:from>
    <xdr:to>
      <xdr:col>13</xdr:col>
      <xdr:colOff>526677</xdr:colOff>
      <xdr:row>45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653242" y="6518462"/>
          <a:ext cx="6530229" cy="646579"/>
          <a:chOff x="4257674" y="8324850"/>
          <a:chExt cx="7353301" cy="666750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49</xdr:row>
      <xdr:rowOff>95250</xdr:rowOff>
    </xdr:from>
    <xdr:to>
      <xdr:col>13</xdr:col>
      <xdr:colOff>545727</xdr:colOff>
      <xdr:row>53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672292" y="7849721"/>
          <a:ext cx="6530229" cy="646579"/>
          <a:chOff x="4276724" y="9696450"/>
          <a:chExt cx="7353301" cy="666750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55</xdr:row>
      <xdr:rowOff>47625</xdr:rowOff>
    </xdr:from>
    <xdr:to>
      <xdr:col>13</xdr:col>
      <xdr:colOff>503111</xdr:colOff>
      <xdr:row>59</xdr:row>
      <xdr:rowOff>133350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4691343" y="8743390"/>
          <a:ext cx="6468562" cy="713254"/>
          <a:chOff x="4295775" y="10620375"/>
          <a:chExt cx="7334250" cy="733425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13</xdr:row>
          <xdr:rowOff>28575</xdr:rowOff>
        </xdr:from>
        <xdr:to>
          <xdr:col>2</xdr:col>
          <xdr:colOff>1295400</xdr:colOff>
          <xdr:row>13</xdr:row>
          <xdr:rowOff>295275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What If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28575</xdr:rowOff>
        </xdr:from>
        <xdr:to>
          <xdr:col>2</xdr:col>
          <xdr:colOff>95250</xdr:colOff>
          <xdr:row>13</xdr:row>
          <xdr:rowOff>295275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Scenario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63500</xdr:colOff>
      <xdr:row>1</xdr:row>
      <xdr:rowOff>52917</xdr:rowOff>
    </xdr:from>
    <xdr:to>
      <xdr:col>20</xdr:col>
      <xdr:colOff>635000</xdr:colOff>
      <xdr:row>15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38100</xdr:rowOff>
        </xdr:from>
        <xdr:to>
          <xdr:col>6</xdr:col>
          <xdr:colOff>495300</xdr:colOff>
          <xdr:row>0</xdr:row>
          <xdr:rowOff>238125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Q67"/>
  <sheetViews>
    <sheetView showGridLines="0" showRowColHeaders="0" tabSelected="1" topLeftCell="A33" zoomScale="85" zoomScaleNormal="85" workbookViewId="0">
      <pane xSplit="3" topLeftCell="D1" activePane="topRight" state="frozen"/>
      <selection pane="topRight" activeCell="C62" sqref="C62:H71"/>
    </sheetView>
  </sheetViews>
  <sheetFormatPr defaultRowHeight="12.75" x14ac:dyDescent="0.2"/>
  <cols>
    <col min="1" max="1" width="24.28515625" style="2" bestFit="1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3"/>
      <c r="D5" s="3"/>
    </row>
    <row r="6" spans="1:4" x14ac:dyDescent="0.2">
      <c r="A6" s="4" t="s">
        <v>0</v>
      </c>
      <c r="B6" s="3" t="s">
        <v>1</v>
      </c>
      <c r="D6" s="3" t="s">
        <v>84</v>
      </c>
    </row>
    <row r="7" spans="1:4" x14ac:dyDescent="0.2">
      <c r="A7" s="5"/>
    </row>
    <row r="8" spans="1:4" x14ac:dyDescent="0.2">
      <c r="A8" s="12" t="s">
        <v>18</v>
      </c>
      <c r="B8" s="3" t="s">
        <v>2</v>
      </c>
      <c r="D8" s="1" t="s">
        <v>42</v>
      </c>
    </row>
    <row r="9" spans="1:4" ht="15" x14ac:dyDescent="0.25">
      <c r="A9" s="6"/>
      <c r="B9" s="3"/>
    </row>
    <row r="10" spans="1:4" ht="15" x14ac:dyDescent="0.25">
      <c r="A10" s="7"/>
    </row>
    <row r="11" spans="1:4" x14ac:dyDescent="0.2">
      <c r="B11" s="3"/>
      <c r="C11" s="8"/>
    </row>
    <row r="13" spans="1:4" x14ac:dyDescent="0.2">
      <c r="B13" s="9" t="s">
        <v>3</v>
      </c>
      <c r="D13" s="9">
        <v>1</v>
      </c>
    </row>
    <row r="15" spans="1:4" x14ac:dyDescent="0.2">
      <c r="B15" s="9" t="s">
        <v>4</v>
      </c>
      <c r="C15" s="10" t="s">
        <v>18</v>
      </c>
      <c r="D15" s="1" t="s">
        <v>43</v>
      </c>
    </row>
    <row r="16" spans="1:4" x14ac:dyDescent="0.2">
      <c r="C16" s="10"/>
    </row>
    <row r="17" spans="2:4" x14ac:dyDescent="0.2">
      <c r="C17" s="10"/>
    </row>
    <row r="19" spans="2:4" x14ac:dyDescent="0.2">
      <c r="B19" s="9" t="s">
        <v>5</v>
      </c>
      <c r="C19" s="11" t="s">
        <v>6</v>
      </c>
      <c r="D19" s="1" t="s">
        <v>44</v>
      </c>
    </row>
    <row r="20" spans="2:4" x14ac:dyDescent="0.2">
      <c r="C20" s="11" t="s">
        <v>7</v>
      </c>
      <c r="D20" s="1" t="s">
        <v>45</v>
      </c>
    </row>
    <row r="21" spans="2:4" x14ac:dyDescent="0.2">
      <c r="C21" s="11" t="s">
        <v>8</v>
      </c>
      <c r="D21" s="1" t="s">
        <v>46</v>
      </c>
    </row>
    <row r="22" spans="2:4" x14ac:dyDescent="0.2">
      <c r="C22" s="11" t="s">
        <v>9</v>
      </c>
      <c r="D22" s="1" t="s">
        <v>47</v>
      </c>
    </row>
    <row r="23" spans="2:4" x14ac:dyDescent="0.2">
      <c r="C23" s="11" t="s">
        <v>10</v>
      </c>
      <c r="D23" s="1" t="s">
        <v>48</v>
      </c>
    </row>
    <row r="24" spans="2:4" x14ac:dyDescent="0.2">
      <c r="C24" s="11" t="s">
        <v>11</v>
      </c>
      <c r="D24" s="1" t="s">
        <v>49</v>
      </c>
    </row>
    <row r="25" spans="2:4" x14ac:dyDescent="0.2">
      <c r="C25" s="11" t="s">
        <v>12</v>
      </c>
      <c r="D25" s="1" t="s">
        <v>52</v>
      </c>
    </row>
    <row r="26" spans="2:4" x14ac:dyDescent="0.2">
      <c r="C26" s="11" t="s">
        <v>13</v>
      </c>
      <c r="D26" s="1" t="s">
        <v>50</v>
      </c>
    </row>
    <row r="27" spans="2:4" x14ac:dyDescent="0.2">
      <c r="C27" s="11" t="s">
        <v>14</v>
      </c>
      <c r="D27" s="1" t="s">
        <v>51</v>
      </c>
    </row>
    <row r="28" spans="2:4" x14ac:dyDescent="0.2">
      <c r="C28" s="11" t="s">
        <v>53</v>
      </c>
      <c r="D28" s="1" t="s">
        <v>54</v>
      </c>
    </row>
    <row r="29" spans="2:4" x14ac:dyDescent="0.2">
      <c r="C29" s="11" t="s">
        <v>55</v>
      </c>
      <c r="D29" s="1" t="s">
        <v>60</v>
      </c>
    </row>
    <row r="30" spans="2:4" x14ac:dyDescent="0.2">
      <c r="C30" s="11" t="s">
        <v>57</v>
      </c>
      <c r="D30" s="1" t="s">
        <v>56</v>
      </c>
    </row>
    <row r="31" spans="2:4" x14ac:dyDescent="0.2">
      <c r="C31" s="11" t="s">
        <v>58</v>
      </c>
      <c r="D31" s="1" t="s">
        <v>59</v>
      </c>
    </row>
    <row r="32" spans="2:4" x14ac:dyDescent="0.2">
      <c r="C32" s="11" t="s">
        <v>61</v>
      </c>
      <c r="D32" s="1" t="s">
        <v>65</v>
      </c>
    </row>
    <row r="33" spans="2:17" x14ac:dyDescent="0.2">
      <c r="C33" s="11" t="s">
        <v>62</v>
      </c>
      <c r="D33" s="1" t="s">
        <v>66</v>
      </c>
    </row>
    <row r="34" spans="2:17" x14ac:dyDescent="0.2">
      <c r="C34" s="11" t="s">
        <v>63</v>
      </c>
      <c r="D34" s="1" t="s">
        <v>67</v>
      </c>
    </row>
    <row r="35" spans="2:17" x14ac:dyDescent="0.2">
      <c r="C35" s="11" t="s">
        <v>64</v>
      </c>
      <c r="D35" s="1" t="s">
        <v>68</v>
      </c>
    </row>
    <row r="36" spans="2:17" x14ac:dyDescent="0.2">
      <c r="C36" s="11"/>
    </row>
    <row r="37" spans="2:17" x14ac:dyDescent="0.2">
      <c r="C37" s="11"/>
    </row>
    <row r="38" spans="2:17" x14ac:dyDescent="0.2">
      <c r="B38" s="73" t="s">
        <v>73</v>
      </c>
      <c r="C38" s="74"/>
      <c r="D38" s="75" t="s">
        <v>74</v>
      </c>
      <c r="E38" s="76"/>
      <c r="F38" s="76"/>
      <c r="G38" s="76"/>
      <c r="H38" s="78"/>
      <c r="I38" s="78"/>
      <c r="J38" s="78"/>
      <c r="K38" s="78"/>
      <c r="L38" s="78"/>
      <c r="M38" s="78"/>
      <c r="N38" s="78"/>
      <c r="O38" s="76"/>
      <c r="P38" s="76"/>
      <c r="Q38" s="76"/>
    </row>
    <row r="39" spans="2:17" x14ac:dyDescent="0.2">
      <c r="B39" s="76"/>
      <c r="C39" s="76"/>
      <c r="D39" s="75" t="s">
        <v>75</v>
      </c>
      <c r="E39" s="76"/>
      <c r="F39" s="76"/>
      <c r="G39" s="76"/>
      <c r="H39" s="78"/>
      <c r="I39" s="78"/>
      <c r="J39" s="78"/>
      <c r="K39" s="78"/>
      <c r="L39" s="78"/>
      <c r="M39" s="78"/>
      <c r="N39" s="78"/>
      <c r="O39" s="76"/>
      <c r="P39" s="76"/>
      <c r="Q39" s="76"/>
    </row>
    <row r="40" spans="2:17" x14ac:dyDescent="0.2">
      <c r="B40" s="76"/>
      <c r="C40" s="76"/>
      <c r="D40" s="76"/>
      <c r="E40" s="76"/>
      <c r="F40" s="76"/>
      <c r="G40" s="76"/>
      <c r="H40" s="78"/>
      <c r="I40" s="78"/>
      <c r="J40" s="78"/>
      <c r="K40" s="78"/>
      <c r="L40" s="78"/>
      <c r="M40" s="78"/>
      <c r="N40" s="78"/>
      <c r="O40" s="76"/>
      <c r="P40" s="76"/>
      <c r="Q40" s="76"/>
    </row>
    <row r="41" spans="2:17" x14ac:dyDescent="0.2">
      <c r="B41" s="76"/>
      <c r="C41" s="77" t="s">
        <v>76</v>
      </c>
      <c r="D41" s="76" t="s">
        <v>77</v>
      </c>
      <c r="E41" s="76"/>
      <c r="F41" s="76"/>
      <c r="G41" s="76"/>
      <c r="H41" s="78"/>
      <c r="I41" s="78"/>
      <c r="J41" s="78"/>
      <c r="K41" s="78"/>
      <c r="L41" s="78"/>
      <c r="M41" s="78"/>
      <c r="N41" s="78"/>
      <c r="O41" s="76"/>
      <c r="P41" s="76"/>
      <c r="Q41" s="76"/>
    </row>
    <row r="42" spans="2:17" x14ac:dyDescent="0.2">
      <c r="B42" s="76"/>
      <c r="C42" s="76"/>
      <c r="D42" s="74"/>
      <c r="E42" s="76"/>
      <c r="F42" s="76"/>
      <c r="G42" s="76"/>
      <c r="H42" s="78"/>
      <c r="I42" s="78"/>
      <c r="J42" s="78"/>
      <c r="K42" s="78"/>
      <c r="L42" s="78"/>
      <c r="M42" s="78"/>
      <c r="N42" s="78"/>
      <c r="O42" s="76"/>
      <c r="P42" s="76"/>
      <c r="Q42" s="76"/>
    </row>
    <row r="43" spans="2:17" x14ac:dyDescent="0.2">
      <c r="B43" s="76"/>
      <c r="C43" s="76"/>
      <c r="D43" s="74"/>
      <c r="E43" s="76"/>
      <c r="F43" s="76"/>
      <c r="G43" s="76"/>
      <c r="H43" s="78"/>
      <c r="I43" s="78"/>
      <c r="J43" s="78"/>
      <c r="K43" s="78"/>
      <c r="L43" s="78"/>
      <c r="M43" s="78"/>
      <c r="N43" s="78"/>
      <c r="O43" s="76"/>
      <c r="P43" s="76"/>
      <c r="Q43" s="76"/>
    </row>
    <row r="44" spans="2:17" x14ac:dyDescent="0.2">
      <c r="B44" s="76"/>
      <c r="C44" s="76"/>
      <c r="D44" s="74"/>
      <c r="E44" s="76"/>
      <c r="F44" s="76"/>
      <c r="G44" s="76"/>
      <c r="H44" s="78"/>
      <c r="I44" s="78"/>
      <c r="J44" s="78"/>
      <c r="K44" s="78"/>
      <c r="L44" s="78"/>
      <c r="M44" s="78"/>
      <c r="N44" s="78"/>
      <c r="O44" s="76"/>
      <c r="P44" s="76"/>
      <c r="Q44" s="76"/>
    </row>
    <row r="45" spans="2:17" x14ac:dyDescent="0.2">
      <c r="B45" s="76"/>
      <c r="C45" s="76"/>
      <c r="D45" s="74"/>
      <c r="E45" s="76"/>
      <c r="F45" s="76"/>
      <c r="G45" s="76"/>
      <c r="H45" s="78"/>
      <c r="I45" s="78"/>
      <c r="J45" s="78"/>
      <c r="K45" s="78"/>
      <c r="L45" s="78"/>
      <c r="M45" s="78"/>
      <c r="N45" s="78"/>
      <c r="O45" s="76"/>
      <c r="P45" s="76"/>
      <c r="Q45" s="76"/>
    </row>
    <row r="46" spans="2:17" x14ac:dyDescent="0.2">
      <c r="B46" s="76"/>
      <c r="C46" s="76"/>
      <c r="D46" s="74"/>
      <c r="E46" s="76"/>
      <c r="F46" s="76"/>
      <c r="G46" s="76"/>
      <c r="H46" s="78"/>
      <c r="I46" s="78"/>
      <c r="J46" s="78"/>
      <c r="K46" s="78"/>
      <c r="L46" s="78"/>
      <c r="M46" s="78"/>
      <c r="N46" s="78"/>
      <c r="O46" s="76"/>
      <c r="P46" s="76"/>
      <c r="Q46" s="76"/>
    </row>
    <row r="47" spans="2:17" x14ac:dyDescent="0.2">
      <c r="B47" s="76"/>
      <c r="C47" s="77" t="s">
        <v>78</v>
      </c>
      <c r="D47" s="76" t="s">
        <v>79</v>
      </c>
      <c r="E47" s="76"/>
      <c r="F47" s="76"/>
      <c r="G47" s="76"/>
      <c r="H47" s="78"/>
      <c r="I47" s="78"/>
      <c r="J47" s="78"/>
      <c r="K47" s="78"/>
      <c r="L47" s="78"/>
      <c r="M47" s="78"/>
      <c r="N47" s="78"/>
      <c r="O47" s="76"/>
      <c r="P47" s="76"/>
      <c r="Q47" s="76"/>
    </row>
    <row r="48" spans="2:17" x14ac:dyDescent="0.2">
      <c r="B48" s="76"/>
      <c r="C48" s="76"/>
      <c r="D48" s="76"/>
      <c r="E48" s="76"/>
      <c r="F48" s="76"/>
      <c r="G48" s="76"/>
      <c r="H48" s="78"/>
      <c r="I48" s="78"/>
      <c r="J48" s="78"/>
      <c r="K48" s="78"/>
      <c r="L48" s="78"/>
      <c r="M48" s="78"/>
      <c r="N48" s="78"/>
      <c r="O48" s="76"/>
      <c r="P48" s="76"/>
      <c r="Q48" s="76"/>
    </row>
    <row r="49" spans="2:17" x14ac:dyDescent="0.2">
      <c r="B49" s="76"/>
      <c r="C49" s="77" t="s">
        <v>81</v>
      </c>
      <c r="D49" s="76" t="s">
        <v>80</v>
      </c>
      <c r="E49" s="76"/>
      <c r="F49" s="76"/>
      <c r="G49" s="76"/>
      <c r="H49" s="78"/>
      <c r="I49" s="78"/>
      <c r="J49" s="78"/>
      <c r="K49" s="78"/>
      <c r="L49" s="78"/>
      <c r="M49" s="78"/>
      <c r="N49" s="78"/>
      <c r="O49" s="76"/>
      <c r="P49" s="76"/>
      <c r="Q49" s="76"/>
    </row>
    <row r="50" spans="2:17" x14ac:dyDescent="0.2">
      <c r="B50" s="76"/>
      <c r="C50" s="76"/>
      <c r="D50" s="76"/>
      <c r="E50" s="76"/>
      <c r="F50" s="76"/>
      <c r="G50" s="76"/>
      <c r="H50" s="78"/>
      <c r="I50" s="78"/>
      <c r="J50" s="78"/>
      <c r="K50" s="78"/>
      <c r="L50" s="78"/>
      <c r="M50" s="78"/>
      <c r="N50" s="78"/>
      <c r="O50" s="76"/>
      <c r="P50" s="76"/>
      <c r="Q50" s="76"/>
    </row>
    <row r="51" spans="2:17" x14ac:dyDescent="0.2">
      <c r="B51" s="76"/>
      <c r="C51" s="76"/>
      <c r="D51" s="76"/>
      <c r="E51" s="76"/>
      <c r="F51" s="76"/>
      <c r="G51" s="76"/>
      <c r="H51" s="78"/>
      <c r="I51" s="78"/>
      <c r="J51" s="78"/>
      <c r="K51" s="78"/>
      <c r="L51" s="78"/>
      <c r="M51" s="78"/>
      <c r="N51" s="78"/>
      <c r="O51" s="76"/>
      <c r="P51" s="76"/>
      <c r="Q51" s="76"/>
    </row>
    <row r="52" spans="2:17" x14ac:dyDescent="0.2">
      <c r="B52" s="76"/>
      <c r="C52" s="76"/>
      <c r="D52" s="76"/>
      <c r="E52" s="76"/>
      <c r="F52" s="76"/>
      <c r="G52" s="76"/>
      <c r="H52" s="78"/>
      <c r="I52" s="78"/>
      <c r="J52" s="78"/>
      <c r="K52" s="78"/>
      <c r="L52" s="78"/>
      <c r="M52" s="78"/>
      <c r="N52" s="78"/>
      <c r="O52" s="76"/>
      <c r="P52" s="76"/>
      <c r="Q52" s="76"/>
    </row>
    <row r="53" spans="2:17" x14ac:dyDescent="0.2">
      <c r="B53" s="76"/>
      <c r="C53" s="76"/>
      <c r="D53" s="76"/>
      <c r="E53" s="76"/>
      <c r="F53" s="76"/>
      <c r="G53" s="76"/>
      <c r="H53" s="78"/>
      <c r="I53" s="78"/>
      <c r="J53" s="78"/>
      <c r="K53" s="78"/>
      <c r="L53" s="78"/>
      <c r="M53" s="78"/>
      <c r="N53" s="78"/>
      <c r="O53" s="76"/>
      <c r="P53" s="76"/>
      <c r="Q53" s="76"/>
    </row>
    <row r="54" spans="2:17" x14ac:dyDescent="0.2">
      <c r="B54" s="76"/>
      <c r="C54" s="76"/>
      <c r="D54" s="76"/>
      <c r="E54" s="76"/>
      <c r="F54" s="76"/>
      <c r="G54" s="76"/>
      <c r="H54" s="78"/>
      <c r="I54" s="78"/>
      <c r="J54" s="78"/>
      <c r="K54" s="78"/>
      <c r="L54" s="78"/>
      <c r="M54" s="78"/>
      <c r="N54" s="78"/>
      <c r="O54" s="76"/>
      <c r="P54" s="76"/>
      <c r="Q54" s="76"/>
    </row>
    <row r="55" spans="2:17" x14ac:dyDescent="0.2">
      <c r="B55" s="76"/>
      <c r="C55" s="77" t="s">
        <v>82</v>
      </c>
      <c r="D55" s="76" t="s">
        <v>83</v>
      </c>
      <c r="E55" s="76"/>
      <c r="F55" s="76"/>
      <c r="G55" s="76"/>
      <c r="H55" s="78"/>
      <c r="I55" s="78"/>
      <c r="J55" s="78"/>
      <c r="K55" s="78"/>
      <c r="L55" s="78"/>
      <c r="M55" s="78"/>
      <c r="N55" s="78"/>
      <c r="O55" s="76"/>
      <c r="P55" s="76"/>
      <c r="Q55" s="76"/>
    </row>
    <row r="56" spans="2:17" x14ac:dyDescent="0.2">
      <c r="B56" s="76"/>
      <c r="C56" s="76"/>
      <c r="D56" s="76"/>
      <c r="E56" s="76"/>
      <c r="F56" s="76"/>
      <c r="G56" s="76"/>
      <c r="H56" s="78"/>
      <c r="I56" s="78"/>
      <c r="J56" s="78"/>
      <c r="K56" s="78"/>
      <c r="L56" s="78"/>
      <c r="M56" s="78"/>
      <c r="N56" s="78"/>
      <c r="O56" s="76"/>
      <c r="P56" s="76"/>
      <c r="Q56" s="76"/>
    </row>
    <row r="57" spans="2:17" x14ac:dyDescent="0.2">
      <c r="B57" s="76"/>
      <c r="C57" s="76"/>
      <c r="D57" s="76"/>
      <c r="E57" s="76"/>
      <c r="F57" s="76"/>
      <c r="G57" s="76"/>
      <c r="H57" s="78"/>
      <c r="I57" s="78"/>
      <c r="J57" s="78"/>
      <c r="K57" s="78"/>
      <c r="L57" s="78"/>
      <c r="M57" s="78"/>
      <c r="N57" s="78"/>
      <c r="O57" s="76"/>
      <c r="P57" s="76"/>
      <c r="Q57" s="76"/>
    </row>
    <row r="58" spans="2:17" x14ac:dyDescent="0.2">
      <c r="B58" s="76"/>
      <c r="C58" s="76"/>
      <c r="D58" s="76"/>
      <c r="E58" s="76"/>
      <c r="F58" s="76"/>
      <c r="G58" s="76"/>
      <c r="H58" s="78"/>
      <c r="I58" s="78"/>
      <c r="J58" s="78"/>
      <c r="K58" s="78"/>
      <c r="L58" s="78"/>
      <c r="M58" s="78"/>
      <c r="N58" s="78"/>
      <c r="O58" s="76"/>
      <c r="P58" s="76"/>
      <c r="Q58" s="76"/>
    </row>
    <row r="59" spans="2:17" x14ac:dyDescent="0.2">
      <c r="B59" s="76"/>
      <c r="C59" s="76"/>
      <c r="D59" s="76"/>
      <c r="E59" s="76"/>
      <c r="F59" s="76"/>
      <c r="G59" s="76"/>
      <c r="H59" s="78"/>
      <c r="I59" s="78"/>
      <c r="J59" s="78"/>
      <c r="K59" s="78"/>
      <c r="L59" s="78"/>
      <c r="M59" s="78"/>
      <c r="N59" s="78"/>
      <c r="O59" s="76"/>
      <c r="P59" s="76"/>
      <c r="Q59" s="76"/>
    </row>
    <row r="60" spans="2:17" x14ac:dyDescent="0.2">
      <c r="B60" s="76"/>
      <c r="C60" s="76"/>
      <c r="D60" s="76"/>
      <c r="E60" s="76"/>
      <c r="F60" s="76"/>
      <c r="G60" s="76"/>
      <c r="H60" s="78"/>
      <c r="I60" s="78"/>
      <c r="J60" s="78"/>
      <c r="K60" s="78"/>
      <c r="L60" s="78"/>
      <c r="M60" s="78"/>
      <c r="N60" s="78"/>
      <c r="O60" s="76"/>
      <c r="P60" s="76"/>
      <c r="Q60" s="76"/>
    </row>
    <row r="61" spans="2:17" x14ac:dyDescent="0.2">
      <c r="B61" s="76"/>
      <c r="C61" s="76"/>
      <c r="D61" s="75"/>
      <c r="E61" s="76"/>
      <c r="F61" s="76"/>
      <c r="G61" s="76"/>
      <c r="H61" s="78"/>
      <c r="I61" s="78"/>
      <c r="J61" s="78"/>
      <c r="K61" s="78"/>
      <c r="L61" s="78"/>
      <c r="M61" s="78"/>
      <c r="N61" s="78"/>
    </row>
    <row r="62" spans="2:17" x14ac:dyDescent="0.2">
      <c r="B62" s="76"/>
      <c r="C62" s="76"/>
      <c r="D62" s="78"/>
      <c r="E62" s="76"/>
      <c r="F62" s="76"/>
      <c r="G62" s="76"/>
      <c r="H62" s="78"/>
      <c r="I62" s="78"/>
      <c r="J62" s="78"/>
      <c r="K62" s="78"/>
      <c r="L62" s="78"/>
      <c r="M62" s="78"/>
      <c r="N62" s="78"/>
    </row>
    <row r="63" spans="2:17" x14ac:dyDescent="0.2">
      <c r="B63" s="76"/>
      <c r="C63" s="76"/>
      <c r="D63" s="79"/>
      <c r="E63" s="76"/>
      <c r="F63" s="76"/>
      <c r="G63" s="76"/>
      <c r="H63" s="78"/>
      <c r="I63" s="78"/>
      <c r="J63" s="78"/>
      <c r="K63" s="78"/>
      <c r="L63" s="78"/>
      <c r="M63" s="78"/>
      <c r="N63" s="78"/>
    </row>
    <row r="64" spans="2:17" x14ac:dyDescent="0.2">
      <c r="B64" s="76"/>
      <c r="C64" s="76"/>
      <c r="D64" s="78"/>
      <c r="E64" s="76"/>
      <c r="F64" s="76"/>
      <c r="G64" s="76"/>
      <c r="H64" s="78"/>
      <c r="I64" s="78"/>
      <c r="J64" s="78"/>
      <c r="K64" s="78"/>
      <c r="L64" s="78"/>
      <c r="M64" s="78"/>
      <c r="N64" s="78"/>
    </row>
    <row r="65" spans="2:14" x14ac:dyDescent="0.2">
      <c r="B65" s="76"/>
      <c r="C65" s="76"/>
      <c r="D65" s="78"/>
      <c r="E65" s="76"/>
      <c r="F65" s="76"/>
      <c r="G65" s="76"/>
      <c r="H65" s="78"/>
      <c r="I65" s="78"/>
      <c r="J65" s="78"/>
      <c r="K65" s="78"/>
      <c r="L65" s="78"/>
      <c r="M65" s="78"/>
      <c r="N65" s="78"/>
    </row>
    <row r="66" spans="2:14" x14ac:dyDescent="0.2">
      <c r="B66" s="76"/>
      <c r="C66" s="76"/>
      <c r="D66" s="78"/>
      <c r="E66" s="76"/>
      <c r="F66" s="76"/>
      <c r="G66" s="76"/>
      <c r="H66" s="78"/>
      <c r="I66" s="78"/>
      <c r="J66" s="78"/>
      <c r="K66" s="78"/>
      <c r="L66" s="78"/>
      <c r="M66" s="78"/>
      <c r="N66" s="78"/>
    </row>
    <row r="67" spans="2:14" x14ac:dyDescent="0.2"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</row>
  </sheetData>
  <conditionalFormatting sqref="D13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What If Analysis'!A1" display="Panel Comparison Analysis" xr:uid="{B89450DB-109A-477B-A1E2-81664E2031E9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75980-E30B-4AFA-820E-08179B26AF35}">
  <sheetPr codeName="Sheet2">
    <tabColor rgb="FF50B47F"/>
    <pageSetUpPr fitToPage="1"/>
  </sheetPr>
  <dimension ref="A1:Y111"/>
  <sheetViews>
    <sheetView showGridLines="0" showRowColHeaders="0" zoomScale="90" zoomScaleNormal="90" workbookViewId="0">
      <pane ySplit="1" topLeftCell="A2" activePane="bottomLeft" state="frozen"/>
      <selection pane="bottomLeft" activeCell="B4" sqref="B4"/>
    </sheetView>
  </sheetViews>
  <sheetFormatPr defaultColWidth="0" defaultRowHeight="0" customHeight="1" zeroHeight="1" x14ac:dyDescent="0.2"/>
  <cols>
    <col min="1" max="1" width="18.140625" style="13" customWidth="1"/>
    <col min="2" max="2" width="15.85546875" style="13" customWidth="1"/>
    <col min="3" max="3" width="19.85546875" style="13" customWidth="1"/>
    <col min="4" max="4" width="0.7109375" style="22" customWidth="1"/>
    <col min="5" max="5" width="2.5703125" style="13" customWidth="1"/>
    <col min="6" max="6" width="9.85546875" style="13" customWidth="1"/>
    <col min="7" max="21" width="9.7109375" style="13" customWidth="1"/>
    <col min="22" max="22" width="0.85546875" style="13" customWidth="1"/>
    <col min="23" max="25" width="0" style="13" hidden="1" customWidth="1"/>
    <col min="26" max="16384" width="9.140625" style="13" hidden="1"/>
  </cols>
  <sheetData>
    <row r="1" spans="1:22" s="20" customFormat="1" ht="20.25" customHeight="1" x14ac:dyDescent="0.25">
      <c r="A1" s="85" t="s">
        <v>22</v>
      </c>
      <c r="B1" s="85"/>
      <c r="C1" s="85"/>
      <c r="D1" s="19"/>
      <c r="E1" s="85" t="s">
        <v>18</v>
      </c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</row>
    <row r="2" spans="1:22" ht="12.75" customHeight="1" x14ac:dyDescent="0.2">
      <c r="A2" s="83" t="s">
        <v>69</v>
      </c>
      <c r="B2" s="83"/>
      <c r="C2" s="83"/>
      <c r="D2" s="16"/>
      <c r="E2" s="14"/>
      <c r="F2" s="21"/>
      <c r="G2" s="21"/>
      <c r="H2" s="21"/>
    </row>
    <row r="3" spans="1:22" ht="12.75" customHeight="1" x14ac:dyDescent="0.2">
      <c r="A3" s="30" t="s">
        <v>19</v>
      </c>
      <c r="B3" s="86">
        <v>60000</v>
      </c>
      <c r="C3" s="87"/>
      <c r="D3" s="16"/>
      <c r="E3" s="15"/>
      <c r="F3" s="21"/>
      <c r="G3" s="21"/>
      <c r="H3" s="21"/>
    </row>
    <row r="4" spans="1:22" ht="12.75" customHeight="1" x14ac:dyDescent="0.2">
      <c r="A4" s="30" t="s">
        <v>20</v>
      </c>
      <c r="B4" s="59">
        <v>0.1</v>
      </c>
      <c r="C4" s="32" t="s">
        <v>23</v>
      </c>
      <c r="F4" s="21"/>
      <c r="G4" s="21"/>
      <c r="H4" s="21"/>
    </row>
    <row r="5" spans="1:22" ht="12.75" customHeight="1" x14ac:dyDescent="0.2">
      <c r="A5" s="30" t="s">
        <v>35</v>
      </c>
      <c r="B5" s="60">
        <v>36</v>
      </c>
      <c r="C5" s="32" t="s">
        <v>36</v>
      </c>
      <c r="F5" s="21"/>
      <c r="G5" s="21"/>
      <c r="H5" s="21"/>
    </row>
    <row r="6" spans="1:22" ht="12.75" customHeight="1" x14ac:dyDescent="0.2">
      <c r="A6" s="30" t="s">
        <v>34</v>
      </c>
      <c r="B6" s="38">
        <f>IFERROR(IF(OR(B3="",B4=""),"",PMT(B4/12,B5,-B3)),"")</f>
        <v>1936.0312316302491</v>
      </c>
      <c r="C6" s="31" t="s">
        <v>21</v>
      </c>
      <c r="D6" s="23"/>
      <c r="E6" s="24"/>
      <c r="F6" s="24"/>
      <c r="G6" s="24"/>
      <c r="H6" s="24"/>
    </row>
    <row r="7" spans="1:22" ht="12.75" customHeight="1" x14ac:dyDescent="0.2">
      <c r="D7" s="25"/>
      <c r="E7" s="26"/>
      <c r="F7" s="26"/>
      <c r="G7" s="26"/>
      <c r="H7" s="27"/>
    </row>
    <row r="8" spans="1:22" ht="12.75" customHeight="1" x14ac:dyDescent="0.2">
      <c r="A8" s="83" t="s">
        <v>39</v>
      </c>
      <c r="B8" s="83"/>
      <c r="C8" s="83"/>
      <c r="D8" s="25"/>
      <c r="E8" s="26"/>
      <c r="F8" s="26"/>
      <c r="G8" s="26"/>
      <c r="H8" s="27"/>
    </row>
    <row r="9" spans="1:22" ht="12.75" customHeight="1" x14ac:dyDescent="0.2">
      <c r="A9" s="33" t="s">
        <v>27</v>
      </c>
      <c r="B9" s="61">
        <v>1200</v>
      </c>
      <c r="C9" s="31" t="s">
        <v>21</v>
      </c>
      <c r="D9" s="25"/>
      <c r="E9" s="26"/>
      <c r="F9" s="26"/>
      <c r="G9" s="26"/>
      <c r="H9" s="27"/>
    </row>
    <row r="10" spans="1:22" ht="12.75" customHeight="1" x14ac:dyDescent="0.2">
      <c r="A10" s="34" t="s">
        <v>28</v>
      </c>
      <c r="B10" s="62">
        <v>1800</v>
      </c>
      <c r="C10" s="31" t="s">
        <v>21</v>
      </c>
      <c r="D10" s="25"/>
      <c r="E10" s="26"/>
      <c r="F10" s="26"/>
      <c r="G10" s="26"/>
      <c r="H10" s="27"/>
    </row>
    <row r="11" spans="1:22" ht="12.75" customHeight="1" x14ac:dyDescent="0.2">
      <c r="A11" s="40"/>
      <c r="B11" s="41"/>
      <c r="C11" s="42"/>
      <c r="D11" s="25"/>
      <c r="E11" s="26"/>
      <c r="F11" s="26"/>
      <c r="G11" s="26"/>
      <c r="H11" s="27"/>
    </row>
    <row r="12" spans="1:22" ht="12.75" customHeight="1" x14ac:dyDescent="0.2">
      <c r="A12" s="84" t="s">
        <v>41</v>
      </c>
      <c r="B12" s="50" t="s">
        <v>25</v>
      </c>
      <c r="C12" s="31" t="s">
        <v>37</v>
      </c>
      <c r="D12" s="25"/>
      <c r="E12" s="26"/>
      <c r="F12" s="26"/>
      <c r="G12" s="26"/>
      <c r="H12" s="27"/>
    </row>
    <row r="13" spans="1:22" ht="16.5" customHeight="1" x14ac:dyDescent="0.2">
      <c r="A13" s="84"/>
      <c r="B13" s="63">
        <v>0.3</v>
      </c>
      <c r="C13" s="63">
        <v>0.15</v>
      </c>
      <c r="D13" s="25"/>
      <c r="E13" s="26"/>
      <c r="F13" s="26"/>
      <c r="G13" s="26"/>
      <c r="H13" s="27"/>
    </row>
    <row r="14" spans="1:22" ht="24.75" customHeight="1" x14ac:dyDescent="0.2">
      <c r="A14" s="49" t="s">
        <v>40</v>
      </c>
      <c r="B14" s="39"/>
      <c r="C14" s="39"/>
      <c r="D14" s="25"/>
      <c r="E14" s="26"/>
      <c r="F14" s="26"/>
      <c r="G14" s="26"/>
      <c r="H14" s="27"/>
    </row>
    <row r="15" spans="1:22" ht="12.75" customHeight="1" x14ac:dyDescent="0.2">
      <c r="A15" s="83" t="s">
        <v>38</v>
      </c>
      <c r="B15" s="83"/>
      <c r="C15" s="83"/>
      <c r="D15" s="25"/>
      <c r="E15" s="26"/>
      <c r="F15" s="26"/>
      <c r="G15" s="26"/>
      <c r="H15" s="27"/>
    </row>
    <row r="16" spans="1:22" ht="27.75" customHeight="1" x14ac:dyDescent="0.2">
      <c r="A16" s="43" t="s">
        <v>24</v>
      </c>
      <c r="B16" s="43" t="s">
        <v>26</v>
      </c>
      <c r="C16" s="43" t="s">
        <v>72</v>
      </c>
      <c r="D16" s="25"/>
      <c r="E16" s="26"/>
      <c r="F16" s="69"/>
      <c r="G16" s="71" t="s">
        <v>70</v>
      </c>
      <c r="H16" s="52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</row>
    <row r="17" spans="1:21" ht="12.75" customHeight="1" x14ac:dyDescent="0.2">
      <c r="A17" s="55"/>
      <c r="B17" s="56">
        <f>IF(B6="","",B6)</f>
        <v>1936.0312316302491</v>
      </c>
      <c r="C17" s="57">
        <f>IFERROR(IF(B13="","",B13),"")</f>
        <v>0.3</v>
      </c>
      <c r="D17" s="25"/>
      <c r="E17" s="26"/>
      <c r="F17" s="70">
        <f>IF(B6="","",B6)</f>
        <v>1936.0312316302491</v>
      </c>
      <c r="G17" s="67">
        <v>12</v>
      </c>
      <c r="H17" s="68">
        <v>24</v>
      </c>
      <c r="I17" s="67">
        <v>36</v>
      </c>
      <c r="J17" s="68">
        <v>48</v>
      </c>
      <c r="K17" s="67">
        <v>60</v>
      </c>
      <c r="L17" s="68">
        <v>72</v>
      </c>
      <c r="M17" s="67">
        <v>84</v>
      </c>
      <c r="N17" s="68">
        <v>96</v>
      </c>
      <c r="O17" s="67">
        <v>108</v>
      </c>
      <c r="P17" s="68">
        <v>120</v>
      </c>
      <c r="Q17" s="67">
        <v>132</v>
      </c>
      <c r="R17" s="68">
        <v>144</v>
      </c>
      <c r="S17" s="67">
        <v>156</v>
      </c>
      <c r="T17" s="68">
        <v>168</v>
      </c>
      <c r="U17" s="67">
        <v>180</v>
      </c>
    </row>
    <row r="18" spans="1:21" ht="12.75" customHeight="1" x14ac:dyDescent="0.2">
      <c r="A18" s="64">
        <v>18000</v>
      </c>
      <c r="B18" s="56">
        <f t="dataTable" ref="B18:B38" dt2D="0" dtr="0" r1="B3" ca="1"/>
        <v>580.8093694890747</v>
      </c>
      <c r="C18" s="37">
        <f>IF(B13="","",B13)</f>
        <v>0.3</v>
      </c>
      <c r="D18" s="28"/>
      <c r="E18" s="82" t="s">
        <v>71</v>
      </c>
      <c r="F18" s="72">
        <f>IF(A18="","",A18)</f>
        <v>18000</v>
      </c>
      <c r="G18" s="66">
        <f t="dataTable" ref="G18:U38" dt2D="1" dtr="1" r1="B5" r2="B3"/>
        <v>1582.4859701401726</v>
      </c>
      <c r="H18" s="66">
        <v>830.60867407529702</v>
      </c>
      <c r="I18" s="66">
        <v>580.8093694890747</v>
      </c>
      <c r="J18" s="66">
        <v>456.52650182544943</v>
      </c>
      <c r="K18" s="66">
        <v>382.44680480282898</v>
      </c>
      <c r="L18" s="66">
        <v>333.46507996386862</v>
      </c>
      <c r="M18" s="66">
        <v>298.82131248394637</v>
      </c>
      <c r="N18" s="66">
        <v>273.13495376047797</v>
      </c>
      <c r="O18" s="66">
        <v>253.41635191268205</v>
      </c>
      <c r="P18" s="66">
        <v>237.87132638717097</v>
      </c>
      <c r="Q18" s="66">
        <v>225.35779469992565</v>
      </c>
      <c r="R18" s="66">
        <v>215.11408730892006</v>
      </c>
      <c r="S18" s="66">
        <v>206.61265675902192</v>
      </c>
      <c r="T18" s="66">
        <v>199.4764837263497</v>
      </c>
      <c r="U18" s="66">
        <v>193.4289211874609</v>
      </c>
    </row>
    <row r="19" spans="1:21" ht="12.75" customHeight="1" x14ac:dyDescent="0.2">
      <c r="A19" s="64">
        <v>26999.999999999996</v>
      </c>
      <c r="B19" s="56">
        <v>871.21405423361193</v>
      </c>
      <c r="C19" s="37">
        <f>IFERROR(IF($C$13="","",C18+$C$13),"")</f>
        <v>0.44999999999999996</v>
      </c>
      <c r="E19" s="82"/>
      <c r="F19" s="72">
        <f t="shared" ref="F19:F38" si="0">IF(A19="","",A19)</f>
        <v>26999.999999999996</v>
      </c>
      <c r="G19" s="65">
        <v>2373.7289552102588</v>
      </c>
      <c r="H19" s="65">
        <v>1245.9130111129455</v>
      </c>
      <c r="I19" s="65">
        <v>871.21405423361193</v>
      </c>
      <c r="J19" s="65">
        <v>684.789752738174</v>
      </c>
      <c r="K19" s="65">
        <v>573.6702072042433</v>
      </c>
      <c r="L19" s="65">
        <v>500.1976199458029</v>
      </c>
      <c r="M19" s="65">
        <v>448.23196872591944</v>
      </c>
      <c r="N19" s="65">
        <v>409.7024306407169</v>
      </c>
      <c r="O19" s="65">
        <v>380.12452786902304</v>
      </c>
      <c r="P19" s="65">
        <v>356.80698958075646</v>
      </c>
      <c r="Q19" s="65">
        <v>338.03669204988842</v>
      </c>
      <c r="R19" s="65">
        <v>322.67113096338011</v>
      </c>
      <c r="S19" s="65">
        <v>309.91898513853283</v>
      </c>
      <c r="T19" s="65">
        <v>299.21472558952451</v>
      </c>
      <c r="U19" s="65">
        <v>290.14338178119129</v>
      </c>
    </row>
    <row r="20" spans="1:21" ht="12.75" customHeight="1" x14ac:dyDescent="0.2">
      <c r="A20" s="64">
        <v>36000</v>
      </c>
      <c r="B20" s="56">
        <v>1161.6187389781494</v>
      </c>
      <c r="C20" s="37">
        <f t="shared" ref="C20:C38" si="1">IFERROR(IF($C$13="","",C19+$C$13),"")</f>
        <v>0.6</v>
      </c>
      <c r="E20" s="82"/>
      <c r="F20" s="72">
        <f t="shared" si="0"/>
        <v>36000</v>
      </c>
      <c r="G20" s="65">
        <v>3164.9719402803453</v>
      </c>
      <c r="H20" s="65">
        <v>1661.217348150594</v>
      </c>
      <c r="I20" s="65">
        <v>1161.6187389781494</v>
      </c>
      <c r="J20" s="65">
        <v>913.05300365089886</v>
      </c>
      <c r="K20" s="65">
        <v>764.89360960565796</v>
      </c>
      <c r="L20" s="65">
        <v>666.93015992773724</v>
      </c>
      <c r="M20" s="65">
        <v>597.64262496789274</v>
      </c>
      <c r="N20" s="65">
        <v>546.26990752095594</v>
      </c>
      <c r="O20" s="65">
        <v>506.83270382536409</v>
      </c>
      <c r="P20" s="65">
        <v>475.74265277434193</v>
      </c>
      <c r="Q20" s="65">
        <v>450.7155893998513</v>
      </c>
      <c r="R20" s="65">
        <v>430.22817461784012</v>
      </c>
      <c r="S20" s="65">
        <v>413.22531351804383</v>
      </c>
      <c r="T20" s="65">
        <v>398.9529674526994</v>
      </c>
      <c r="U20" s="65">
        <v>386.8578423749218</v>
      </c>
    </row>
    <row r="21" spans="1:21" ht="12.75" customHeight="1" x14ac:dyDescent="0.2">
      <c r="A21" s="64">
        <v>45000</v>
      </c>
      <c r="B21" s="56">
        <v>1452.0234237226869</v>
      </c>
      <c r="C21" s="37">
        <f t="shared" si="1"/>
        <v>0.75</v>
      </c>
      <c r="E21" s="82"/>
      <c r="F21" s="72">
        <f t="shared" si="0"/>
        <v>45000</v>
      </c>
      <c r="G21" s="65">
        <v>3956.2149253504317</v>
      </c>
      <c r="H21" s="65">
        <v>2076.5216851882428</v>
      </c>
      <c r="I21" s="65">
        <v>1452.0234237226869</v>
      </c>
      <c r="J21" s="65">
        <v>1141.3162545636235</v>
      </c>
      <c r="K21" s="65">
        <v>956.1170120070725</v>
      </c>
      <c r="L21" s="65">
        <v>833.66269990967157</v>
      </c>
      <c r="M21" s="65">
        <v>747.05328120986587</v>
      </c>
      <c r="N21" s="65">
        <v>682.83738440119487</v>
      </c>
      <c r="O21" s="65">
        <v>633.54087978170514</v>
      </c>
      <c r="P21" s="65">
        <v>594.67831596792746</v>
      </c>
      <c r="Q21" s="65">
        <v>563.39448674981406</v>
      </c>
      <c r="R21" s="65">
        <v>537.7852182723002</v>
      </c>
      <c r="S21" s="65">
        <v>516.53164189755489</v>
      </c>
      <c r="T21" s="65">
        <v>498.69120931587423</v>
      </c>
      <c r="U21" s="65">
        <v>483.57230296865225</v>
      </c>
    </row>
    <row r="22" spans="1:21" ht="12.75" customHeight="1" x14ac:dyDescent="0.2">
      <c r="A22" s="64">
        <v>54000</v>
      </c>
      <c r="B22" s="56">
        <v>1742.4281084672241</v>
      </c>
      <c r="C22" s="37">
        <f t="shared" si="1"/>
        <v>0.9</v>
      </c>
      <c r="E22" s="82"/>
      <c r="F22" s="72">
        <f t="shared" si="0"/>
        <v>54000</v>
      </c>
      <c r="G22" s="65">
        <v>4747.4579104205186</v>
      </c>
      <c r="H22" s="65">
        <v>2491.8260222258914</v>
      </c>
      <c r="I22" s="65">
        <v>1742.4281084672241</v>
      </c>
      <c r="J22" s="65">
        <v>1369.5795054763482</v>
      </c>
      <c r="K22" s="65">
        <v>1147.3404144084868</v>
      </c>
      <c r="L22" s="65">
        <v>1000.3952398916059</v>
      </c>
      <c r="M22" s="65">
        <v>896.463937451839</v>
      </c>
      <c r="N22" s="65">
        <v>819.40486128143391</v>
      </c>
      <c r="O22" s="65">
        <v>760.2490557380462</v>
      </c>
      <c r="P22" s="65">
        <v>713.61397916151293</v>
      </c>
      <c r="Q22" s="65">
        <v>676.07338409977694</v>
      </c>
      <c r="R22" s="65">
        <v>645.34226192676022</v>
      </c>
      <c r="S22" s="65">
        <v>619.83797027706578</v>
      </c>
      <c r="T22" s="65">
        <v>598.42945117904901</v>
      </c>
      <c r="U22" s="65">
        <v>580.2867635623827</v>
      </c>
    </row>
    <row r="23" spans="1:21" ht="12.75" customHeight="1" x14ac:dyDescent="0.2">
      <c r="A23" s="64">
        <v>63000</v>
      </c>
      <c r="B23" s="56">
        <v>2032.8327932117616</v>
      </c>
      <c r="C23" s="37">
        <f t="shared" si="1"/>
        <v>1.05</v>
      </c>
      <c r="E23" s="82"/>
      <c r="F23" s="72">
        <f t="shared" si="0"/>
        <v>63000</v>
      </c>
      <c r="G23" s="65">
        <v>5538.7008954906041</v>
      </c>
      <c r="H23" s="65">
        <v>2907.1303592635395</v>
      </c>
      <c r="I23" s="65">
        <v>2032.8327932117616</v>
      </c>
      <c r="J23" s="65">
        <v>1597.842756389073</v>
      </c>
      <c r="K23" s="65">
        <v>1338.5638168099013</v>
      </c>
      <c r="L23" s="65">
        <v>1167.12777987354</v>
      </c>
      <c r="M23" s="65">
        <v>1045.8745936938121</v>
      </c>
      <c r="N23" s="65">
        <v>955.97233816167295</v>
      </c>
      <c r="O23" s="65">
        <v>886.95723169438713</v>
      </c>
      <c r="P23" s="65">
        <v>832.5496423550984</v>
      </c>
      <c r="Q23" s="65">
        <v>788.75228144973971</v>
      </c>
      <c r="R23" s="65">
        <v>752.89930558122035</v>
      </c>
      <c r="S23" s="65">
        <v>723.14429865657678</v>
      </c>
      <c r="T23" s="65">
        <v>698.16769304222385</v>
      </c>
      <c r="U23" s="65">
        <v>677.00122415611315</v>
      </c>
    </row>
    <row r="24" spans="1:21" ht="12.75" customHeight="1" x14ac:dyDescent="0.2">
      <c r="A24" s="64">
        <v>72000</v>
      </c>
      <c r="B24" s="58">
        <v>2323.2374779562988</v>
      </c>
      <c r="C24" s="37">
        <f t="shared" si="1"/>
        <v>1.2</v>
      </c>
      <c r="E24" s="82"/>
      <c r="F24" s="72">
        <f t="shared" si="0"/>
        <v>72000</v>
      </c>
      <c r="G24" s="65">
        <v>6329.9438805606906</v>
      </c>
      <c r="H24" s="65">
        <v>3322.4346963011881</v>
      </c>
      <c r="I24" s="65">
        <v>2323.2374779562988</v>
      </c>
      <c r="J24" s="65">
        <v>1826.1060073017977</v>
      </c>
      <c r="K24" s="65">
        <v>1529.7872192113159</v>
      </c>
      <c r="L24" s="65">
        <v>1333.8603198554745</v>
      </c>
      <c r="M24" s="65">
        <v>1195.2852499357855</v>
      </c>
      <c r="N24" s="65">
        <v>1092.5398150419119</v>
      </c>
      <c r="O24" s="65">
        <v>1013.6654076507282</v>
      </c>
      <c r="P24" s="65">
        <v>951.48530554868387</v>
      </c>
      <c r="Q24" s="65">
        <v>901.43117879970259</v>
      </c>
      <c r="R24" s="65">
        <v>860.45634923568025</v>
      </c>
      <c r="S24" s="65">
        <v>826.45062703608767</v>
      </c>
      <c r="T24" s="65">
        <v>797.90593490539879</v>
      </c>
      <c r="U24" s="65">
        <v>773.7156847498436</v>
      </c>
    </row>
    <row r="25" spans="1:21" ht="12.75" customHeight="1" x14ac:dyDescent="0.2">
      <c r="A25" s="64">
        <v>80999.999999999985</v>
      </c>
      <c r="B25" s="56">
        <v>2613.6421627008358</v>
      </c>
      <c r="C25" s="37">
        <f t="shared" si="1"/>
        <v>1.3499999999999999</v>
      </c>
      <c r="E25" s="82"/>
      <c r="F25" s="72">
        <f t="shared" si="0"/>
        <v>80999.999999999985</v>
      </c>
      <c r="G25" s="65">
        <v>7121.1868656307761</v>
      </c>
      <c r="H25" s="65">
        <v>3737.7390333388362</v>
      </c>
      <c r="I25" s="65">
        <v>2613.6421627008358</v>
      </c>
      <c r="J25" s="65">
        <v>2054.3692582145218</v>
      </c>
      <c r="K25" s="65">
        <v>1721.0106216127299</v>
      </c>
      <c r="L25" s="65">
        <v>1500.5928598374085</v>
      </c>
      <c r="M25" s="65">
        <v>1344.6959061777584</v>
      </c>
      <c r="N25" s="65">
        <v>1229.1072919221508</v>
      </c>
      <c r="O25" s="65">
        <v>1140.3735836070691</v>
      </c>
      <c r="P25" s="65">
        <v>1070.4209687422692</v>
      </c>
      <c r="Q25" s="65">
        <v>1014.1100761496652</v>
      </c>
      <c r="R25" s="65">
        <v>968.01339289014015</v>
      </c>
      <c r="S25" s="65">
        <v>929.75695541559855</v>
      </c>
      <c r="T25" s="65">
        <v>897.64417676857352</v>
      </c>
      <c r="U25" s="65">
        <v>870.43014534357383</v>
      </c>
    </row>
    <row r="26" spans="1:21" ht="12.75" customHeight="1" x14ac:dyDescent="0.2">
      <c r="A26" s="64">
        <v>89999.999999999985</v>
      </c>
      <c r="B26" s="56">
        <v>2904.0468474453733</v>
      </c>
      <c r="C26" s="37">
        <f t="shared" si="1"/>
        <v>1.4999999999999998</v>
      </c>
      <c r="E26" s="82"/>
      <c r="F26" s="72">
        <f t="shared" si="0"/>
        <v>89999.999999999985</v>
      </c>
      <c r="G26" s="65">
        <v>7912.4298507008625</v>
      </c>
      <c r="H26" s="65">
        <v>4153.0433703764847</v>
      </c>
      <c r="I26" s="65">
        <v>2904.0468474453733</v>
      </c>
      <c r="J26" s="65">
        <v>2282.6325091272465</v>
      </c>
      <c r="K26" s="65">
        <v>1912.2340240141446</v>
      </c>
      <c r="L26" s="65">
        <v>1667.3253998193429</v>
      </c>
      <c r="M26" s="65">
        <v>1494.1065624197315</v>
      </c>
      <c r="N26" s="65">
        <v>1365.6747688023897</v>
      </c>
      <c r="O26" s="65">
        <v>1267.0817595634101</v>
      </c>
      <c r="P26" s="65">
        <v>1189.3566319358547</v>
      </c>
      <c r="Q26" s="65">
        <v>1126.7889734996281</v>
      </c>
      <c r="R26" s="65">
        <v>1075.5704365446004</v>
      </c>
      <c r="S26" s="65">
        <v>1033.0632837951096</v>
      </c>
      <c r="T26" s="65">
        <v>997.38241863174835</v>
      </c>
      <c r="U26" s="65">
        <v>967.14460593730439</v>
      </c>
    </row>
    <row r="27" spans="1:21" ht="12.75" customHeight="1" x14ac:dyDescent="0.2">
      <c r="A27" s="64">
        <v>98999.999999999985</v>
      </c>
      <c r="B27" s="58">
        <v>3194.4515321899103</v>
      </c>
      <c r="C27" s="37">
        <f t="shared" si="1"/>
        <v>1.6499999999999997</v>
      </c>
      <c r="E27" s="82"/>
      <c r="F27" s="72">
        <f t="shared" si="0"/>
        <v>98999.999999999985</v>
      </c>
      <c r="G27" s="65">
        <v>8703.672835770949</v>
      </c>
      <c r="H27" s="65">
        <v>4568.3477074141329</v>
      </c>
      <c r="I27" s="65">
        <v>3194.4515321899103</v>
      </c>
      <c r="J27" s="65">
        <v>2510.8957600399713</v>
      </c>
      <c r="K27" s="65">
        <v>2103.457426415559</v>
      </c>
      <c r="L27" s="65">
        <v>1834.0579398012771</v>
      </c>
      <c r="M27" s="65">
        <v>1643.5172186617046</v>
      </c>
      <c r="N27" s="65">
        <v>1502.2422456826287</v>
      </c>
      <c r="O27" s="65">
        <v>1393.789935519751</v>
      </c>
      <c r="P27" s="65">
        <v>1308.2922951294402</v>
      </c>
      <c r="Q27" s="65">
        <v>1239.467870849591</v>
      </c>
      <c r="R27" s="65">
        <v>1183.1274801990601</v>
      </c>
      <c r="S27" s="65">
        <v>1136.3696121746204</v>
      </c>
      <c r="T27" s="65">
        <v>1097.120660494923</v>
      </c>
      <c r="U27" s="65">
        <v>1063.8590665310348</v>
      </c>
    </row>
    <row r="28" spans="1:21" ht="12.75" customHeight="1" x14ac:dyDescent="0.2">
      <c r="A28" s="64">
        <v>107999.99999999997</v>
      </c>
      <c r="B28" s="58">
        <v>3484.8562169344473</v>
      </c>
      <c r="C28" s="37">
        <f t="shared" si="1"/>
        <v>1.7999999999999996</v>
      </c>
      <c r="E28" s="82"/>
      <c r="F28" s="72">
        <f t="shared" si="0"/>
        <v>107999.99999999997</v>
      </c>
      <c r="G28" s="65">
        <v>9494.9158208410336</v>
      </c>
      <c r="H28" s="65">
        <v>4983.652044451781</v>
      </c>
      <c r="I28" s="65">
        <v>3484.8562169344473</v>
      </c>
      <c r="J28" s="65">
        <v>2739.1590109526956</v>
      </c>
      <c r="K28" s="65">
        <v>2294.6808288169732</v>
      </c>
      <c r="L28" s="65">
        <v>2000.7904797832114</v>
      </c>
      <c r="M28" s="65">
        <v>1792.9278749036775</v>
      </c>
      <c r="N28" s="65">
        <v>1638.8097225628674</v>
      </c>
      <c r="O28" s="65">
        <v>1520.4981114760919</v>
      </c>
      <c r="P28" s="65">
        <v>1427.2279583230256</v>
      </c>
      <c r="Q28" s="65">
        <v>1352.1467681995534</v>
      </c>
      <c r="R28" s="65">
        <v>1290.6845238535202</v>
      </c>
      <c r="S28" s="65">
        <v>1239.6759405541313</v>
      </c>
      <c r="T28" s="65">
        <v>1196.8589023580978</v>
      </c>
      <c r="U28" s="65">
        <v>1160.5735271247652</v>
      </c>
    </row>
    <row r="29" spans="1:21" ht="12.75" customHeight="1" x14ac:dyDescent="0.2">
      <c r="A29" s="64">
        <v>116999.99999999997</v>
      </c>
      <c r="B29" s="56">
        <v>3775.2609016789847</v>
      </c>
      <c r="C29" s="37">
        <f t="shared" si="1"/>
        <v>1.9499999999999995</v>
      </c>
      <c r="E29" s="82"/>
      <c r="F29" s="72">
        <f t="shared" si="0"/>
        <v>116999.99999999997</v>
      </c>
      <c r="G29" s="65">
        <v>10286.15880591112</v>
      </c>
      <c r="H29" s="65">
        <v>5398.95638148943</v>
      </c>
      <c r="I29" s="65">
        <v>3775.2609016789847</v>
      </c>
      <c r="J29" s="65">
        <v>2967.4222618654203</v>
      </c>
      <c r="K29" s="65">
        <v>2485.9042312183878</v>
      </c>
      <c r="L29" s="65">
        <v>2167.5230197651454</v>
      </c>
      <c r="M29" s="65">
        <v>1942.3385311456507</v>
      </c>
      <c r="N29" s="65">
        <v>1775.3771994431063</v>
      </c>
      <c r="O29" s="65">
        <v>1647.2062874324329</v>
      </c>
      <c r="P29" s="65">
        <v>1546.1636215166111</v>
      </c>
      <c r="Q29" s="65">
        <v>1464.8256655495163</v>
      </c>
      <c r="R29" s="65">
        <v>1398.2415675079801</v>
      </c>
      <c r="S29" s="65">
        <v>1342.9822689336422</v>
      </c>
      <c r="T29" s="65">
        <v>1296.5971442212726</v>
      </c>
      <c r="U29" s="65">
        <v>1257.2879877184957</v>
      </c>
    </row>
    <row r="30" spans="1:21" ht="12.75" customHeight="1" x14ac:dyDescent="0.2">
      <c r="A30" s="64">
        <v>125999.99999999999</v>
      </c>
      <c r="B30" s="56">
        <v>4065.6655864235227</v>
      </c>
      <c r="C30" s="37">
        <f t="shared" si="1"/>
        <v>2.0999999999999996</v>
      </c>
      <c r="E30" s="82"/>
      <c r="F30" s="72">
        <f t="shared" si="0"/>
        <v>125999.99999999999</v>
      </c>
      <c r="G30" s="65">
        <v>11077.401790981208</v>
      </c>
      <c r="H30" s="65">
        <v>5814.260718527079</v>
      </c>
      <c r="I30" s="65">
        <v>4065.6655864235227</v>
      </c>
      <c r="J30" s="65">
        <v>3195.6855127781455</v>
      </c>
      <c r="K30" s="65">
        <v>2677.1276336198021</v>
      </c>
      <c r="L30" s="65">
        <v>2334.25555974708</v>
      </c>
      <c r="M30" s="65">
        <v>2091.7491873876238</v>
      </c>
      <c r="N30" s="65">
        <v>1911.9446763233457</v>
      </c>
      <c r="O30" s="65">
        <v>1773.914463388774</v>
      </c>
      <c r="P30" s="65">
        <v>1665.0992847101966</v>
      </c>
      <c r="Q30" s="65">
        <v>1577.5045628994792</v>
      </c>
      <c r="R30" s="65">
        <v>1505.7986111624405</v>
      </c>
      <c r="S30" s="65">
        <v>1446.2885973131533</v>
      </c>
      <c r="T30" s="65">
        <v>1396.3353860844477</v>
      </c>
      <c r="U30" s="65">
        <v>1354.0024483122261</v>
      </c>
    </row>
    <row r="31" spans="1:21" ht="12.75" customHeight="1" x14ac:dyDescent="0.2">
      <c r="A31" s="64">
        <v>134999.99999999997</v>
      </c>
      <c r="B31" s="56">
        <v>4356.0702711680597</v>
      </c>
      <c r="C31" s="37">
        <f t="shared" si="1"/>
        <v>2.2499999999999996</v>
      </c>
      <c r="E31" s="82"/>
      <c r="F31" s="72">
        <f t="shared" si="0"/>
        <v>134999.99999999997</v>
      </c>
      <c r="G31" s="65">
        <v>11868.644776051293</v>
      </c>
      <c r="H31" s="65">
        <v>6229.5650555647271</v>
      </c>
      <c r="I31" s="65">
        <v>4356.0702711680597</v>
      </c>
      <c r="J31" s="65">
        <v>3423.9487636908698</v>
      </c>
      <c r="K31" s="65">
        <v>2868.3510360212167</v>
      </c>
      <c r="L31" s="65">
        <v>2500.9880997290143</v>
      </c>
      <c r="M31" s="65">
        <v>2241.1598436295972</v>
      </c>
      <c r="N31" s="65">
        <v>2048.5121532035841</v>
      </c>
      <c r="O31" s="65">
        <v>1900.622639345115</v>
      </c>
      <c r="P31" s="65">
        <v>1784.034947903782</v>
      </c>
      <c r="Q31" s="65">
        <v>1690.1834602494421</v>
      </c>
      <c r="R31" s="65">
        <v>1613.3556548169004</v>
      </c>
      <c r="S31" s="65">
        <v>1549.5949256926642</v>
      </c>
      <c r="T31" s="65">
        <v>1496.0736279476223</v>
      </c>
      <c r="U31" s="65">
        <v>1450.7169089059566</v>
      </c>
    </row>
    <row r="32" spans="1:21" ht="12.75" customHeight="1" x14ac:dyDescent="0.2">
      <c r="A32" s="64">
        <v>143999.99999999997</v>
      </c>
      <c r="B32" s="56">
        <v>4646.4749559125967</v>
      </c>
      <c r="C32" s="37">
        <f t="shared" si="1"/>
        <v>2.3999999999999995</v>
      </c>
      <c r="E32" s="82"/>
      <c r="F32" s="72">
        <f t="shared" si="0"/>
        <v>143999.99999999997</v>
      </c>
      <c r="G32" s="65">
        <v>12659.887761121379</v>
      </c>
      <c r="H32" s="65">
        <v>6644.8693926023752</v>
      </c>
      <c r="I32" s="65">
        <v>4646.4749559125967</v>
      </c>
      <c r="J32" s="65">
        <v>3652.2120146035945</v>
      </c>
      <c r="K32" s="65">
        <v>3059.5744384226309</v>
      </c>
      <c r="L32" s="65">
        <v>2667.7206397109485</v>
      </c>
      <c r="M32" s="65">
        <v>2390.5704998715701</v>
      </c>
      <c r="N32" s="65">
        <v>2185.0796300838228</v>
      </c>
      <c r="O32" s="65">
        <v>2027.3308153014559</v>
      </c>
      <c r="P32" s="65">
        <v>1902.9706110973675</v>
      </c>
      <c r="Q32" s="65">
        <v>1802.862357599405</v>
      </c>
      <c r="R32" s="65">
        <v>1720.9126984713603</v>
      </c>
      <c r="S32" s="65">
        <v>1652.9012540721751</v>
      </c>
      <c r="T32" s="65">
        <v>1595.8118698107971</v>
      </c>
      <c r="U32" s="65">
        <v>1547.4313694996868</v>
      </c>
    </row>
    <row r="33" spans="1:21" ht="12.75" customHeight="1" x14ac:dyDescent="0.2">
      <c r="A33" s="64">
        <v>152999.99999999997</v>
      </c>
      <c r="B33" s="56">
        <v>4936.8796406571346</v>
      </c>
      <c r="C33" s="37">
        <f t="shared" si="1"/>
        <v>2.5499999999999994</v>
      </c>
      <c r="F33" s="72">
        <f t="shared" si="0"/>
        <v>152999.99999999997</v>
      </c>
      <c r="G33" s="65">
        <v>13451.130746191466</v>
      </c>
      <c r="H33" s="65">
        <v>7060.1737296400242</v>
      </c>
      <c r="I33" s="65">
        <v>4936.8796406571346</v>
      </c>
      <c r="J33" s="65">
        <v>3880.4752655163193</v>
      </c>
      <c r="K33" s="65">
        <v>3250.7978408240456</v>
      </c>
      <c r="L33" s="65">
        <v>2834.4531796928823</v>
      </c>
      <c r="M33" s="65">
        <v>2539.9811561135434</v>
      </c>
      <c r="N33" s="65">
        <v>2321.647106964062</v>
      </c>
      <c r="O33" s="65">
        <v>2154.0389912577971</v>
      </c>
      <c r="P33" s="65">
        <v>2021.906274290953</v>
      </c>
      <c r="Q33" s="65">
        <v>1915.5412549493676</v>
      </c>
      <c r="R33" s="65">
        <v>1828.4697421258204</v>
      </c>
      <c r="S33" s="65">
        <v>1756.2075824516862</v>
      </c>
      <c r="T33" s="65">
        <v>1695.550111673972</v>
      </c>
      <c r="U33" s="65">
        <v>1644.1458300934173</v>
      </c>
    </row>
    <row r="34" spans="1:21" ht="12.75" customHeight="1" x14ac:dyDescent="0.2">
      <c r="A34" s="64">
        <v>161999.99999999997</v>
      </c>
      <c r="B34" s="56">
        <v>5227.2843254016716</v>
      </c>
      <c r="C34" s="37">
        <f t="shared" si="1"/>
        <v>2.6999999999999993</v>
      </c>
      <c r="F34" s="72">
        <f t="shared" si="0"/>
        <v>161999.99999999997</v>
      </c>
      <c r="G34" s="65">
        <v>14242.373731261552</v>
      </c>
      <c r="H34" s="65">
        <v>7475.4780666776724</v>
      </c>
      <c r="I34" s="65">
        <v>5227.2843254016716</v>
      </c>
      <c r="J34" s="65">
        <v>4108.7385164290436</v>
      </c>
      <c r="K34" s="65">
        <v>3442.0212432254598</v>
      </c>
      <c r="L34" s="65">
        <v>3001.1857196748169</v>
      </c>
      <c r="M34" s="65">
        <v>2689.3918123555168</v>
      </c>
      <c r="N34" s="65">
        <v>2458.2145838443016</v>
      </c>
      <c r="O34" s="65">
        <v>2280.7471672141382</v>
      </c>
      <c r="P34" s="65">
        <v>2140.8419374845384</v>
      </c>
      <c r="Q34" s="65">
        <v>2028.2201522993305</v>
      </c>
      <c r="R34" s="65">
        <v>1936.0267857802803</v>
      </c>
      <c r="S34" s="65">
        <v>1859.5139108311971</v>
      </c>
      <c r="T34" s="65">
        <v>1795.288353537147</v>
      </c>
      <c r="U34" s="65">
        <v>1740.8602906871477</v>
      </c>
    </row>
    <row r="35" spans="1:21" ht="12.75" customHeight="1" x14ac:dyDescent="0.2">
      <c r="A35" s="64">
        <v>170999.99999999994</v>
      </c>
      <c r="B35" s="56">
        <v>5517.6890101462077</v>
      </c>
      <c r="C35" s="37">
        <f t="shared" si="1"/>
        <v>2.8499999999999992</v>
      </c>
      <c r="F35" s="72">
        <f t="shared" si="0"/>
        <v>170999.99999999994</v>
      </c>
      <c r="G35" s="65">
        <v>15033.616716331635</v>
      </c>
      <c r="H35" s="65">
        <v>7890.7824037153196</v>
      </c>
      <c r="I35" s="65">
        <v>5517.6890101462077</v>
      </c>
      <c r="J35" s="65">
        <v>4337.0017673417678</v>
      </c>
      <c r="K35" s="65">
        <v>3633.244645626874</v>
      </c>
      <c r="L35" s="65">
        <v>3167.9182596567507</v>
      </c>
      <c r="M35" s="65">
        <v>2838.8024685974892</v>
      </c>
      <c r="N35" s="65">
        <v>2594.7820607245399</v>
      </c>
      <c r="O35" s="65">
        <v>2407.4553431704785</v>
      </c>
      <c r="P35" s="65">
        <v>2259.7776006781232</v>
      </c>
      <c r="Q35" s="65">
        <v>2140.8990496492929</v>
      </c>
      <c r="R35" s="65">
        <v>2043.5838294347402</v>
      </c>
      <c r="S35" s="65">
        <v>1962.8202392107078</v>
      </c>
      <c r="T35" s="65">
        <v>1895.0265954003214</v>
      </c>
      <c r="U35" s="65">
        <v>1837.574751280878</v>
      </c>
    </row>
    <row r="36" spans="1:21" ht="12.75" customHeight="1" x14ac:dyDescent="0.2">
      <c r="A36" s="64">
        <v>179999.99999999994</v>
      </c>
      <c r="B36" s="58">
        <v>5808.0936948907456</v>
      </c>
      <c r="C36" s="37">
        <f t="shared" si="1"/>
        <v>2.9999999999999991</v>
      </c>
      <c r="F36" s="72">
        <f t="shared" si="0"/>
        <v>179999.99999999994</v>
      </c>
      <c r="G36" s="65">
        <v>15824.859701401723</v>
      </c>
      <c r="H36" s="65">
        <v>8306.0867407529677</v>
      </c>
      <c r="I36" s="65">
        <v>5808.0936948907456</v>
      </c>
      <c r="J36" s="65">
        <v>4565.2650182544921</v>
      </c>
      <c r="K36" s="65">
        <v>3824.4680480282882</v>
      </c>
      <c r="L36" s="65">
        <v>3334.6507996386854</v>
      </c>
      <c r="M36" s="65">
        <v>2988.2131248394626</v>
      </c>
      <c r="N36" s="65">
        <v>2731.349537604779</v>
      </c>
      <c r="O36" s="65">
        <v>2534.1635191268197</v>
      </c>
      <c r="P36" s="65">
        <v>2378.7132638717089</v>
      </c>
      <c r="Q36" s="65">
        <v>2253.5779469992558</v>
      </c>
      <c r="R36" s="65">
        <v>2151.1408730891999</v>
      </c>
      <c r="S36" s="65">
        <v>2066.1265675902187</v>
      </c>
      <c r="T36" s="65">
        <v>1994.764837263496</v>
      </c>
      <c r="U36" s="65">
        <v>1934.2892118746086</v>
      </c>
    </row>
    <row r="37" spans="1:21" ht="12.75" customHeight="1" x14ac:dyDescent="0.2">
      <c r="A37" s="64">
        <v>188999.99999999994</v>
      </c>
      <c r="B37" s="56">
        <v>6098.4983796352826</v>
      </c>
      <c r="C37" s="37">
        <f t="shared" si="1"/>
        <v>3.149999999999999</v>
      </c>
      <c r="F37" s="72">
        <f t="shared" si="0"/>
        <v>188999.99999999994</v>
      </c>
      <c r="G37" s="65">
        <v>16616.102686471808</v>
      </c>
      <c r="H37" s="65">
        <v>8721.3910777906167</v>
      </c>
      <c r="I37" s="65">
        <v>6098.4983796352826</v>
      </c>
      <c r="J37" s="65">
        <v>4793.5282691672173</v>
      </c>
      <c r="K37" s="65">
        <v>4015.6914504297029</v>
      </c>
      <c r="L37" s="65">
        <v>3501.3833396206192</v>
      </c>
      <c r="M37" s="65">
        <v>3137.6237810814355</v>
      </c>
      <c r="N37" s="65">
        <v>2867.9170144850177</v>
      </c>
      <c r="O37" s="65">
        <v>2660.8716950831604</v>
      </c>
      <c r="P37" s="65">
        <v>2497.6489270652946</v>
      </c>
      <c r="Q37" s="65">
        <v>2366.2568443492187</v>
      </c>
      <c r="R37" s="65">
        <v>2258.6979167436602</v>
      </c>
      <c r="S37" s="65">
        <v>2169.4328959697295</v>
      </c>
      <c r="T37" s="65">
        <v>2094.5030791266709</v>
      </c>
      <c r="U37" s="65">
        <v>2031.0036724683389</v>
      </c>
    </row>
    <row r="38" spans="1:21" ht="12.75" customHeight="1" x14ac:dyDescent="0.2">
      <c r="A38" s="64">
        <v>197999.99999999994</v>
      </c>
      <c r="B38" s="56">
        <v>6388.9030643798196</v>
      </c>
      <c r="C38" s="37">
        <f t="shared" si="1"/>
        <v>3.2999999999999989</v>
      </c>
      <c r="F38" s="72">
        <f t="shared" si="0"/>
        <v>197999.99999999994</v>
      </c>
      <c r="G38" s="65">
        <v>17407.345671541894</v>
      </c>
      <c r="H38" s="65">
        <v>9136.6954148282639</v>
      </c>
      <c r="I38" s="65">
        <v>6388.9030643798196</v>
      </c>
      <c r="J38" s="65">
        <v>5021.7915200799425</v>
      </c>
      <c r="K38" s="65">
        <v>4206.9148528311171</v>
      </c>
      <c r="L38" s="65">
        <v>3668.1158796025538</v>
      </c>
      <c r="M38" s="65">
        <v>3287.0344373234088</v>
      </c>
      <c r="N38" s="65">
        <v>3004.4844913652569</v>
      </c>
      <c r="O38" s="65">
        <v>2787.579871039502</v>
      </c>
      <c r="P38" s="65">
        <v>2616.5845902588799</v>
      </c>
      <c r="Q38" s="65">
        <v>2478.9357416991816</v>
      </c>
      <c r="R38" s="65">
        <v>2366.2549603981201</v>
      </c>
      <c r="S38" s="65">
        <v>2272.7392243492409</v>
      </c>
      <c r="T38" s="65">
        <v>2194.2413209898459</v>
      </c>
      <c r="U38" s="65">
        <v>2127.7181330620692</v>
      </c>
    </row>
    <row r="39" spans="1:21" ht="6.75" customHeight="1" x14ac:dyDescent="0.2">
      <c r="A39" s="80" t="s">
        <v>32</v>
      </c>
      <c r="B39" s="44"/>
      <c r="C39" s="45"/>
      <c r="F39" s="53" t="s">
        <v>27</v>
      </c>
      <c r="G39" s="54">
        <f>IF($B$9="","",$B$9)</f>
        <v>1200</v>
      </c>
      <c r="H39" s="54">
        <f t="shared" ref="H39:U39" si="2">IF($B$9="","",$B$9)</f>
        <v>1200</v>
      </c>
      <c r="I39" s="54">
        <f t="shared" si="2"/>
        <v>1200</v>
      </c>
      <c r="J39" s="54">
        <f t="shared" si="2"/>
        <v>1200</v>
      </c>
      <c r="K39" s="54">
        <f t="shared" si="2"/>
        <v>1200</v>
      </c>
      <c r="L39" s="54">
        <f t="shared" si="2"/>
        <v>1200</v>
      </c>
      <c r="M39" s="54">
        <f t="shared" si="2"/>
        <v>1200</v>
      </c>
      <c r="N39" s="54">
        <f t="shared" si="2"/>
        <v>1200</v>
      </c>
      <c r="O39" s="54">
        <f t="shared" si="2"/>
        <v>1200</v>
      </c>
      <c r="P39" s="54">
        <f t="shared" si="2"/>
        <v>1200</v>
      </c>
      <c r="Q39" s="54">
        <f t="shared" si="2"/>
        <v>1200</v>
      </c>
      <c r="R39" s="54">
        <f t="shared" si="2"/>
        <v>1200</v>
      </c>
      <c r="S39" s="54">
        <f t="shared" si="2"/>
        <v>1200</v>
      </c>
      <c r="T39" s="54">
        <f t="shared" si="2"/>
        <v>1200</v>
      </c>
      <c r="U39" s="54">
        <f t="shared" si="2"/>
        <v>1200</v>
      </c>
    </row>
    <row r="40" spans="1:21" ht="9" customHeight="1" x14ac:dyDescent="0.2">
      <c r="A40" s="81"/>
      <c r="B40" s="44"/>
      <c r="C40" s="45"/>
      <c r="F40" s="53" t="s">
        <v>28</v>
      </c>
      <c r="G40" s="54">
        <f>IF($B$10="","",$B$10)</f>
        <v>1800</v>
      </c>
      <c r="H40" s="54">
        <f t="shared" ref="H40:U40" si="3">IF($B$10="","",$B$10)</f>
        <v>1800</v>
      </c>
      <c r="I40" s="54">
        <f t="shared" si="3"/>
        <v>1800</v>
      </c>
      <c r="J40" s="54">
        <f t="shared" si="3"/>
        <v>1800</v>
      </c>
      <c r="K40" s="54">
        <f t="shared" si="3"/>
        <v>1800</v>
      </c>
      <c r="L40" s="54">
        <f t="shared" si="3"/>
        <v>1800</v>
      </c>
      <c r="M40" s="54">
        <f t="shared" si="3"/>
        <v>1800</v>
      </c>
      <c r="N40" s="54">
        <f t="shared" si="3"/>
        <v>1800</v>
      </c>
      <c r="O40" s="54">
        <f t="shared" si="3"/>
        <v>1800</v>
      </c>
      <c r="P40" s="54">
        <f t="shared" si="3"/>
        <v>1800</v>
      </c>
      <c r="Q40" s="54">
        <f t="shared" si="3"/>
        <v>1800</v>
      </c>
      <c r="R40" s="54">
        <f t="shared" si="3"/>
        <v>1800</v>
      </c>
      <c r="S40" s="54">
        <f t="shared" si="3"/>
        <v>1800</v>
      </c>
      <c r="T40" s="54">
        <f t="shared" si="3"/>
        <v>1800</v>
      </c>
      <c r="U40" s="54">
        <f t="shared" si="3"/>
        <v>1800</v>
      </c>
    </row>
    <row r="41" spans="1:21" ht="38.25" customHeight="1" x14ac:dyDescent="0.2">
      <c r="A41" s="46" t="s">
        <v>29</v>
      </c>
      <c r="B41" s="47" t="s">
        <v>30</v>
      </c>
      <c r="C41" s="48" t="s">
        <v>31</v>
      </c>
      <c r="F41" s="53" t="s">
        <v>33</v>
      </c>
      <c r="G41" s="54">
        <f>IFERROR(VLOOKUP($B$3,$F$18:$U$38,2,1),"")</f>
        <v>4747.4579104205186</v>
      </c>
      <c r="H41" s="54">
        <f>IFERROR(VLOOKUP($B$3,$F$18:$U$38,3,1),"")</f>
        <v>2491.8260222258914</v>
      </c>
      <c r="I41" s="54">
        <f>IFERROR(VLOOKUP($B$3,$F$18:$U$38,4,1),"")</f>
        <v>1742.4281084672241</v>
      </c>
      <c r="J41" s="54">
        <f>IFERROR(VLOOKUP($B$3,$F$18:$U$38,5,1),"")</f>
        <v>1369.5795054763482</v>
      </c>
      <c r="K41" s="54">
        <f>IFERROR(VLOOKUP($B$3,$F$18:$U$38,6,1),"")</f>
        <v>1147.3404144084868</v>
      </c>
      <c r="L41" s="54">
        <f>IFERROR(VLOOKUP($B$3,$F$18:$U$38,7,1),"")</f>
        <v>1000.3952398916059</v>
      </c>
      <c r="M41" s="54">
        <f>IFERROR(VLOOKUP($B$3,$F$18:$U$38,8,1),"")</f>
        <v>896.463937451839</v>
      </c>
      <c r="N41" s="54">
        <f>IFERROR(VLOOKUP($B$3,$F$18:$U$38,9,1),"")</f>
        <v>819.40486128143391</v>
      </c>
      <c r="O41" s="54">
        <f>IFERROR(VLOOKUP($B$3,$F$18:$U$38,10,1),"")</f>
        <v>760.2490557380462</v>
      </c>
      <c r="P41" s="54">
        <f>IFERROR(VLOOKUP($B$3,$F$18:$U$38,11,1),"")</f>
        <v>713.61397916151293</v>
      </c>
      <c r="Q41" s="54">
        <f>IFERROR(VLOOKUP($B$3,$F$18:$U$38,12,1),"")</f>
        <v>676.07338409977694</v>
      </c>
      <c r="R41" s="54">
        <f>IFERROR(VLOOKUP($B$3,$F$18:$U$38,13,1),"")</f>
        <v>645.34226192676022</v>
      </c>
      <c r="S41" s="54">
        <f>IFERROR(VLOOKUP($B$3,$F$18:$U$38,14,1),"")</f>
        <v>619.83797027706578</v>
      </c>
      <c r="T41" s="54">
        <f>IFERROR(VLOOKUP($B$3,$F$18:$U$38,15,1),"")</f>
        <v>598.42945117904901</v>
      </c>
      <c r="U41" s="54">
        <f>IFERROR(VLOOKUP($B$3,$F$18:$U$38,16,1),"")</f>
        <v>580.2867635623827</v>
      </c>
    </row>
    <row r="42" spans="1:21" ht="12.75" hidden="1" customHeight="1" x14ac:dyDescent="0.2">
      <c r="C42" s="35"/>
    </row>
    <row r="43" spans="1:21" ht="12.75" hidden="1" customHeight="1" x14ac:dyDescent="0.2">
      <c r="B43" s="29"/>
      <c r="C43" s="35"/>
    </row>
    <row r="44" spans="1:21" ht="12.75" hidden="1" customHeight="1" x14ac:dyDescent="0.2">
      <c r="B44" s="29"/>
      <c r="C44" s="35"/>
    </row>
    <row r="45" spans="1:21" ht="12.75" hidden="1" customHeight="1" x14ac:dyDescent="0.2">
      <c r="B45" s="29"/>
      <c r="C45" s="36"/>
    </row>
    <row r="46" spans="1:21" ht="12.75" hidden="1" customHeight="1" x14ac:dyDescent="0.2">
      <c r="B46" s="29"/>
      <c r="C46" s="36"/>
    </row>
    <row r="47" spans="1:21" ht="12.75" hidden="1" customHeight="1" x14ac:dyDescent="0.2">
      <c r="B47" s="29"/>
      <c r="C47" s="36"/>
    </row>
    <row r="48" spans="1:21" ht="12.75" hidden="1" customHeight="1" x14ac:dyDescent="0.2">
      <c r="B48" s="29"/>
      <c r="C48" s="36"/>
    </row>
    <row r="49" spans="2:3" ht="12.75" hidden="1" customHeight="1" x14ac:dyDescent="0.2">
      <c r="B49" s="29"/>
      <c r="C49" s="36"/>
    </row>
    <row r="50" spans="2:3" ht="12.75" hidden="1" customHeight="1" x14ac:dyDescent="0.2">
      <c r="C50" s="36"/>
    </row>
    <row r="51" spans="2:3" ht="12.75" hidden="1" customHeight="1" x14ac:dyDescent="0.2">
      <c r="B51" s="29"/>
      <c r="C51" s="36"/>
    </row>
    <row r="52" spans="2:3" ht="12.75" hidden="1" customHeight="1" x14ac:dyDescent="0.2">
      <c r="B52" s="29"/>
      <c r="C52" s="36"/>
    </row>
    <row r="53" spans="2:3" ht="12.75" hidden="1" customHeight="1" x14ac:dyDescent="0.2">
      <c r="C53" s="36"/>
    </row>
    <row r="54" spans="2:3" ht="12.75" hidden="1" customHeight="1" thickBot="1" x14ac:dyDescent="0.25"/>
    <row r="55" spans="2:3" ht="12.75" hidden="1" customHeight="1" thickBot="1" x14ac:dyDescent="0.25"/>
    <row r="56" spans="2:3" ht="12.75" hidden="1" customHeight="1" thickBot="1" x14ac:dyDescent="0.25"/>
    <row r="57" spans="2:3" ht="12.75" hidden="1" customHeight="1" thickBot="1" x14ac:dyDescent="0.25"/>
    <row r="58" spans="2:3" ht="12.75" hidden="1" customHeight="1" thickBot="1" x14ac:dyDescent="0.25"/>
    <row r="59" spans="2:3" ht="12.75" hidden="1" customHeight="1" thickBot="1" x14ac:dyDescent="0.25"/>
    <row r="60" spans="2:3" ht="12.75" hidden="1" customHeight="1" thickBot="1" x14ac:dyDescent="0.25"/>
    <row r="61" spans="2:3" ht="12.75" hidden="1" customHeight="1" thickBot="1" x14ac:dyDescent="0.25"/>
    <row r="62" spans="2:3" ht="12.75" hidden="1" customHeight="1" thickBot="1" x14ac:dyDescent="0.25"/>
    <row r="63" spans="2:3" ht="12.75" hidden="1" customHeight="1" thickBot="1" x14ac:dyDescent="0.25"/>
    <row r="64" spans="2:3" ht="12.75" hidden="1" customHeight="1" thickBot="1" x14ac:dyDescent="0.25"/>
    <row r="65" ht="12.75" hidden="1" customHeight="1" thickBot="1" x14ac:dyDescent="0.25"/>
    <row r="66" ht="12.75" hidden="1" customHeight="1" thickBot="1" x14ac:dyDescent="0.25"/>
    <row r="67" ht="12.75" hidden="1" customHeight="1" thickBot="1" x14ac:dyDescent="0.25"/>
    <row r="68" ht="12.75" hidden="1" customHeight="1" thickBot="1" x14ac:dyDescent="0.25"/>
    <row r="69" ht="12.75" hidden="1" customHeight="1" thickBot="1" x14ac:dyDescent="0.25"/>
    <row r="70" ht="12.75" hidden="1" customHeight="1" thickBot="1" x14ac:dyDescent="0.25"/>
    <row r="71" ht="12.75" hidden="1" customHeight="1" thickBot="1" x14ac:dyDescent="0.25"/>
    <row r="72" ht="12.75" hidden="1" customHeight="1" thickBot="1" x14ac:dyDescent="0.25"/>
    <row r="73" ht="12.75" hidden="1" customHeight="1" thickBot="1" x14ac:dyDescent="0.25"/>
    <row r="74" ht="12.75" hidden="1" customHeight="1" thickBot="1" x14ac:dyDescent="0.25"/>
    <row r="75" ht="12.75" hidden="1" customHeight="1" thickBot="1" x14ac:dyDescent="0.25"/>
    <row r="76" ht="12.75" hidden="1" customHeight="1" thickBot="1" x14ac:dyDescent="0.25"/>
    <row r="77" ht="12.75" hidden="1" customHeight="1" thickBot="1" x14ac:dyDescent="0.25"/>
    <row r="78" ht="12.75" hidden="1" customHeight="1" thickBot="1" x14ac:dyDescent="0.25"/>
    <row r="79" ht="12.75" hidden="1" customHeight="1" thickBot="1" x14ac:dyDescent="0.25"/>
    <row r="80" ht="12.75" hidden="1" customHeight="1" thickBot="1" x14ac:dyDescent="0.25"/>
    <row r="81" ht="12.75" hidden="1" customHeight="1" thickBot="1" x14ac:dyDescent="0.25"/>
    <row r="82" ht="12.75" hidden="1" customHeight="1" thickBot="1" x14ac:dyDescent="0.25"/>
    <row r="83" ht="12.75" hidden="1" customHeight="1" thickBot="1" x14ac:dyDescent="0.25"/>
    <row r="84" ht="12.75" hidden="1" customHeight="1" thickBot="1" x14ac:dyDescent="0.25"/>
    <row r="85" ht="12.75" hidden="1" customHeight="1" thickBot="1" x14ac:dyDescent="0.25"/>
    <row r="86" ht="12.75" hidden="1" customHeight="1" thickBot="1" x14ac:dyDescent="0.25"/>
    <row r="87" ht="12.75" hidden="1" customHeight="1" thickBot="1" x14ac:dyDescent="0.25"/>
    <row r="88" ht="12.75" hidden="1" customHeight="1" thickBot="1" x14ac:dyDescent="0.25"/>
    <row r="89" ht="12.75" hidden="1" customHeight="1" thickBot="1" x14ac:dyDescent="0.25"/>
    <row r="90" ht="12.75" hidden="1" customHeight="1" thickBot="1" x14ac:dyDescent="0.25"/>
    <row r="91" ht="12.75" hidden="1" customHeight="1" thickBot="1" x14ac:dyDescent="0.25"/>
    <row r="92" ht="12.75" hidden="1" customHeight="1" thickBot="1" x14ac:dyDescent="0.25"/>
    <row r="93" ht="12.75" hidden="1" customHeight="1" thickBot="1" x14ac:dyDescent="0.25"/>
    <row r="94" ht="12.75" hidden="1" customHeight="1" thickBot="1" x14ac:dyDescent="0.25"/>
    <row r="95" ht="12.75" hidden="1" customHeight="1" thickBot="1" x14ac:dyDescent="0.25"/>
    <row r="96" ht="12.75" hidden="1" customHeight="1" thickBot="1" x14ac:dyDescent="0.25"/>
    <row r="97" ht="12.75" hidden="1" customHeight="1" thickBot="1" x14ac:dyDescent="0.25"/>
    <row r="98" ht="12.75" hidden="1" customHeight="1" thickBot="1" x14ac:dyDescent="0.25"/>
    <row r="99" ht="12.75" hidden="1" customHeight="1" thickBot="1" x14ac:dyDescent="0.25"/>
    <row r="100" ht="12.75" hidden="1" customHeight="1" thickBot="1" x14ac:dyDescent="0.25"/>
    <row r="101" ht="12.75" hidden="1" customHeight="1" thickBot="1" x14ac:dyDescent="0.25"/>
    <row r="102" ht="12.75" hidden="1" customHeight="1" thickBot="1" x14ac:dyDescent="0.25"/>
    <row r="103" ht="12.75" hidden="1" customHeight="1" thickBot="1" x14ac:dyDescent="0.25"/>
    <row r="104" ht="12.75" hidden="1" customHeight="1" thickBot="1" x14ac:dyDescent="0.25"/>
    <row r="105" ht="12.75" hidden="1" customHeight="1" thickBot="1" x14ac:dyDescent="0.25"/>
    <row r="106" ht="12.75" hidden="1" customHeight="1" thickBot="1" x14ac:dyDescent="0.25"/>
    <row r="107" ht="12.75" hidden="1" customHeight="1" thickBot="1" x14ac:dyDescent="0.25"/>
    <row r="108" ht="12.75" hidden="1" customHeight="1" thickBot="1" x14ac:dyDescent="0.25"/>
    <row r="109" ht="12.75" hidden="1" customHeight="1" thickBot="1" x14ac:dyDescent="0.25"/>
    <row r="110" ht="12.75" hidden="1" customHeight="1" thickBot="1" x14ac:dyDescent="0.25"/>
    <row r="111" ht="12.75" hidden="1" customHeight="1" thickBot="1" x14ac:dyDescent="0.25"/>
  </sheetData>
  <sheetProtection sheet="1" objects="1" scenarios="1" selectLockedCells="1"/>
  <mergeCells count="9">
    <mergeCell ref="A39:A40"/>
    <mergeCell ref="E18:E32"/>
    <mergeCell ref="A15:C15"/>
    <mergeCell ref="A12:A13"/>
    <mergeCell ref="A1:C1"/>
    <mergeCell ref="E1:V1"/>
    <mergeCell ref="A2:C2"/>
    <mergeCell ref="A8:C8"/>
    <mergeCell ref="B3:C3"/>
  </mergeCells>
  <phoneticPr fontId="2" type="noConversion"/>
  <conditionalFormatting sqref="B18:B38">
    <cfRule type="cellIs" dxfId="5" priority="7" operator="between">
      <formula>$B$10</formula>
      <formula>5E+24</formula>
    </cfRule>
    <cfRule type="cellIs" dxfId="4" priority="8" operator="between">
      <formula>$B$9</formula>
      <formula>$B$10</formula>
    </cfRule>
    <cfRule type="cellIs" dxfId="3" priority="9" operator="lessThan">
      <formula>$B$9</formula>
    </cfRule>
  </conditionalFormatting>
  <conditionalFormatting sqref="G18:U38">
    <cfRule type="cellIs" dxfId="2" priority="1" operator="between">
      <formula>$B$10</formula>
      <formula>5E+24</formula>
    </cfRule>
    <cfRule type="cellIs" dxfId="1" priority="2" operator="between">
      <formula>$B$9</formula>
      <formula>$B$10</formula>
    </cfRule>
    <cfRule type="cellIs" dxfId="0" priority="3" operator="lessThan">
      <formula>$B$9</formula>
    </cfRule>
  </conditionalFormatting>
  <pageMargins left="0.25" right="0.25" top="0.75" bottom="0.75" header="0.3" footer="0.3"/>
  <pageSetup paperSize="9" scale="75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What_If">
                <anchor moveWithCells="1" sizeWithCells="1">
                  <from>
                    <xdr:col>2</xdr:col>
                    <xdr:colOff>142875</xdr:colOff>
                    <xdr:row>13</xdr:row>
                    <xdr:rowOff>28575</xdr:rowOff>
                  </from>
                  <to>
                    <xdr:col>2</xdr:col>
                    <xdr:colOff>1295400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lear_Data">
                <anchor moveWithCells="1" sizeWithCells="1">
                  <from>
                    <xdr:col>1</xdr:col>
                    <xdr:colOff>0</xdr:colOff>
                    <xdr:row>13</xdr:row>
                    <xdr:rowOff>28575</xdr:rowOff>
                  </from>
                  <to>
                    <xdr:col>2</xdr:col>
                    <xdr:colOff>95250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Full_screen">
                <anchor moveWithCells="1" sizeWithCells="1">
                  <from>
                    <xdr:col>4</xdr:col>
                    <xdr:colOff>28575</xdr:colOff>
                    <xdr:row>0</xdr:row>
                    <xdr:rowOff>38100</xdr:rowOff>
                  </from>
                  <to>
                    <xdr:col>6</xdr:col>
                    <xdr:colOff>495300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723E-4DC8-4C29-A282-18AD610B603E}">
  <sheetPr codeName="Sheet3"/>
  <dimension ref="D4:F9"/>
  <sheetViews>
    <sheetView workbookViewId="0">
      <selection activeCell="D4" sqref="D4:F9"/>
    </sheetView>
  </sheetViews>
  <sheetFormatPr defaultRowHeight="12.75" x14ac:dyDescent="0.2"/>
  <sheetData>
    <row r="4" spans="4:6" x14ac:dyDescent="0.2">
      <c r="D4" s="13" t="s">
        <v>15</v>
      </c>
      <c r="E4" s="18">
        <v>12</v>
      </c>
      <c r="F4" s="13"/>
    </row>
    <row r="5" spans="4:6" x14ac:dyDescent="0.2">
      <c r="D5" s="13"/>
      <c r="E5" s="13"/>
      <c r="F5" s="13"/>
    </row>
    <row r="6" spans="4:6" x14ac:dyDescent="0.2">
      <c r="D6" s="13"/>
      <c r="E6" s="17" t="s">
        <v>16</v>
      </c>
      <c r="F6" s="17" t="s">
        <v>17</v>
      </c>
    </row>
    <row r="7" spans="4:6" x14ac:dyDescent="0.2">
      <c r="D7" s="13">
        <v>1</v>
      </c>
      <c r="E7" s="17">
        <f>$E$4*D7+0.5</f>
        <v>12.5</v>
      </c>
      <c r="F7" s="17">
        <v>0</v>
      </c>
    </row>
    <row r="8" spans="4:6" x14ac:dyDescent="0.2">
      <c r="D8" s="13">
        <v>2</v>
      </c>
      <c r="E8" s="17">
        <f>$E$4*D8+0.5</f>
        <v>24.5</v>
      </c>
      <c r="F8" s="17">
        <v>0</v>
      </c>
    </row>
    <row r="9" spans="4:6" x14ac:dyDescent="0.2">
      <c r="D9" s="13">
        <v>3</v>
      </c>
      <c r="E9" s="17">
        <f>$E$4*D9+0.5</f>
        <v>36.5</v>
      </c>
      <c r="F9" s="1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What If Analysis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2020-12-14T19:19:50Z</cp:lastPrinted>
  <dcterms:created xsi:type="dcterms:W3CDTF">1901-01-01T04:00:00Z</dcterms:created>
  <dcterms:modified xsi:type="dcterms:W3CDTF">2024-09-20T12:11:22Z</dcterms:modified>
</cp:coreProperties>
</file>