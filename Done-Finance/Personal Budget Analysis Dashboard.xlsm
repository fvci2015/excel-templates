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yash_jain_vesu\Future_Vision\books\advance_excel\NEW-FILES-PROJECTS\100+ Premium Excel Templates\Finance\"/>
    </mc:Choice>
  </mc:AlternateContent>
  <xr:revisionPtr revIDLastSave="0" documentId="13_ncr:1_{049B72CA-9BB9-4DB8-97BA-722587F21B9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troduction" sheetId="5" r:id="rId1"/>
    <sheet name="Personal Budget Analysis" sheetId="7" r:id="rId2"/>
  </sheets>
  <definedNames>
    <definedName name="Expenselist">IF('Personal Budget Analysis'!$O$30="",OFFSET('Personal Budget Analysis'!$O$30,0,0,COUNT(Expenses[Total])+1),OFFSET('Personal Budget Analysis'!$O$30,0,0,COUNT(Expenses[Total])))</definedName>
    <definedName name="Incomelist">IF('Personal Budget Analysis'!$O$12="",OFFSET('Personal Budget Analysis'!$O$12,0,0,COUNT(Income[Total])+1),OFFSET('Personal Budget Analysis'!$O$12,0,0,COUNT(Income[Total])))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0" i="7" l="1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J45" i="7" l="1"/>
  <c r="J6" i="7" s="1"/>
  <c r="D45" i="7"/>
  <c r="D6" i="7" s="1"/>
  <c r="F45" i="7"/>
  <c r="F6" i="7" s="1"/>
  <c r="L45" i="7"/>
  <c r="L6" i="7" s="1"/>
  <c r="N45" i="7"/>
  <c r="N6" i="7" s="1"/>
  <c r="M45" i="7"/>
  <c r="M6" i="7" s="1"/>
  <c r="P35" i="7"/>
  <c r="P36" i="7"/>
  <c r="P37" i="7"/>
  <c r="P38" i="7"/>
  <c r="P39" i="7"/>
  <c r="P40" i="7"/>
  <c r="P41" i="7"/>
  <c r="P43" i="7"/>
  <c r="P44" i="7"/>
  <c r="C27" i="7"/>
  <c r="C5" i="7" s="1"/>
  <c r="K27" i="7"/>
  <c r="K5" i="7" s="1"/>
  <c r="F27" i="7"/>
  <c r="F5" i="7" s="1"/>
  <c r="K45" i="7"/>
  <c r="K6" i="7" s="1"/>
  <c r="H45" i="7"/>
  <c r="H6" i="7" s="1"/>
  <c r="G45" i="7"/>
  <c r="G6" i="7" s="1"/>
  <c r="C45" i="7"/>
  <c r="C6" i="7" s="1"/>
  <c r="D27" i="7"/>
  <c r="D5" i="7" s="1"/>
  <c r="G27" i="7"/>
  <c r="G5" i="7" s="1"/>
  <c r="H27" i="7"/>
  <c r="H5" i="7" s="1"/>
  <c r="L27" i="7"/>
  <c r="L5" i="7" s="1"/>
  <c r="P15" i="7" l="1"/>
  <c r="J27" i="7"/>
  <c r="N27" i="7"/>
  <c r="I27" i="7"/>
  <c r="I5" i="7" s="1"/>
  <c r="P24" i="7"/>
  <c r="P20" i="7"/>
  <c r="P18" i="7"/>
  <c r="P17" i="7"/>
  <c r="P13" i="7"/>
  <c r="M27" i="7"/>
  <c r="E27" i="7"/>
  <c r="E5" i="7" s="1"/>
  <c r="P31" i="7"/>
  <c r="P23" i="7"/>
  <c r="P30" i="7"/>
  <c r="P34" i="7"/>
  <c r="P22" i="7"/>
  <c r="P42" i="7"/>
  <c r="P26" i="7"/>
  <c r="P16" i="7"/>
  <c r="E45" i="7"/>
  <c r="E6" i="7" s="1"/>
  <c r="P25" i="7"/>
  <c r="P14" i="7"/>
  <c r="P19" i="7"/>
  <c r="P33" i="7"/>
  <c r="I45" i="7"/>
  <c r="I6" i="7" s="1"/>
  <c r="P32" i="7"/>
  <c r="P12" i="7"/>
  <c r="P21" i="7"/>
  <c r="K7" i="7"/>
  <c r="H7" i="7"/>
  <c r="F7" i="7"/>
  <c r="G7" i="7"/>
  <c r="D7" i="7"/>
  <c r="L7" i="7"/>
  <c r="C7" i="7"/>
  <c r="C8" i="7"/>
  <c r="D8" i="7" s="1"/>
  <c r="D9" i="7" s="1"/>
  <c r="I7" i="7" l="1"/>
  <c r="P45" i="7"/>
  <c r="O45" i="7"/>
  <c r="M5" i="7"/>
  <c r="M7" i="7" s="1"/>
  <c r="J5" i="7"/>
  <c r="J7" i="7" s="1"/>
  <c r="N5" i="7"/>
  <c r="N7" i="7" s="1"/>
  <c r="O6" i="7"/>
  <c r="P6" i="7"/>
  <c r="E8" i="7"/>
  <c r="P27" i="7"/>
  <c r="O27" i="7"/>
  <c r="E7" i="7"/>
  <c r="F8" i="7" l="1"/>
  <c r="F9" i="7" s="1"/>
  <c r="E9" i="7"/>
  <c r="P7" i="7"/>
  <c r="O5" i="7"/>
  <c r="O7" i="7"/>
  <c r="P5" i="7"/>
  <c r="G8" i="7" l="1"/>
  <c r="G9" i="7" s="1"/>
  <c r="H8" i="7" l="1"/>
  <c r="H9" i="7" s="1"/>
  <c r="I8" i="7" l="1"/>
  <c r="I9" i="7" s="1"/>
  <c r="J8" i="7" l="1"/>
  <c r="J9" i="7" s="1"/>
  <c r="K8" i="7" l="1"/>
  <c r="K9" i="7" s="1"/>
  <c r="L8" i="7" l="1"/>
  <c r="L9" i="7" s="1"/>
  <c r="M8" i="7" l="1"/>
  <c r="M9" i="7" s="1"/>
  <c r="N8" i="7" l="1"/>
  <c r="O9" i="7" l="1"/>
  <c r="N9" i="7"/>
</calcChain>
</file>

<file path=xl/sharedStrings.xml><?xml version="1.0" encoding="utf-8"?>
<sst xmlns="http://schemas.openxmlformats.org/spreadsheetml/2006/main" count="116" uniqueCount="84">
  <si>
    <t>Navigation</t>
  </si>
  <si>
    <t>Title</t>
  </si>
  <si>
    <t>Content</t>
  </si>
  <si>
    <t>Customization difficulty (1-3)</t>
  </si>
  <si>
    <t>Explanation of sheets</t>
  </si>
  <si>
    <t>How to customize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</si>
  <si>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</si>
  <si>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</si>
  <si>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</si>
  <si>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</si>
  <si>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</si>
  <si>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</si>
  <si>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</si>
  <si>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</si>
  <si>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</si>
  <si>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Total</t>
  </si>
  <si>
    <t>Personal Budget Analysis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</si>
  <si>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</si>
  <si>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</si>
  <si>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</si>
  <si>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</si>
  <si>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</si>
  <si>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</si>
  <si>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</si>
  <si>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</si>
  <si>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</si>
  <si>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</si>
  <si>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</si>
  <si>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</si>
  <si>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 Income</t>
  </si>
  <si>
    <t>Total Expenses</t>
  </si>
  <si>
    <t>Net Balance</t>
  </si>
  <si>
    <t>Accumulated Balance</t>
  </si>
  <si>
    <t>Avg</t>
  </si>
  <si>
    <t>Overall Budget</t>
  </si>
  <si>
    <t>Income List</t>
  </si>
  <si>
    <t>Expenses List</t>
  </si>
  <si>
    <t>Wages &amp; Tips</t>
  </si>
  <si>
    <t>Interest Income</t>
  </si>
  <si>
    <t>Dividends</t>
  </si>
  <si>
    <t>Gifts Received</t>
  </si>
  <si>
    <t>Refunds/Reimbursements</t>
  </si>
  <si>
    <t>Transfer From Savings</t>
  </si>
  <si>
    <t>Other</t>
  </si>
  <si>
    <t>Mortgage/Rent</t>
  </si>
  <si>
    <t>Home/Rental Insurance</t>
  </si>
  <si>
    <t>Electricity</t>
  </si>
  <si>
    <t>Gas/Oil</t>
  </si>
  <si>
    <t>Water/Sewer/Trash</t>
  </si>
  <si>
    <t>Phone</t>
  </si>
  <si>
    <t>Cable/Satellite</t>
  </si>
  <si>
    <t>Internet</t>
  </si>
  <si>
    <t>Furnishings/Appliances</t>
  </si>
  <si>
    <t>Starting Balance---&gt;</t>
  </si>
  <si>
    <t>Is an itemized list of expected income and expenses that helps you to plan for how your money will be spent or saved</t>
  </si>
  <si>
    <t>Incomes</t>
  </si>
  <si>
    <t>Expenses</t>
  </si>
  <si>
    <t>Is a specific type of budget that only shows how and where money is earned</t>
  </si>
  <si>
    <t>Is the spending of money in personal needs or family requirements</t>
  </si>
  <si>
    <t>Through this sheet you will record your monthly income / expenses and publish helpful charts for budget data analysis</t>
  </si>
  <si>
    <t xml:space="preserve">From Personal Budget Analysis sheets in above area add your initial balance </t>
  </si>
  <si>
    <t>In below area you can see two tables " Income List" and "Expenses List"</t>
  </si>
  <si>
    <t>At income list sort out all income fields in left green column</t>
  </si>
  <si>
    <t>Then at table core start to record your monthly income for each income category</t>
  </si>
  <si>
    <t>Apply same step 3,4 for Expenses table</t>
  </si>
  <si>
    <t>In above table "Overall budget table" net and accumulated balance will be calculated according to your data recording</t>
  </si>
  <si>
    <t>Budget analysis and graphs will be calculated automatically</t>
  </si>
  <si>
    <t>Area graph will show you your accumulated monthly saving and monthly gap between income and expenses</t>
  </si>
  <si>
    <t>Also you can see Pie and Bar charts For all income and expenses categories</t>
  </si>
  <si>
    <t>10)</t>
  </si>
  <si>
    <t>Growth------&gt;</t>
  </si>
  <si>
    <t>Related To Online Templates</t>
  </si>
  <si>
    <t>Our templates is compatible with online service but some templates that including macros feature is still not supported with Excel Online</t>
  </si>
  <si>
    <t>Here is some hints that replace our macros in case of using Online Template</t>
  </si>
  <si>
    <t>Referesh / Update Data</t>
  </si>
  <si>
    <r>
      <t xml:space="preserve">Some of our templates include </t>
    </r>
    <r>
      <rPr>
        <b/>
        <sz val="10"/>
        <color theme="1"/>
        <rFont val="Arial"/>
        <family val="2"/>
      </rPr>
      <t xml:space="preserve">Referesh/Update data </t>
    </r>
    <r>
      <rPr>
        <sz val="10"/>
        <color theme="1"/>
        <rFont val="Arial"/>
        <family val="2"/>
      </rPr>
      <t>macro button that can be replaced with Referesh All tool in Excel Online ribbon</t>
    </r>
  </si>
  <si>
    <t>Full Screen</t>
  </si>
  <si>
    <r>
      <t xml:space="preserve">Some of our templates have </t>
    </r>
    <r>
      <rPr>
        <b/>
        <sz val="10"/>
        <color theme="1"/>
        <rFont val="Arial"/>
        <family val="2"/>
      </rPr>
      <t xml:space="preserve">Full Screen </t>
    </r>
    <r>
      <rPr>
        <sz val="10"/>
        <color theme="1"/>
        <rFont val="Arial"/>
        <family val="2"/>
      </rPr>
      <t xml:space="preserve">macro button that can be replaced with the itself web browser full screen tool </t>
    </r>
  </si>
  <si>
    <r>
      <t xml:space="preserve">Other macros is applied on less than ~15% of our templats can be overcome by transferring to Desktop App </t>
    </r>
    <r>
      <rPr>
        <b/>
        <sz val="10"/>
        <color theme="1"/>
        <rFont val="Arial"/>
        <family val="2"/>
      </rPr>
      <t>"Open in Desktop App"</t>
    </r>
    <r>
      <rPr>
        <sz val="10"/>
        <color theme="1"/>
        <rFont val="Arial"/>
        <family val="2"/>
      </rPr>
      <t xml:space="preserve"> button</t>
    </r>
  </si>
  <si>
    <t>Other Macros / Buttons</t>
  </si>
  <si>
    <t>Open in Desktop App</t>
  </si>
  <si>
    <t>To open online template using Desktop App be sure that you signed in to your Microsoft account / Onedrive account</t>
  </si>
  <si>
    <t>Personal Budget Analysis - Dashboard</t>
  </si>
  <si>
    <t>Personal Budget Analysis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</si>
</sst>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21" x14ac:knownFonts="1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color theme="0"/>
      <name val="Arial"/>
      <family val="2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i/>
      <u/>
      <sz val="10"/>
      <color theme="1"/>
      <name val="Arial"/>
      <family val="2"/>
    </font>
    <font>
      <b/>
      <u/>
      <sz val="10"/>
      <color theme="1"/>
      <name val="Arial"/>
      <family val="2"/>
    </font>
    <font>
      <sz val="10"/>
      <color theme="1" tint="0.34998626667073579"/>
      <name val="Arial"/>
      <family val="2"/>
    </font>
    <font>
      <u/>
      <sz val="10"/>
      <color theme="0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12"/>
      <color theme="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u/>
      <sz val="1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50B47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FCFAD"/>
        <bgColor indexed="64"/>
      </patternFill>
    </fill>
    <fill>
      <patternFill patternType="solid">
        <fgColor rgb="FFE2F2E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55A57"/>
        <bgColor indexed="64"/>
      </patternFill>
    </fill>
  </fills>
  <borders count="2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/>
      <top/>
      <bottom style="medium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9" fillId="0" borderId="0" applyNumberFormat="0" applyFill="0" applyBorder="0" applyAlignment="0" applyProtection="0"/>
    <xf numFmtId="0" fontId="6" fillId="0" borderId="0"/>
    <xf numFmtId="164" fontId="15" fillId="0" borderId="0" applyFont="0" applyFill="0" applyBorder="0" applyAlignment="0" applyProtection="0"/>
    <xf numFmtId="9" fontId="19" fillId="0" borderId="0" applyFont="0" applyFill="0" applyBorder="0" applyAlignment="0" applyProtection="0"/>
  </cellStyleXfs>
  <cellXfs count="73">
    <xf numFmtId="0" fontId="0" fillId="0" borderId="0" xfId="0"/>
    <xf numFmtId="0" fontId="6" fillId="0" borderId="0" xfId="2" applyFont="1"/>
    <xf numFmtId="0" fontId="6" fillId="2" borderId="0" xfId="2" applyFont="1" applyFill="1"/>
    <xf numFmtId="0" fontId="7" fillId="0" borderId="0" xfId="2" applyFont="1"/>
    <xf numFmtId="0" fontId="8" fillId="2" borderId="0" xfId="2" applyFont="1" applyFill="1"/>
    <xf numFmtId="0" fontId="4" fillId="2" borderId="0" xfId="2" applyFont="1" applyFill="1"/>
    <xf numFmtId="0" fontId="10" fillId="2" borderId="0" xfId="3" applyFont="1" applyFill="1"/>
    <xf numFmtId="0" fontId="5" fillId="2" borderId="0" xfId="3" applyFont="1" applyFill="1"/>
    <xf numFmtId="0" fontId="11" fillId="0" borderId="0" xfId="2" applyFont="1" applyAlignment="1">
      <alignment horizontal="right"/>
    </xf>
    <xf numFmtId="0" fontId="7" fillId="0" borderId="0" xfId="4" applyFont="1"/>
    <xf numFmtId="0" fontId="12" fillId="0" borderId="0" xfId="2" applyFont="1" applyAlignment="1">
      <alignment horizontal="right"/>
    </xf>
    <xf numFmtId="0" fontId="6" fillId="0" borderId="0" xfId="2" applyFont="1" applyAlignment="1">
      <alignment horizontal="right"/>
    </xf>
    <xf numFmtId="0" fontId="14" fillId="2" borderId="0" xfId="1" applyFont="1" applyFill="1" applyAlignment="1" applyProtection="1"/>
    <xf numFmtId="0" fontId="4" fillId="3" borderId="5" xfId="0" applyFont="1" applyFill="1" applyBorder="1"/>
    <xf numFmtId="0" fontId="4" fillId="3" borderId="8" xfId="0" applyFont="1" applyFill="1" applyBorder="1"/>
    <xf numFmtId="0" fontId="6" fillId="0" borderId="0" xfId="0" applyFont="1"/>
    <xf numFmtId="165" fontId="13" fillId="4" borderId="6" xfId="5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5" borderId="12" xfId="0" applyFont="1" applyFill="1" applyBorder="1" applyAlignment="1">
      <alignment horizontal="center" vertical="center"/>
    </xf>
    <xf numFmtId="0" fontId="4" fillId="5" borderId="13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 vertical="center"/>
    </xf>
    <xf numFmtId="165" fontId="7" fillId="4" borderId="7" xfId="5" applyNumberFormat="1" applyFont="1" applyFill="1" applyBorder="1" applyAlignment="1">
      <alignment horizontal="center"/>
    </xf>
    <xf numFmtId="0" fontId="7" fillId="5" borderId="14" xfId="0" applyFont="1" applyFill="1" applyBorder="1" applyAlignment="1">
      <alignment horizontal="center" vertical="center"/>
    </xf>
    <xf numFmtId="0" fontId="7" fillId="5" borderId="15" xfId="0" applyFont="1" applyFill="1" applyBorder="1" applyAlignment="1">
      <alignment horizontal="center" vertical="center"/>
    </xf>
    <xf numFmtId="165" fontId="7" fillId="6" borderId="7" xfId="5" applyNumberFormat="1" applyFont="1" applyFill="1" applyBorder="1" applyAlignment="1">
      <alignment horizontal="center"/>
    </xf>
    <xf numFmtId="165" fontId="7" fillId="6" borderId="11" xfId="5" applyNumberFormat="1" applyFont="1" applyFill="1" applyBorder="1" applyAlignment="1">
      <alignment horizontal="center"/>
    </xf>
    <xf numFmtId="165" fontId="7" fillId="5" borderId="18" xfId="0" applyNumberFormat="1" applyFont="1" applyFill="1" applyBorder="1" applyAlignment="1">
      <alignment horizontal="center"/>
    </xf>
    <xf numFmtId="165" fontId="7" fillId="5" borderId="19" xfId="0" applyNumberFormat="1" applyFont="1" applyFill="1" applyBorder="1" applyAlignment="1">
      <alignment horizontal="center"/>
    </xf>
    <xf numFmtId="165" fontId="6" fillId="0" borderId="1" xfId="5" applyNumberFormat="1" applyFont="1" applyBorder="1" applyAlignment="1" applyProtection="1">
      <protection locked="0"/>
    </xf>
    <xf numFmtId="0" fontId="4" fillId="5" borderId="17" xfId="0" applyFont="1" applyFill="1" applyBorder="1" applyProtection="1">
      <protection locked="0"/>
    </xf>
    <xf numFmtId="165" fontId="13" fillId="6" borderId="6" xfId="5" applyNumberFormat="1" applyFont="1" applyFill="1" applyBorder="1" applyAlignment="1" applyProtection="1">
      <alignment horizontal="center"/>
      <protection locked="0"/>
    </xf>
    <xf numFmtId="165" fontId="13" fillId="6" borderId="7" xfId="5" applyNumberFormat="1" applyFont="1" applyFill="1" applyBorder="1" applyAlignment="1" applyProtection="1">
      <alignment horizontal="center"/>
      <protection locked="0"/>
    </xf>
    <xf numFmtId="0" fontId="4" fillId="5" borderId="16" xfId="0" applyFont="1" applyFill="1" applyBorder="1" applyProtection="1">
      <protection locked="0"/>
    </xf>
    <xf numFmtId="165" fontId="13" fillId="6" borderId="9" xfId="5" applyNumberFormat="1" applyFont="1" applyFill="1" applyBorder="1" applyAlignment="1" applyProtection="1">
      <alignment horizontal="center"/>
      <protection locked="0"/>
    </xf>
    <xf numFmtId="165" fontId="13" fillId="6" borderId="10" xfId="5" applyNumberFormat="1" applyFont="1" applyFill="1" applyBorder="1" applyAlignment="1" applyProtection="1">
      <alignment horizontal="center"/>
      <protection locked="0"/>
    </xf>
    <xf numFmtId="0" fontId="7" fillId="0" borderId="0" xfId="2" applyFont="1" applyAlignment="1">
      <alignment horizontal="right"/>
    </xf>
    <xf numFmtId="165" fontId="4" fillId="5" borderId="18" xfId="0" applyNumberFormat="1" applyFont="1" applyFill="1" applyBorder="1" applyAlignment="1">
      <alignment horizontal="center"/>
    </xf>
    <xf numFmtId="165" fontId="4" fillId="3" borderId="9" xfId="5" applyNumberFormat="1" applyFont="1" applyFill="1" applyBorder="1" applyAlignment="1">
      <alignment horizontal="center"/>
    </xf>
    <xf numFmtId="9" fontId="0" fillId="0" borderId="0" xfId="6" applyFont="1"/>
    <xf numFmtId="165" fontId="8" fillId="3" borderId="18" xfId="5" applyNumberFormat="1" applyFont="1" applyFill="1" applyBorder="1" applyAlignment="1">
      <alignment horizontal="center"/>
    </xf>
    <xf numFmtId="0" fontId="15" fillId="0" borderId="21" xfId="0" applyFont="1" applyBorder="1"/>
    <xf numFmtId="165" fontId="13" fillId="7" borderId="6" xfId="5" applyNumberFormat="1" applyFont="1" applyFill="1" applyBorder="1" applyAlignment="1" applyProtection="1">
      <alignment horizontal="center"/>
      <protection locked="0"/>
    </xf>
    <xf numFmtId="165" fontId="13" fillId="7" borderId="7" xfId="5" applyNumberFormat="1" applyFont="1" applyFill="1" applyBorder="1" applyAlignment="1" applyProtection="1">
      <alignment horizontal="center"/>
      <protection locked="0"/>
    </xf>
    <xf numFmtId="165" fontId="7" fillId="7" borderId="7" xfId="5" applyNumberFormat="1" applyFont="1" applyFill="1" applyBorder="1" applyAlignment="1">
      <alignment horizontal="center"/>
    </xf>
    <xf numFmtId="165" fontId="7" fillId="7" borderId="11" xfId="5" applyNumberFormat="1" applyFont="1" applyFill="1" applyBorder="1" applyAlignment="1">
      <alignment horizontal="center"/>
    </xf>
    <xf numFmtId="165" fontId="7" fillId="7" borderId="6" xfId="5" applyNumberFormat="1" applyFont="1" applyFill="1" applyBorder="1" applyAlignment="1">
      <alignment horizontal="center"/>
    </xf>
    <xf numFmtId="165" fontId="13" fillId="7" borderId="9" xfId="5" applyNumberFormat="1" applyFont="1" applyFill="1" applyBorder="1" applyAlignment="1" applyProtection="1">
      <alignment horizontal="center"/>
      <protection locked="0"/>
    </xf>
    <xf numFmtId="165" fontId="13" fillId="7" borderId="10" xfId="5" applyNumberFormat="1" applyFont="1" applyFill="1" applyBorder="1" applyAlignment="1" applyProtection="1">
      <alignment horizontal="center"/>
      <protection locked="0"/>
    </xf>
    <xf numFmtId="0" fontId="16" fillId="8" borderId="12" xfId="0" applyFont="1" applyFill="1" applyBorder="1" applyAlignment="1">
      <alignment horizontal="center" vertical="center"/>
    </xf>
    <xf numFmtId="0" fontId="4" fillId="8" borderId="13" xfId="0" applyFont="1" applyFill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/>
    </xf>
    <xf numFmtId="0" fontId="7" fillId="8" borderId="14" xfId="0" applyFont="1" applyFill="1" applyBorder="1" applyAlignment="1">
      <alignment horizontal="center" vertical="center"/>
    </xf>
    <xf numFmtId="0" fontId="7" fillId="8" borderId="15" xfId="0" applyFont="1" applyFill="1" applyBorder="1" applyAlignment="1">
      <alignment horizontal="center" vertical="center"/>
    </xf>
    <xf numFmtId="0" fontId="4" fillId="8" borderId="17" xfId="0" applyFont="1" applyFill="1" applyBorder="1" applyProtection="1">
      <protection locked="0"/>
    </xf>
    <xf numFmtId="0" fontId="4" fillId="8" borderId="16" xfId="0" applyFont="1" applyFill="1" applyBorder="1" applyProtection="1">
      <protection locked="0"/>
    </xf>
    <xf numFmtId="0" fontId="4" fillId="8" borderId="12" xfId="0" applyFont="1" applyFill="1" applyBorder="1" applyProtection="1">
      <protection locked="0"/>
    </xf>
    <xf numFmtId="0" fontId="4" fillId="8" borderId="17" xfId="0" applyFont="1" applyFill="1" applyBorder="1" applyAlignment="1">
      <alignment horizontal="center"/>
    </xf>
    <xf numFmtId="165" fontId="4" fillId="8" borderId="18" xfId="0" applyNumberFormat="1" applyFont="1" applyFill="1" applyBorder="1" applyAlignment="1">
      <alignment horizontal="center"/>
    </xf>
    <xf numFmtId="165" fontId="7" fillId="8" borderId="18" xfId="0" applyNumberFormat="1" applyFont="1" applyFill="1" applyBorder="1" applyAlignment="1">
      <alignment horizontal="center"/>
    </xf>
    <xf numFmtId="165" fontId="7" fillId="8" borderId="19" xfId="0" applyNumberFormat="1" applyFont="1" applyFill="1" applyBorder="1" applyAlignment="1">
      <alignment horizontal="center"/>
    </xf>
    <xf numFmtId="0" fontId="7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right"/>
    </xf>
    <xf numFmtId="0" fontId="6" fillId="0" borderId="0" xfId="4"/>
    <xf numFmtId="0" fontId="3" fillId="0" borderId="0" xfId="1" applyAlignment="1" applyProtection="1"/>
    <xf numFmtId="0" fontId="17" fillId="2" borderId="20" xfId="0" applyFont="1" applyFill="1" applyBorder="1" applyAlignment="1">
      <alignment horizontal="center" vertical="center"/>
    </xf>
    <xf numFmtId="9" fontId="20" fillId="4" borderId="0" xfId="6" applyFont="1" applyFill="1" applyBorder="1" applyAlignment="1">
      <alignment horizontal="center"/>
    </xf>
  </cellXfs>
  <cellStyles count="7">
    <cellStyle name="Comma" xfId="5" builtinId="3"/>
    <cellStyle name="Hyperlink" xfId="1" builtinId="8"/>
    <cellStyle name="Hyperlink 2" xfId="3" xr:uid="{D0C469F9-1DFE-4E96-9222-F5C6E60C0113}"/>
    <cellStyle name="Normal" xfId="0" builtinId="0"/>
    <cellStyle name="Normal 2" xfId="2" xr:uid="{4ECE8E6A-28E9-4710-9235-23CE4B3B11A1}"/>
    <cellStyle name="Normal 2 2" xfId="4" xr:uid="{EB2EEF92-C657-401D-8170-F27A72E1E815}"/>
    <cellStyle name="Percent" xfId="6" builtinId="5"/>
  </cellStyles>
  <dxfs count="7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C55A5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/>
        <top style="thin">
          <color theme="0" tint="-0.14993743705557422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C55A5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6795556505021"/>
        </right>
        <top style="thin">
          <color theme="0" tint="-0.14993743705557422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C55A5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6795556505021"/>
        </right>
        <top style="thin">
          <color theme="0" tint="-0.149937437055574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C55A5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6795556505021"/>
        </right>
        <top style="thin">
          <color theme="0" tint="-0.149937437055574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C55A5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6795556505021"/>
        </right>
        <top style="thin">
          <color theme="0" tint="-0.149937437055574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C55A5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6795556505021"/>
        </right>
        <top style="thin">
          <color theme="0" tint="-0.149937437055574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C55A5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6795556505021"/>
        </right>
        <top style="thin">
          <color theme="0" tint="-0.149937437055574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C55A5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6795556505021"/>
        </right>
        <top style="thin">
          <color theme="0" tint="-0.149937437055574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C55A5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6795556505021"/>
        </right>
        <top style="thin">
          <color theme="0" tint="-0.149937437055574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C55A5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6795556505021"/>
        </right>
        <top style="thin">
          <color theme="0" tint="-0.149937437055574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C55A5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6795556505021"/>
        </right>
        <top style="thin">
          <color theme="0" tint="-0.149937437055574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C55A5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6795556505021"/>
        </right>
        <top style="thin">
          <color theme="0" tint="-0.149937437055574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C55A5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6795556505021"/>
        </right>
        <top style="thin">
          <color theme="0" tint="-0.149937437055574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C55A57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6795556505021"/>
        </right>
        <top style="thin">
          <color theme="0" tint="-0.149937437055574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0" tint="-0.14993743705557422"/>
        </right>
        <top style="thin">
          <color theme="0" tint="-0.149937437055574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rgb="FFC55A57"/>
        </patternFill>
      </fill>
      <border diagonalUp="0" diagonalDown="0" outline="0">
        <left/>
        <right style="thin">
          <color theme="0" tint="-0.14993743705557422"/>
        </right>
        <top/>
        <bottom/>
      </border>
      <protection locked="0" hidden="0"/>
    </dxf>
    <dxf>
      <border outline="0">
        <top style="thin">
          <color theme="0" tint="-0.14993743705557422"/>
        </top>
      </border>
    </dxf>
    <dxf>
      <fill>
        <patternFill patternType="solid">
          <fgColor indexed="64"/>
          <bgColor rgb="FF8FCFAD"/>
        </patternFill>
      </fill>
    </dxf>
    <dxf>
      <border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</border>
    </dxf>
    <dxf>
      <border outline="0"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rgb="FFC55A57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8FCFAD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/>
        <top style="thin">
          <color theme="0" tint="-0.14993743705557422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E2F2EA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8FCFAD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6795556505021"/>
        </right>
        <top style="thin">
          <color theme="0" tint="-0.14993743705557422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E2F2EA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14993743705557422"/>
        </left>
        <right/>
        <top style="thin">
          <color theme="0" tint="-0.14993743705557422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8FCFAD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6795556505021"/>
        </right>
        <top style="thin">
          <color theme="0" tint="-0.149937437055574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E2F2EA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14993743705557422"/>
        </left>
        <right/>
        <top style="thin">
          <color theme="0" tint="-0.14993743705557422"/>
        </top>
        <bottom style="thin">
          <color theme="0" tint="-0.149937437055574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8FCFAD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6795556505021"/>
        </right>
        <top style="thin">
          <color theme="0" tint="-0.149937437055574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E2F2EA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8FCFAD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6795556505021"/>
        </right>
        <top style="thin">
          <color theme="0" tint="-0.149937437055574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E2F2EA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8FCFAD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6795556505021"/>
        </right>
        <top style="thin">
          <color theme="0" tint="-0.149937437055574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E2F2EA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8FCFAD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6795556505021"/>
        </right>
        <top style="thin">
          <color theme="0" tint="-0.149937437055574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E2F2EA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8FCFAD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6795556505021"/>
        </right>
        <top style="thin">
          <color theme="0" tint="-0.149937437055574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E2F2EA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8FCFAD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6795556505021"/>
        </right>
        <top style="thin">
          <color theme="0" tint="-0.149937437055574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E2F2EA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8FCFAD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6795556505021"/>
        </right>
        <top style="thin">
          <color theme="0" tint="-0.149937437055574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E2F2EA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8FCFAD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6795556505021"/>
        </right>
        <top style="thin">
          <color theme="0" tint="-0.149937437055574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E2F2EA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8FCFAD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6795556505021"/>
        </right>
        <top style="thin">
          <color theme="0" tint="-0.149937437055574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E2F2EA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8FCFAD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6795556505021"/>
        </right>
        <top style="thin">
          <color theme="0" tint="-0.149937437055574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E2F2EA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8FCFAD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6795556505021"/>
        </right>
        <top style="thin">
          <color theme="0" tint="-0.149937437055574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E2F2EA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rgb="FF8FCFAD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0" tint="-0.14993743705557422"/>
        </right>
        <top style="thin">
          <color theme="0" tint="-0.149937437055574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rgb="FF8FCFAD"/>
        </patternFill>
      </fill>
      <border diagonalUp="0" diagonalDown="0">
        <left/>
        <right style="thin">
          <color theme="0" tint="-0.14993743705557422"/>
        </right>
        <top/>
        <bottom/>
      </border>
      <protection locked="0" hidden="0"/>
    </dxf>
    <dxf>
      <border outline="0">
        <top style="thin">
          <color theme="0" tint="-0.14993743705557422"/>
        </top>
      </border>
    </dxf>
    <dxf>
      <fill>
        <patternFill patternType="solid">
          <fgColor indexed="64"/>
          <bgColor rgb="FF8FCFAD"/>
        </patternFill>
      </fill>
    </dxf>
    <dxf>
      <border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</border>
    </dxf>
    <dxf>
      <border outline="0"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rgb="FF8FCFAD"/>
        </patternFill>
      </fill>
      <alignment horizontal="center" vertical="center" textRotation="0" wrapText="0" indent="0" justifyLastLine="0" shrinkToFit="0" readingOrder="0"/>
    </dxf>
    <dxf>
      <font>
        <color rgb="FF9C0006"/>
      </font>
    </dxf>
  </dxfs>
  <tableStyles count="0" defaultTableStyle="TableStyleMedium2" defaultPivotStyle="PivotStyleLight16"/>
  <colors>
    <mruColors>
      <color rgb="FFC55A57"/>
      <color rgb="FFB4413E"/>
      <color rgb="FFF0D5D4"/>
      <color rgb="FF8FCFAD"/>
      <color rgb="FFE2F2EA"/>
      <color rgb="FFF5E3E3"/>
      <color rgb="FF50B47F"/>
      <color rgb="FFE6B9B8"/>
      <color rgb="FFE8D272"/>
      <color rgb="FFFFE0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427509325274867E-2"/>
          <c:y val="0.20763641989472212"/>
          <c:w val="0.81714498134945024"/>
          <c:h val="0.61962745416047882"/>
        </c:manualLayout>
      </c:layout>
      <c:areaChart>
        <c:grouping val="standard"/>
        <c:varyColors val="0"/>
        <c:ser>
          <c:idx val="0"/>
          <c:order val="0"/>
          <c:tx>
            <c:strRef>
              <c:f>'Personal Budget Analysis'!$B$5</c:f>
              <c:strCache>
                <c:ptCount val="1"/>
                <c:pt idx="0">
                  <c:v>Total Income</c:v>
                </c:pt>
              </c:strCache>
            </c:strRef>
          </c:tx>
          <c:spPr>
            <a:solidFill>
              <a:srgbClr val="8FCFAD">
                <a:alpha val="55000"/>
              </a:srgbClr>
            </a:solidFill>
            <a:ln>
              <a:noFill/>
            </a:ln>
            <a:effectLst/>
          </c:spPr>
          <c:cat>
            <c:strRef>
              <c:f>'Personal Budget Analysis'!$C$4:$N$4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'Personal Budget Analysis'!$C$5:$N$5</c:f>
              <c:numCache>
                <c:formatCode>_(* #,##0_);_(* \(#,##0\);_(* "-"??_);_(@_)</c:formatCode>
                <c:ptCount val="12"/>
                <c:pt idx="0">
                  <c:v>14493</c:v>
                </c:pt>
                <c:pt idx="1">
                  <c:v>12620</c:v>
                </c:pt>
                <c:pt idx="2">
                  <c:v>13237</c:v>
                </c:pt>
                <c:pt idx="3">
                  <c:v>9622</c:v>
                </c:pt>
                <c:pt idx="4">
                  <c:v>9783</c:v>
                </c:pt>
                <c:pt idx="5">
                  <c:v>10486</c:v>
                </c:pt>
                <c:pt idx="6">
                  <c:v>5474</c:v>
                </c:pt>
                <c:pt idx="7">
                  <c:v>10044</c:v>
                </c:pt>
                <c:pt idx="8">
                  <c:v>5282</c:v>
                </c:pt>
                <c:pt idx="9">
                  <c:v>11664</c:v>
                </c:pt>
                <c:pt idx="10">
                  <c:v>10029</c:v>
                </c:pt>
                <c:pt idx="11">
                  <c:v>14196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D4-4F59-A865-D7C526F79B0C}"/>
            </c:ext>
          </c:extLst>
        </c:ser>
        <c:ser>
          <c:idx val="1"/>
          <c:order val="1"/>
          <c:tx>
            <c:strRef>
              <c:f>'Personal Budget Analysis'!$B$6</c:f>
              <c:strCache>
                <c:ptCount val="1"/>
                <c:pt idx="0">
                  <c:v>Total Expenses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strRef>
              <c:f>'Personal Budget Analysis'!$C$4:$N$4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'Personal Budget Analysis'!$C$6:$N$6</c:f>
              <c:numCache>
                <c:formatCode>_(* #,##0_);_(* \(#,##0\);_(* "-"??_);_(@_)</c:formatCode>
                <c:ptCount val="12"/>
                <c:pt idx="0">
                  <c:v>6234</c:v>
                </c:pt>
                <c:pt idx="1">
                  <c:v>7739</c:v>
                </c:pt>
                <c:pt idx="2">
                  <c:v>7147</c:v>
                </c:pt>
                <c:pt idx="3">
                  <c:v>6965</c:v>
                </c:pt>
                <c:pt idx="4">
                  <c:v>6517</c:v>
                </c:pt>
                <c:pt idx="5">
                  <c:v>5692</c:v>
                </c:pt>
                <c:pt idx="6">
                  <c:v>6135</c:v>
                </c:pt>
                <c:pt idx="7">
                  <c:v>7190</c:v>
                </c:pt>
                <c:pt idx="8">
                  <c:v>6880</c:v>
                </c:pt>
                <c:pt idx="9">
                  <c:v>6341</c:v>
                </c:pt>
                <c:pt idx="10">
                  <c:v>7640</c:v>
                </c:pt>
                <c:pt idx="11">
                  <c:v>7149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D4-4F59-A865-D7C526F79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5950927"/>
        <c:axId val="1185943023"/>
      </c:areaChart>
      <c:lineChart>
        <c:grouping val="standard"/>
        <c:varyColors val="0"/>
        <c:ser>
          <c:idx val="2"/>
          <c:order val="2"/>
          <c:tx>
            <c:strRef>
              <c:f>'Personal Budget Analysis'!$B$8</c:f>
              <c:strCache>
                <c:ptCount val="1"/>
                <c:pt idx="0">
                  <c:v>Accumulated Balance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'Personal Budget Analysis'!$C$8:$N$8</c:f>
              <c:numCache>
                <c:formatCode>_(* #,##0_);_(* \(#,##0\);_(* "-"??_);_(@_)</c:formatCode>
                <c:ptCount val="12"/>
                <c:pt idx="0">
                  <c:v>23259</c:v>
                </c:pt>
                <c:pt idx="1">
                  <c:v>28140</c:v>
                </c:pt>
                <c:pt idx="2">
                  <c:v>34230</c:v>
                </c:pt>
                <c:pt idx="3">
                  <c:v>36887</c:v>
                </c:pt>
                <c:pt idx="4">
                  <c:v>40153</c:v>
                </c:pt>
                <c:pt idx="5">
                  <c:v>44947</c:v>
                </c:pt>
                <c:pt idx="6">
                  <c:v>44286</c:v>
                </c:pt>
                <c:pt idx="7">
                  <c:v>47140</c:v>
                </c:pt>
                <c:pt idx="8">
                  <c:v>45542</c:v>
                </c:pt>
                <c:pt idx="9">
                  <c:v>50865</c:v>
                </c:pt>
                <c:pt idx="10">
                  <c:v>53254</c:v>
                </c:pt>
                <c:pt idx="11">
                  <c:v>60301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D4-4F59-A865-D7C526F79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5952591"/>
        <c:axId val="1185937199"/>
      </c:lineChart>
      <c:catAx>
        <c:axId val="11859509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943023"/>
        <c:crosses val="autoZero"/>
        <c:auto val="1"/>
        <c:lblAlgn val="ctr"/>
        <c:lblOffset val="100"/>
        <c:noMultiLvlLbl val="0"/>
      </c:catAx>
      <c:valAx>
        <c:axId val="1185943023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950927"/>
        <c:crosses val="autoZero"/>
        <c:crossBetween val="between"/>
      </c:valAx>
      <c:valAx>
        <c:axId val="1185937199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952591"/>
        <c:crosses val="max"/>
        <c:crossBetween val="between"/>
      </c:valAx>
      <c:catAx>
        <c:axId val="1185952591"/>
        <c:scaling>
          <c:orientation val="minMax"/>
        </c:scaling>
        <c:delete val="1"/>
        <c:axPos val="b"/>
        <c:majorTickMark val="out"/>
        <c:minorTickMark val="none"/>
        <c:tickLblPos val="nextTo"/>
        <c:crossAx val="1185937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1.3883199835342317E-2"/>
          <c:y val="1.8983798747816676E-2"/>
          <c:w val="0.97078841136559291"/>
          <c:h val="0.127519306258325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6283437543612048"/>
          <c:y val="1.388888382586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500208747109268"/>
          <c:y val="7.9120341528017821E-2"/>
          <c:w val="0.74235135793245743"/>
          <c:h val="0.86995375111047279"/>
        </c:manualLayout>
      </c:layout>
      <c:barChart>
        <c:barDir val="bar"/>
        <c:grouping val="clustered"/>
        <c:varyColors val="0"/>
        <c:ser>
          <c:idx val="0"/>
          <c:order val="0"/>
          <c:tx>
            <c:v>Monthly Income</c:v>
          </c:tx>
          <c:spPr>
            <a:solidFill>
              <a:srgbClr val="8FCFA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'Personal Budget Analysis'!$C$11:$N$11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'Personal Budget Analysis'!$C$27:$N$27</c:f>
              <c:numCache>
                <c:formatCode>_(* #,##0_);_(* \(#,##0\);_(* "-"??_);_(@_)</c:formatCode>
                <c:ptCount val="12"/>
                <c:pt idx="0">
                  <c:v>14493</c:v>
                </c:pt>
                <c:pt idx="1">
                  <c:v>12620</c:v>
                </c:pt>
                <c:pt idx="2">
                  <c:v>13237</c:v>
                </c:pt>
                <c:pt idx="3">
                  <c:v>9622</c:v>
                </c:pt>
                <c:pt idx="4">
                  <c:v>9783</c:v>
                </c:pt>
                <c:pt idx="5">
                  <c:v>10486</c:v>
                </c:pt>
                <c:pt idx="6">
                  <c:v>5474</c:v>
                </c:pt>
                <c:pt idx="7">
                  <c:v>10044</c:v>
                </c:pt>
                <c:pt idx="8">
                  <c:v>5282</c:v>
                </c:pt>
                <c:pt idx="9">
                  <c:v>11664</c:v>
                </c:pt>
                <c:pt idx="10">
                  <c:v>10029</c:v>
                </c:pt>
                <c:pt idx="11">
                  <c:v>14196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A4-4FF3-A1AE-0D046A8C3D0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181411903"/>
        <c:axId val="1181414399"/>
      </c:barChart>
      <c:catAx>
        <c:axId val="118141190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81414399"/>
        <c:crosses val="autoZero"/>
        <c:auto val="1"/>
        <c:lblAlgn val="ctr"/>
        <c:lblOffset val="100"/>
        <c:noMultiLvlLbl val="0"/>
      </c:catAx>
      <c:valAx>
        <c:axId val="1181414399"/>
        <c:scaling>
          <c:orientation val="minMax"/>
        </c:scaling>
        <c:delete val="1"/>
        <c:axPos val="t"/>
        <c:numFmt formatCode="_(* #,##0_);_(* \(#,##0\);_(* &quot;-&quot;??_);_(@_)" sourceLinked="1"/>
        <c:majorTickMark val="none"/>
        <c:minorTickMark val="none"/>
        <c:tickLblPos val="nextTo"/>
        <c:crossAx val="1181411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664643413368044E-2"/>
          <c:y val="1.8330417031204433E-2"/>
          <c:w val="0.77303796688388537"/>
          <c:h val="0.9284033245844269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9B2-4A3E-81B8-811EDE94D85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9B2-4A3E-81B8-811EDE94D85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9B2-4A3E-81B8-811EDE94D85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9B2-4A3E-81B8-811EDE94D85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3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3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9B2-4A3E-81B8-811EDE94D85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5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5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9B2-4A3E-81B8-811EDE94D857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80000"/>
                      <a:lumOff val="2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80000"/>
                      <a:lumOff val="2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80000"/>
                    <a:lumOff val="2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9B2-4A3E-81B8-811EDE94D857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'Personal Budget Analysis'!$B$12:$B$26</c:f>
              <c:strCache>
                <c:ptCount val="7"/>
                <c:pt idx="0">
                  <c:v>Wages &amp; Tips</c:v>
                </c:pt>
                <c:pt idx="1">
                  <c:v>Interest Income</c:v>
                </c:pt>
                <c:pt idx="2">
                  <c:v>Dividends</c:v>
                </c:pt>
                <c:pt idx="3">
                  <c:v>Gifts Received</c:v>
                </c:pt>
                <c:pt idx="4">
                  <c:v>Refunds/Reimbursements</c:v>
                </c:pt>
                <c:pt idx="5">
                  <c:v>Transfer From Savings</c:v>
                </c:pt>
                <c:pt idx="6">
                  <c:v>Other</c:v>
                </c:pt>
              </c:strCache>
            </c:strRef>
          </c:cat>
          <c:val>
            <c:numRef>
              <c:f>[0]!Incomelist</c:f>
              <c:numCache>
                <c:formatCode>_(* #,##0_);_(* \(#,##0\);_(* "-"??_);_(@_)</c:formatCode>
                <c:ptCount val="7"/>
                <c:pt idx="0">
                  <c:v>21829</c:v>
                </c:pt>
                <c:pt idx="1">
                  <c:v>14907</c:v>
                </c:pt>
                <c:pt idx="2">
                  <c:v>20237</c:v>
                </c:pt>
                <c:pt idx="3">
                  <c:v>16013</c:v>
                </c:pt>
                <c:pt idx="4">
                  <c:v>19883</c:v>
                </c:pt>
                <c:pt idx="5">
                  <c:v>15223</c:v>
                </c:pt>
                <c:pt idx="6">
                  <c:v>18838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D7-4B72-A300-0C4F421D44DE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50">
                <a:latin typeface="Arial" panose="020B0604020202020204" pitchFamily="34" charset="0"/>
                <a:cs typeface="Arial" panose="020B0604020202020204" pitchFamily="34" charset="0"/>
              </a:rPr>
              <a:t>Monthly</a:t>
            </a:r>
            <a:r>
              <a:rPr lang="en-US" sz="1050" baseline="0">
                <a:latin typeface="Arial" panose="020B0604020202020204" pitchFamily="34" charset="0"/>
                <a:cs typeface="Arial" panose="020B0604020202020204" pitchFamily="34" charset="0"/>
              </a:rPr>
              <a:t> Expenses</a:t>
            </a:r>
            <a:endParaRPr lang="en-US" sz="105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336666358720542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500208747109268"/>
          <c:y val="8.3749999999999991E-2"/>
          <c:w val="0.74235135793245743"/>
          <c:h val="0.8653240740740740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'Personal Budget Analysis'!$C$29:$N$29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'Personal Budget Analysis'!$C$45:$N$45</c:f>
              <c:numCache>
                <c:formatCode>_(* #,##0_);_(* \(#,##0\);_(* "-"??_);_(@_)</c:formatCode>
                <c:ptCount val="12"/>
                <c:pt idx="0">
                  <c:v>6234</c:v>
                </c:pt>
                <c:pt idx="1">
                  <c:v>7739</c:v>
                </c:pt>
                <c:pt idx="2">
                  <c:v>7147</c:v>
                </c:pt>
                <c:pt idx="3">
                  <c:v>6965</c:v>
                </c:pt>
                <c:pt idx="4">
                  <c:v>6517</c:v>
                </c:pt>
                <c:pt idx="5">
                  <c:v>5692</c:v>
                </c:pt>
                <c:pt idx="6">
                  <c:v>6135</c:v>
                </c:pt>
                <c:pt idx="7">
                  <c:v>7190</c:v>
                </c:pt>
                <c:pt idx="8">
                  <c:v>6880</c:v>
                </c:pt>
                <c:pt idx="9">
                  <c:v>6341</c:v>
                </c:pt>
                <c:pt idx="10">
                  <c:v>7640</c:v>
                </c:pt>
                <c:pt idx="11">
                  <c:v>7149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E7-464D-81E1-AF50E0513B4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181411903"/>
        <c:axId val="1181414399"/>
      </c:barChart>
      <c:catAx>
        <c:axId val="118141190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81414399"/>
        <c:crosses val="autoZero"/>
        <c:auto val="1"/>
        <c:lblAlgn val="ctr"/>
        <c:lblOffset val="100"/>
        <c:noMultiLvlLbl val="0"/>
      </c:catAx>
      <c:valAx>
        <c:axId val="1181414399"/>
        <c:scaling>
          <c:orientation val="minMax"/>
        </c:scaling>
        <c:delete val="1"/>
        <c:axPos val="t"/>
        <c:numFmt formatCode="_(* #,##0_);_(* \(#,##0\);_(* &quot;-&quot;??_);_(@_)" sourceLinked="1"/>
        <c:majorTickMark val="none"/>
        <c:minorTickMark val="none"/>
        <c:tickLblPos val="nextTo"/>
        <c:crossAx val="1181411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664643413368044E-2"/>
          <c:y val="1.8330417031204433E-2"/>
          <c:w val="0.77303796688388537"/>
          <c:h val="0.9284033245844269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5B1-4AE9-A579-8B64D5730BD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5B1-4AE9-A579-8B64D5730BD2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5B1-4AE9-A579-8B64D5730BD2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5B1-4AE9-A579-8B64D5730BD2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4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4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5B1-4AE9-A579-8B64D5730BD2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6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6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5B1-4AE9-A579-8B64D5730BD2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80000"/>
                      <a:lumOff val="2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80000"/>
                      <a:lumOff val="2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80000"/>
                    <a:lumOff val="2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5B1-4AE9-A579-8B64D5730BD2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tint val="50000"/>
                      <a:satMod val="300000"/>
                    </a:schemeClr>
                  </a:gs>
                  <a:gs pos="35000">
                    <a:schemeClr val="accent4">
                      <a:lumMod val="80000"/>
                      <a:lumOff val="20000"/>
                      <a:tint val="37000"/>
                      <a:satMod val="300000"/>
                    </a:schemeClr>
                  </a:gs>
                  <a:gs pos="100000">
                    <a:schemeClr val="accent4">
                      <a:lumMod val="80000"/>
                      <a:lumOff val="2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lumMod val="80000"/>
                    <a:lumOff val="2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5B1-4AE9-A579-8B64D5730BD2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tint val="50000"/>
                      <a:satMod val="300000"/>
                    </a:schemeClr>
                  </a:gs>
                  <a:gs pos="35000">
                    <a:schemeClr val="accent6">
                      <a:lumMod val="80000"/>
                      <a:lumOff val="20000"/>
                      <a:tint val="37000"/>
                      <a:satMod val="300000"/>
                    </a:schemeClr>
                  </a:gs>
                  <a:gs pos="100000">
                    <a:schemeClr val="accent6">
                      <a:lumMod val="80000"/>
                      <a:lumOff val="2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lumMod val="80000"/>
                    <a:lumOff val="2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B5B1-4AE9-A579-8B64D5730BD2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8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8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8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B5B1-4AE9-A579-8B64D5730BD2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tint val="50000"/>
                      <a:satMod val="300000"/>
                    </a:schemeClr>
                  </a:gs>
                  <a:gs pos="35000">
                    <a:schemeClr val="accent4">
                      <a:lumMod val="80000"/>
                      <a:tint val="37000"/>
                      <a:satMod val="300000"/>
                    </a:schemeClr>
                  </a:gs>
                  <a:gs pos="100000">
                    <a:schemeClr val="accent4">
                      <a:lumMod val="8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lumMod val="8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B5B1-4AE9-A579-8B64D5730BD2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tint val="50000"/>
                      <a:satMod val="300000"/>
                    </a:schemeClr>
                  </a:gs>
                  <a:gs pos="35000">
                    <a:schemeClr val="accent6">
                      <a:lumMod val="80000"/>
                      <a:tint val="37000"/>
                      <a:satMod val="300000"/>
                    </a:schemeClr>
                  </a:gs>
                  <a:gs pos="100000">
                    <a:schemeClr val="accent6">
                      <a:lumMod val="8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lumMod val="8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5B1-4AE9-A579-8B64D5730BD2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60000"/>
                      <a:lumOff val="4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60000"/>
                      <a:lumOff val="4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60000"/>
                    <a:lumOff val="4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B5B1-4AE9-A579-8B64D5730BD2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tint val="50000"/>
                      <a:satMod val="300000"/>
                    </a:schemeClr>
                  </a:gs>
                  <a:gs pos="35000">
                    <a:schemeClr val="accent4">
                      <a:lumMod val="60000"/>
                      <a:lumOff val="40000"/>
                      <a:tint val="37000"/>
                      <a:satMod val="300000"/>
                    </a:schemeClr>
                  </a:gs>
                  <a:gs pos="100000">
                    <a:schemeClr val="accent4">
                      <a:lumMod val="60000"/>
                      <a:lumOff val="4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lumMod val="60000"/>
                    <a:lumOff val="4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B5B1-4AE9-A579-8B64D5730BD2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tint val="50000"/>
                      <a:satMod val="300000"/>
                    </a:schemeClr>
                  </a:gs>
                  <a:gs pos="35000">
                    <a:schemeClr val="accent6">
                      <a:lumMod val="60000"/>
                      <a:lumOff val="40000"/>
                      <a:tint val="37000"/>
                      <a:satMod val="300000"/>
                    </a:schemeClr>
                  </a:gs>
                  <a:gs pos="100000">
                    <a:schemeClr val="accent6">
                      <a:lumMod val="60000"/>
                      <a:lumOff val="4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lumMod val="60000"/>
                    <a:lumOff val="4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B5B1-4AE9-A579-8B64D5730BD2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'Personal Budget Analysis'!$B$30:$B$44</c:f>
              <c:strCache>
                <c:ptCount val="10"/>
                <c:pt idx="0">
                  <c:v>Mortgage/Rent</c:v>
                </c:pt>
                <c:pt idx="1">
                  <c:v>Home/Rental Insurance</c:v>
                </c:pt>
                <c:pt idx="2">
                  <c:v>Electricity</c:v>
                </c:pt>
                <c:pt idx="3">
                  <c:v>Gas/Oil</c:v>
                </c:pt>
                <c:pt idx="4">
                  <c:v>Water/Sewer/Trash</c:v>
                </c:pt>
                <c:pt idx="5">
                  <c:v>Phone</c:v>
                </c:pt>
                <c:pt idx="6">
                  <c:v>Cable/Satellite</c:v>
                </c:pt>
                <c:pt idx="7">
                  <c:v>Internet</c:v>
                </c:pt>
                <c:pt idx="8">
                  <c:v>Furnishings/Appliances</c:v>
                </c:pt>
                <c:pt idx="9">
                  <c:v>Other</c:v>
                </c:pt>
              </c:strCache>
            </c:strRef>
          </c:cat>
          <c:val>
            <c:numRef>
              <c:f>[0]!Expenselist</c:f>
              <c:numCache>
                <c:formatCode>_(* #,##0_);_(* \(#,##0\);_(* "-"??_);_(@_)</c:formatCode>
                <c:ptCount val="10"/>
                <c:pt idx="0">
                  <c:v>7674</c:v>
                </c:pt>
                <c:pt idx="1">
                  <c:v>7742</c:v>
                </c:pt>
                <c:pt idx="2">
                  <c:v>8216</c:v>
                </c:pt>
                <c:pt idx="3">
                  <c:v>9069</c:v>
                </c:pt>
                <c:pt idx="4">
                  <c:v>8376</c:v>
                </c:pt>
                <c:pt idx="5">
                  <c:v>8288</c:v>
                </c:pt>
                <c:pt idx="6">
                  <c:v>8159</c:v>
                </c:pt>
                <c:pt idx="7">
                  <c:v>7554</c:v>
                </c:pt>
                <c:pt idx="8">
                  <c:v>8815</c:v>
                </c:pt>
                <c:pt idx="9">
                  <c:v>7736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5B1-4AE9-A579-8B64D5730BD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47624</xdr:colOff>
      <xdr:row>36</xdr:row>
      <xdr:rowOff>19050</xdr:rowOff>
    </xdr:from>
    <xdr:to>
      <xdr:col>13</xdr:col>
      <xdr:colOff>425824</xdr:colOff>
      <xdr:row>40</xdr:row>
      <xdr:rowOff>38100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5045448" y="5801285"/>
          <a:ext cx="6429376" cy="646580"/>
          <a:chOff x="4257674" y="8324850"/>
          <a:chExt cx="7353301" cy="666750"/>
        </a:xfrm>
      </xdr:grpSpPr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57674" y="8324850"/>
            <a:ext cx="7353301" cy="666750"/>
          </a:xfrm>
          <a:prstGeom prst="rect">
            <a:avLst/>
          </a:prstGeom>
        </xdr:spPr>
      </xdr:pic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333875" y="8572500"/>
            <a:ext cx="819150" cy="209550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248525" y="8429625"/>
            <a:ext cx="361950" cy="171450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</xdr:col>
      <xdr:colOff>66674</xdr:colOff>
      <xdr:row>44</xdr:row>
      <xdr:rowOff>95250</xdr:rowOff>
    </xdr:from>
    <xdr:to>
      <xdr:col>13</xdr:col>
      <xdr:colOff>444874</xdr:colOff>
      <xdr:row>48</xdr:row>
      <xdr:rowOff>114300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5064498" y="7132544"/>
          <a:ext cx="6429376" cy="646580"/>
          <a:chOff x="4276724" y="9696450"/>
          <a:chExt cx="7353301" cy="666750"/>
        </a:xfrm>
      </xdr:grpSpPr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76724" y="9696450"/>
            <a:ext cx="7353301" cy="666750"/>
          </a:xfrm>
          <a:prstGeom prst="rect">
            <a:avLst/>
          </a:prstGeom>
        </xdr:spPr>
      </xdr:pic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9782174" y="9791700"/>
            <a:ext cx="923926" cy="180975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</xdr:col>
      <xdr:colOff>85725</xdr:colOff>
      <xdr:row>50</xdr:row>
      <xdr:rowOff>47625</xdr:rowOff>
    </xdr:from>
    <xdr:to>
      <xdr:col>13</xdr:col>
      <xdr:colOff>403211</xdr:colOff>
      <xdr:row>54</xdr:row>
      <xdr:rowOff>133350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5083549" y="8026213"/>
          <a:ext cx="6368662" cy="713255"/>
          <a:chOff x="4295775" y="10620375"/>
          <a:chExt cx="7334250" cy="733425"/>
        </a:xfrm>
      </xdr:grpSpPr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333"/>
          <a:stretch/>
        </xdr:blipFill>
        <xdr:spPr>
          <a:xfrm>
            <a:off x="4295775" y="10620375"/>
            <a:ext cx="7334250" cy="733425"/>
          </a:xfrm>
          <a:prstGeom prst="rect">
            <a:avLst/>
          </a:prstGeom>
        </xdr:spPr>
      </xdr:pic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10848975" y="10648949"/>
            <a:ext cx="762000" cy="238125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33618</xdr:colOff>
      <xdr:row>0</xdr:row>
      <xdr:rowOff>268940</xdr:rowOff>
    </xdr:from>
    <xdr:to>
      <xdr:col>25</xdr:col>
      <xdr:colOff>0</xdr:colOff>
      <xdr:row>8</xdr:row>
      <xdr:rowOff>112058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78441</xdr:colOff>
      <xdr:row>10</xdr:row>
      <xdr:rowOff>1119</xdr:rowOff>
    </xdr:from>
    <xdr:to>
      <xdr:col>20</xdr:col>
      <xdr:colOff>201705</xdr:colOff>
      <xdr:row>26</xdr:row>
      <xdr:rowOff>144555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112058</xdr:colOff>
      <xdr:row>11</xdr:row>
      <xdr:rowOff>22412</xdr:rowOff>
    </xdr:from>
    <xdr:to>
      <xdr:col>25</xdr:col>
      <xdr:colOff>0</xdr:colOff>
      <xdr:row>27</xdr:row>
      <xdr:rowOff>21292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67235</xdr:colOff>
      <xdr:row>28</xdr:row>
      <xdr:rowOff>11206</xdr:rowOff>
    </xdr:from>
    <xdr:to>
      <xdr:col>20</xdr:col>
      <xdr:colOff>190499</xdr:colOff>
      <xdr:row>44</xdr:row>
      <xdr:rowOff>154641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100852</xdr:colOff>
      <xdr:row>29</xdr:row>
      <xdr:rowOff>32499</xdr:rowOff>
    </xdr:from>
    <xdr:to>
      <xdr:col>24</xdr:col>
      <xdr:colOff>593912</xdr:colOff>
      <xdr:row>45</xdr:row>
      <xdr:rowOff>31379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1</xdr:row>
          <xdr:rowOff>85725</xdr:rowOff>
        </xdr:from>
        <xdr:to>
          <xdr:col>5</xdr:col>
          <xdr:colOff>190500</xdr:colOff>
          <xdr:row>2</xdr:row>
          <xdr:rowOff>123825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Full Screen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810B2F-375D-4D4D-AFB5-384609C9A650}" name="Income" displayName="Income" ref="B11:P27" totalsRowCount="1" headerRowDxfId="69" totalsRowDxfId="66" headerRowBorderDxfId="68" tableBorderDxfId="67" totalsRowBorderDxfId="65">
  <tableColumns count="15">
    <tableColumn id="1" xr3:uid="{40DC1C97-2990-455D-9F73-1FD9A6FF3871}" name="Income List" totalsRowLabel="Total" dataDxfId="64" totalsRowDxfId="63"/>
    <tableColumn id="2" xr3:uid="{437488EF-306D-49D5-BD1A-3DBBFB87EE48}" name="JAN" totalsRowFunction="sum" dataDxfId="62" totalsRowDxfId="61" dataCellStyle="Comma"/>
    <tableColumn id="3" xr3:uid="{6FE38472-A746-4608-B6C6-EC470BC51766}" name="FEB" totalsRowFunction="sum" dataDxfId="60" totalsRowDxfId="59" dataCellStyle="Comma"/>
    <tableColumn id="4" xr3:uid="{61F50C01-EB2C-4E1D-A47C-C6D3139080F2}" name="MAR" totalsRowFunction="sum" dataDxfId="58" totalsRowDxfId="57" dataCellStyle="Comma"/>
    <tableColumn id="5" xr3:uid="{2AE44264-1EEC-4E64-B80C-D18D1934BFF0}" name="APR" totalsRowFunction="sum" dataDxfId="56" totalsRowDxfId="55" dataCellStyle="Comma"/>
    <tableColumn id="6" xr3:uid="{BA6CFAFD-BE58-4417-9DBD-092268C36FD9}" name="MAY" totalsRowFunction="sum" dataDxfId="54" totalsRowDxfId="53" dataCellStyle="Comma"/>
    <tableColumn id="7" xr3:uid="{7131FBE6-8C47-45B3-8530-85040BECF88F}" name="JUN" totalsRowFunction="sum" dataDxfId="52" totalsRowDxfId="51" dataCellStyle="Comma"/>
    <tableColumn id="8" xr3:uid="{A9138A95-E8E2-4066-8F18-50B43259FFA2}" name="JUL" totalsRowFunction="sum" dataDxfId="50" totalsRowDxfId="49" dataCellStyle="Comma"/>
    <tableColumn id="9" xr3:uid="{FA6BA7BB-40D8-4033-B48A-F8FD7CA1E5CD}" name="AUG" totalsRowFunction="sum" dataDxfId="48" totalsRowDxfId="47" dataCellStyle="Comma"/>
    <tableColumn id="10" xr3:uid="{5DF052CE-E7CC-49C6-A2D4-BB783C1DD305}" name="SEP" totalsRowFunction="sum" dataDxfId="46" totalsRowDxfId="45" dataCellStyle="Comma"/>
    <tableColumn id="11" xr3:uid="{0A8295E1-B83E-460E-B690-FE02131A0F37}" name="OCT" totalsRowFunction="sum" dataDxfId="44" totalsRowDxfId="43" dataCellStyle="Comma"/>
    <tableColumn id="12" xr3:uid="{C460956B-9FB9-462A-8CE7-178904652326}" name="NOV" totalsRowFunction="sum" dataDxfId="42" totalsRowDxfId="41" dataCellStyle="Comma"/>
    <tableColumn id="13" xr3:uid="{6C4D3313-3DA7-473C-92C6-7D2A2980F70E}" name="DEC" totalsRowFunction="sum" dataDxfId="40" totalsRowDxfId="39" dataCellStyle="Comma"/>
    <tableColumn id="14" xr3:uid="{1BBEFC61-6947-4CB0-822F-134D9CBFD3D2}" name="Total" totalsRowFunction="sum" dataDxfId="38" totalsRowDxfId="37" dataCellStyle="Comma">
      <calculatedColumnFormula>IF(COUNT(Income[[#This Row],[JAN]:[DEC]])=0,"",SUM(Income[[#This Row],[JAN]:[DEC]]))</calculatedColumnFormula>
    </tableColumn>
    <tableColumn id="15" xr3:uid="{05C2BE56-85C6-4A28-9968-80ADCAFB80CB}" name="Avg" totalsRowFunction="custom" dataDxfId="36" totalsRowDxfId="35" dataCellStyle="Comma">
      <calculatedColumnFormula>IFERROR(AVERAGE(C12:N12),"")</calculatedColumnFormula>
      <totalsRowFormula>IFERROR(SUBTOTAL(101,Income[Avg]),"")</totalsRow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BD42D5B-0AE0-4112-A88B-DEBBCCE083EB}" name="Expenses" displayName="Expenses" ref="B29:P45" totalsRowCount="1" headerRowDxfId="34" totalsRowDxfId="31" headerRowBorderDxfId="33" tableBorderDxfId="32" totalsRowBorderDxfId="30">
  <tableColumns count="15">
    <tableColumn id="1" xr3:uid="{0807E73B-F09E-442C-A9D3-1394548C70BD}" name="Expenses List" totalsRowLabel="Total" dataDxfId="29" totalsRowDxfId="28"/>
    <tableColumn id="2" xr3:uid="{78988F90-9290-4254-8A82-1585F654FD2D}" name="JAN" totalsRowFunction="sum" dataDxfId="27" totalsRowDxfId="26" dataCellStyle="Comma"/>
    <tableColumn id="3" xr3:uid="{28350C68-BCE2-4924-A314-FFDF0FA1A182}" name="FEB" totalsRowFunction="sum" dataDxfId="25" totalsRowDxfId="24" dataCellStyle="Comma"/>
    <tableColumn id="4" xr3:uid="{51D7DD0E-F803-40BD-AC79-257488A2E905}" name="MAR" totalsRowFunction="sum" dataDxfId="23" totalsRowDxfId="22" dataCellStyle="Comma"/>
    <tableColumn id="5" xr3:uid="{D2B913E4-75FF-4B41-AC6C-5E6401A69BCA}" name="APR" totalsRowFunction="sum" dataDxfId="21" totalsRowDxfId="20" dataCellStyle="Comma"/>
    <tableColumn id="6" xr3:uid="{2EDC0E1A-B3FE-4DC9-BBC2-43CD88FC3A5D}" name="MAY" totalsRowFunction="sum" dataDxfId="19" totalsRowDxfId="18" dataCellStyle="Comma"/>
    <tableColumn id="7" xr3:uid="{1819EAA7-7055-4CC6-BF9E-7E5FB2452EE5}" name="JUN" totalsRowFunction="sum" dataDxfId="17" totalsRowDxfId="16" dataCellStyle="Comma"/>
    <tableColumn id="8" xr3:uid="{8417D6EF-2D64-436E-9A8B-03E03D4AFF1C}" name="JUL" totalsRowFunction="sum" dataDxfId="15" totalsRowDxfId="14" dataCellStyle="Comma"/>
    <tableColumn id="9" xr3:uid="{7B1C6B07-824B-4BDC-87E4-EEE98E86BF81}" name="AUG" totalsRowFunction="sum" dataDxfId="13" totalsRowDxfId="12" dataCellStyle="Comma"/>
    <tableColumn id="10" xr3:uid="{5323E864-724D-4246-B933-EC6756980AE9}" name="SEP" totalsRowFunction="sum" dataDxfId="11" totalsRowDxfId="10" dataCellStyle="Comma"/>
    <tableColumn id="11" xr3:uid="{D11E8FD1-CCA6-4D04-B3C7-BB85EAA72DE6}" name="OCT" totalsRowFunction="sum" dataDxfId="9" totalsRowDxfId="8" dataCellStyle="Comma"/>
    <tableColumn id="12" xr3:uid="{AC087C40-35F5-43F0-A0FC-B1C92E8FD51B}" name="NOV" totalsRowFunction="sum" dataDxfId="7" totalsRowDxfId="6" dataCellStyle="Comma"/>
    <tableColumn id="13" xr3:uid="{2976F9AF-B378-4C94-8E70-066310055392}" name="DEC" totalsRowFunction="sum" dataDxfId="5" totalsRowDxfId="4" dataCellStyle="Comma"/>
    <tableColumn id="14" xr3:uid="{F54BB0BE-768C-47C1-A8B5-2D39E830C41D}" name="Total" totalsRowFunction="sum" dataDxfId="3" totalsRowDxfId="2" dataCellStyle="Comma">
      <calculatedColumnFormula>IF(COUNT(Expenses[[#This Row],[JAN]:[DEC]])=0,"",SUM(Expenses[[#This Row],[JAN]:[DEC]]))</calculatedColumnFormula>
    </tableColumn>
    <tableColumn id="15" xr3:uid="{32FD2DB0-D698-49B5-A236-E12EF794B8E5}" name="Avg" totalsRowFunction="custom" dataDxfId="1" totalsRowDxfId="0" dataCellStyle="Comma">
      <calculatedColumnFormula>IFERROR(AVERAGE(C30:N30),"")</calculatedColumnFormula>
      <totalsRowFormula>IFERROR(SUBTOTAL(101,Expenses[Avg]),"")</totalsRow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7B3C5-B82D-4751-A51E-894ABCE93472}">
  <sheetPr codeName="Sheet1">
    <tabColor rgb="FFC00000"/>
  </sheetPr>
  <dimension ref="A1:Q62"/>
  <sheetViews>
    <sheetView showGridLines="0" showRowColHeaders="0" tabSelected="1" topLeftCell="A27" zoomScale="85" zoomScaleNormal="85" workbookViewId="0">
      <pane xSplit="3" topLeftCell="D1" activePane="topRight" state="frozen"/>
      <selection pane="topRight" activeCell="C57" sqref="C57:I65"/>
    </sheetView>
  </sheetViews>
  <sheetFormatPr defaultRowHeight="12.75" x14ac:dyDescent="0.2"/>
  <cols>
    <col min="1" max="1" width="22.85546875" style="2" bestFit="1" customWidth="1"/>
    <col min="2" max="2" width="20.28515625" style="1" customWidth="1"/>
    <col min="3" max="3" width="31.7109375" style="1" customWidth="1"/>
    <col min="4" max="16384" width="9.140625" style="1"/>
  </cols>
  <sheetData>
    <row r="1" spans="1:4" x14ac:dyDescent="0.2">
      <c r="A1" s="1"/>
    </row>
    <row r="2" spans="1:4" x14ac:dyDescent="0.2">
      <c r="A2" s="1"/>
    </row>
    <row r="3" spans="1:4" x14ac:dyDescent="0.2">
      <c r="A3" s="1"/>
    </row>
    <row r="4" spans="1:4" x14ac:dyDescent="0.2">
      <c r="A4" s="1"/>
    </row>
    <row r="5" spans="1:4" x14ac:dyDescent="0.2">
      <c r="B5" s="3"/>
      <c r="D5" s="3"/>
    </row>
    <row r="6" spans="1:4" x14ac:dyDescent="0.2">
      <c r="A6" s="4" t="s">
        <v>0</v>
      </c>
      <c r="B6" s="3" t="s">
        <v>1</v>
      </c>
      <c r="D6" s="3" t="s">
        <v>82</v>
      </c>
    </row>
    <row r="7" spans="1:4" x14ac:dyDescent="0.2">
      <c r="A7" s="5"/>
    </row>
    <row r="8" spans="1:4" x14ac:dyDescent="0.2">
      <c r="A8" s="12" t="s">
        <v>16</v>
      </c>
      <c r="B8" s="3" t="s">
        <v>2</v>
      </c>
      <c r="D8" s="1" t="s">
        <v>54</v>
      </c>
    </row>
    <row r="9" spans="1:4" ht="15" x14ac:dyDescent="0.25">
      <c r="A9" s="6"/>
      <c r="B9" s="3"/>
    </row>
    <row r="10" spans="1:4" ht="15" x14ac:dyDescent="0.25">
      <c r="A10" s="6"/>
      <c r="B10" s="3"/>
      <c r="C10" s="8" t="s">
        <v>55</v>
      </c>
      <c r="D10" s="1" t="s">
        <v>57</v>
      </c>
    </row>
    <row r="11" spans="1:4" ht="15" x14ac:dyDescent="0.25">
      <c r="A11" s="6"/>
      <c r="B11" s="3"/>
      <c r="C11" s="8" t="s">
        <v>56</v>
      </c>
      <c r="D11" s="1" t="s">
        <v>58</v>
      </c>
    </row>
    <row r="12" spans="1:4" ht="15" x14ac:dyDescent="0.25">
      <c r="A12" s="7"/>
    </row>
    <row r="13" spans="1:4" x14ac:dyDescent="0.2">
      <c r="B13" s="3"/>
      <c r="C13" s="8"/>
    </row>
    <row r="15" spans="1:4" x14ac:dyDescent="0.2">
      <c r="B15" s="9" t="s">
        <v>3</v>
      </c>
      <c r="D15" s="9">
        <v>1</v>
      </c>
    </row>
    <row r="17" spans="2:4" x14ac:dyDescent="0.2">
      <c r="B17" s="9" t="s">
        <v>4</v>
      </c>
      <c r="C17" s="40" t="s">
        <v>16</v>
      </c>
      <c r="D17" s="1" t="s">
        <v>59</v>
      </c>
    </row>
    <row r="18" spans="2:4" x14ac:dyDescent="0.2">
      <c r="C18" s="10"/>
    </row>
    <row r="19" spans="2:4" x14ac:dyDescent="0.2">
      <c r="C19" s="10"/>
    </row>
    <row r="21" spans="2:4" x14ac:dyDescent="0.2">
      <c r="B21" s="9" t="s">
        <v>5</v>
      </c>
      <c r="C21" s="11" t="s">
        <v>6</v>
      </c>
      <c r="D21" s="1" t="s">
        <v>60</v>
      </c>
    </row>
    <row r="22" spans="2:4" x14ac:dyDescent="0.2">
      <c r="C22" s="11" t="s">
        <v>7</v>
      </c>
      <c r="D22" s="1" t="s">
        <v>61</v>
      </c>
    </row>
    <row r="23" spans="2:4" x14ac:dyDescent="0.2">
      <c r="C23" s="11" t="s">
        <v>8</v>
      </c>
      <c r="D23" s="1" t="s">
        <v>62</v>
      </c>
    </row>
    <row r="24" spans="2:4" x14ac:dyDescent="0.2">
      <c r="C24" s="11" t="s">
        <v>9</v>
      </c>
      <c r="D24" s="1" t="s">
        <v>63</v>
      </c>
    </row>
    <row r="25" spans="2:4" x14ac:dyDescent="0.2">
      <c r="C25" s="11" t="s">
        <v>10</v>
      </c>
      <c r="D25" s="1" t="s">
        <v>64</v>
      </c>
    </row>
    <row r="26" spans="2:4" x14ac:dyDescent="0.2">
      <c r="C26" s="11" t="s">
        <v>11</v>
      </c>
      <c r="D26" s="1" t="s">
        <v>65</v>
      </c>
    </row>
    <row r="27" spans="2:4" x14ac:dyDescent="0.2">
      <c r="C27" s="11" t="s">
        <v>12</v>
      </c>
      <c r="D27" s="1" t="s">
        <v>66</v>
      </c>
    </row>
    <row r="28" spans="2:4" x14ac:dyDescent="0.2">
      <c r="C28" s="11" t="s">
        <v>13</v>
      </c>
      <c r="D28" s="1" t="s">
        <v>67</v>
      </c>
    </row>
    <row r="29" spans="2:4" x14ac:dyDescent="0.2">
      <c r="C29" s="11" t="s">
        <v>14</v>
      </c>
      <c r="D29" s="1" t="s">
        <v>68</v>
      </c>
    </row>
    <row r="30" spans="2:4" x14ac:dyDescent="0.2">
      <c r="C30" s="11" t="s">
        <v>69</v>
      </c>
    </row>
    <row r="31" spans="2:4" x14ac:dyDescent="0.2">
      <c r="C31" s="11"/>
    </row>
    <row r="32" spans="2:4" x14ac:dyDescent="0.2">
      <c r="C32" s="11"/>
    </row>
    <row r="33" spans="2:17" x14ac:dyDescent="0.2">
      <c r="B33" s="65" t="s">
        <v>71</v>
      </c>
      <c r="C33" s="66"/>
      <c r="D33" s="67" t="s">
        <v>72</v>
      </c>
      <c r="E33" s="15"/>
      <c r="F33" s="15"/>
      <c r="G33" s="15"/>
      <c r="H33" s="69"/>
      <c r="I33" s="69"/>
      <c r="J33" s="69"/>
      <c r="K33" s="69"/>
      <c r="L33" s="69"/>
      <c r="M33" s="69"/>
      <c r="N33" s="69"/>
      <c r="O33" s="15"/>
      <c r="P33" s="15"/>
      <c r="Q33" s="15"/>
    </row>
    <row r="34" spans="2:17" x14ac:dyDescent="0.2">
      <c r="B34" s="15"/>
      <c r="C34" s="15"/>
      <c r="D34" s="67" t="s">
        <v>73</v>
      </c>
      <c r="E34" s="15"/>
      <c r="F34" s="15"/>
      <c r="G34" s="15"/>
      <c r="H34" s="69"/>
      <c r="I34" s="69"/>
      <c r="J34" s="69"/>
      <c r="K34" s="69"/>
      <c r="L34" s="69"/>
      <c r="M34" s="69"/>
      <c r="N34" s="69"/>
      <c r="O34" s="15"/>
      <c r="P34" s="15"/>
      <c r="Q34" s="15"/>
    </row>
    <row r="35" spans="2:17" x14ac:dyDescent="0.2">
      <c r="B35" s="15"/>
      <c r="C35" s="15"/>
      <c r="D35" s="15"/>
      <c r="E35" s="15"/>
      <c r="F35" s="15"/>
      <c r="G35" s="15"/>
      <c r="H35" s="69"/>
      <c r="I35" s="69"/>
      <c r="J35" s="69"/>
      <c r="K35" s="69"/>
      <c r="L35" s="69"/>
      <c r="M35" s="69"/>
      <c r="N35" s="69"/>
      <c r="O35" s="15"/>
      <c r="P35" s="15"/>
      <c r="Q35" s="15"/>
    </row>
    <row r="36" spans="2:17" x14ac:dyDescent="0.2">
      <c r="B36" s="15"/>
      <c r="C36" s="68" t="s">
        <v>74</v>
      </c>
      <c r="D36" s="15" t="s">
        <v>75</v>
      </c>
      <c r="E36" s="15"/>
      <c r="F36" s="15"/>
      <c r="G36" s="15"/>
      <c r="H36" s="69"/>
      <c r="I36" s="69"/>
      <c r="J36" s="69"/>
      <c r="K36" s="69"/>
      <c r="L36" s="69"/>
      <c r="M36" s="69"/>
      <c r="N36" s="69"/>
      <c r="O36" s="15"/>
      <c r="P36" s="15"/>
      <c r="Q36" s="15"/>
    </row>
    <row r="37" spans="2:17" x14ac:dyDescent="0.2">
      <c r="B37" s="15"/>
      <c r="C37" s="15"/>
      <c r="D37" s="66"/>
      <c r="E37" s="15"/>
      <c r="F37" s="15"/>
      <c r="G37" s="15"/>
      <c r="H37" s="69"/>
      <c r="I37" s="69"/>
      <c r="J37" s="69"/>
      <c r="K37" s="69"/>
      <c r="L37" s="69"/>
      <c r="M37" s="69"/>
      <c r="N37" s="69"/>
      <c r="O37" s="15"/>
      <c r="P37" s="15"/>
      <c r="Q37" s="15"/>
    </row>
    <row r="38" spans="2:17" x14ac:dyDescent="0.2">
      <c r="B38" s="15"/>
      <c r="C38" s="15"/>
      <c r="D38" s="66"/>
      <c r="E38" s="15"/>
      <c r="F38" s="15"/>
      <c r="G38" s="15"/>
      <c r="H38" s="69"/>
      <c r="I38" s="69"/>
      <c r="J38" s="69"/>
      <c r="K38" s="69"/>
      <c r="L38" s="69"/>
      <c r="M38" s="69"/>
      <c r="N38" s="69"/>
      <c r="O38" s="15"/>
      <c r="P38" s="15"/>
      <c r="Q38" s="15"/>
    </row>
    <row r="39" spans="2:17" x14ac:dyDescent="0.2">
      <c r="B39" s="15"/>
      <c r="C39" s="15"/>
      <c r="D39" s="66"/>
      <c r="E39" s="15"/>
      <c r="F39" s="15"/>
      <c r="G39" s="15"/>
      <c r="H39" s="69"/>
      <c r="I39" s="69"/>
      <c r="J39" s="69"/>
      <c r="K39" s="69"/>
      <c r="L39" s="69"/>
      <c r="M39" s="69"/>
      <c r="N39" s="69"/>
      <c r="O39" s="15"/>
      <c r="P39" s="15"/>
      <c r="Q39" s="15"/>
    </row>
    <row r="40" spans="2:17" x14ac:dyDescent="0.2">
      <c r="B40" s="15"/>
      <c r="C40" s="15"/>
      <c r="D40" s="66"/>
      <c r="E40" s="15"/>
      <c r="F40" s="15"/>
      <c r="G40" s="15"/>
      <c r="H40" s="69"/>
      <c r="I40" s="69"/>
      <c r="J40" s="69"/>
      <c r="K40" s="69"/>
      <c r="L40" s="69"/>
      <c r="M40" s="69"/>
      <c r="N40" s="69"/>
      <c r="O40" s="15"/>
      <c r="P40" s="15"/>
      <c r="Q40" s="15"/>
    </row>
    <row r="41" spans="2:17" x14ac:dyDescent="0.2">
      <c r="B41" s="15"/>
      <c r="C41" s="15"/>
      <c r="D41" s="66"/>
      <c r="E41" s="15"/>
      <c r="F41" s="15"/>
      <c r="G41" s="15"/>
      <c r="H41" s="69"/>
      <c r="I41" s="69"/>
      <c r="J41" s="69"/>
      <c r="K41" s="69"/>
      <c r="L41" s="69"/>
      <c r="M41" s="69"/>
      <c r="N41" s="69"/>
      <c r="O41" s="15"/>
      <c r="P41" s="15"/>
      <c r="Q41" s="15"/>
    </row>
    <row r="42" spans="2:17" x14ac:dyDescent="0.2">
      <c r="B42" s="15"/>
      <c r="C42" s="68" t="s">
        <v>76</v>
      </c>
      <c r="D42" s="15" t="s">
        <v>77</v>
      </c>
      <c r="E42" s="15"/>
      <c r="F42" s="15"/>
      <c r="G42" s="15"/>
      <c r="H42" s="69"/>
      <c r="I42" s="69"/>
      <c r="J42" s="69"/>
      <c r="K42" s="69"/>
      <c r="L42" s="69"/>
      <c r="M42" s="69"/>
      <c r="N42" s="69"/>
      <c r="O42" s="15"/>
      <c r="P42" s="15"/>
      <c r="Q42" s="15"/>
    </row>
    <row r="43" spans="2:17" x14ac:dyDescent="0.2">
      <c r="B43" s="15"/>
      <c r="C43" s="15"/>
      <c r="D43" s="15"/>
      <c r="E43" s="15"/>
      <c r="F43" s="15"/>
      <c r="G43" s="15"/>
      <c r="H43" s="69"/>
      <c r="I43" s="69"/>
      <c r="J43" s="69"/>
      <c r="K43" s="69"/>
      <c r="L43" s="69"/>
      <c r="M43" s="69"/>
      <c r="N43" s="69"/>
      <c r="O43" s="15"/>
      <c r="P43" s="15"/>
      <c r="Q43" s="15"/>
    </row>
    <row r="44" spans="2:17" x14ac:dyDescent="0.2">
      <c r="B44" s="15"/>
      <c r="C44" s="68" t="s">
        <v>79</v>
      </c>
      <c r="D44" s="15" t="s">
        <v>78</v>
      </c>
      <c r="E44" s="15"/>
      <c r="F44" s="15"/>
      <c r="G44" s="15"/>
      <c r="H44" s="69"/>
      <c r="I44" s="69"/>
      <c r="J44" s="69"/>
      <c r="K44" s="69"/>
      <c r="L44" s="69"/>
      <c r="M44" s="69"/>
      <c r="N44" s="69"/>
      <c r="O44" s="15"/>
      <c r="P44" s="15"/>
      <c r="Q44" s="15"/>
    </row>
    <row r="45" spans="2:17" x14ac:dyDescent="0.2">
      <c r="B45" s="15"/>
      <c r="C45" s="15"/>
      <c r="D45" s="15"/>
      <c r="E45" s="15"/>
      <c r="F45" s="15"/>
      <c r="G45" s="15"/>
      <c r="H45" s="69"/>
      <c r="I45" s="69"/>
      <c r="J45" s="69"/>
      <c r="K45" s="69"/>
      <c r="L45" s="69"/>
      <c r="M45" s="69"/>
      <c r="N45" s="69"/>
      <c r="O45" s="15"/>
      <c r="P45" s="15"/>
      <c r="Q45" s="15"/>
    </row>
    <row r="46" spans="2:17" x14ac:dyDescent="0.2">
      <c r="B46" s="15"/>
      <c r="C46" s="15"/>
      <c r="D46" s="15"/>
      <c r="E46" s="15"/>
      <c r="F46" s="15"/>
      <c r="G46" s="15"/>
      <c r="H46" s="69"/>
      <c r="I46" s="69"/>
      <c r="J46" s="69"/>
      <c r="K46" s="69"/>
      <c r="L46" s="69"/>
      <c r="M46" s="69"/>
      <c r="N46" s="69"/>
      <c r="O46" s="15"/>
      <c r="P46" s="15"/>
      <c r="Q46" s="15"/>
    </row>
    <row r="47" spans="2:17" x14ac:dyDescent="0.2">
      <c r="B47" s="15"/>
      <c r="C47" s="15"/>
      <c r="D47" s="15"/>
      <c r="E47" s="15"/>
      <c r="F47" s="15"/>
      <c r="G47" s="15"/>
      <c r="H47" s="69"/>
      <c r="I47" s="69"/>
      <c r="J47" s="69"/>
      <c r="K47" s="69"/>
      <c r="L47" s="69"/>
      <c r="M47" s="69"/>
      <c r="N47" s="69"/>
      <c r="O47" s="15"/>
      <c r="P47" s="15"/>
      <c r="Q47" s="15"/>
    </row>
    <row r="48" spans="2:17" x14ac:dyDescent="0.2">
      <c r="B48" s="15"/>
      <c r="C48" s="15"/>
      <c r="D48" s="15"/>
      <c r="E48" s="15"/>
      <c r="F48" s="15"/>
      <c r="G48" s="15"/>
      <c r="H48" s="69"/>
      <c r="I48" s="69"/>
      <c r="J48" s="69"/>
      <c r="K48" s="69"/>
      <c r="L48" s="69"/>
      <c r="M48" s="69"/>
      <c r="N48" s="69"/>
      <c r="O48" s="15"/>
      <c r="P48" s="15"/>
      <c r="Q48" s="15"/>
    </row>
    <row r="49" spans="2:17" x14ac:dyDescent="0.2">
      <c r="B49" s="15"/>
      <c r="C49" s="15"/>
      <c r="D49" s="15"/>
      <c r="E49" s="15"/>
      <c r="F49" s="15"/>
      <c r="G49" s="15"/>
      <c r="H49" s="69"/>
      <c r="I49" s="69"/>
      <c r="J49" s="69"/>
      <c r="K49" s="69"/>
      <c r="L49" s="69"/>
      <c r="M49" s="69"/>
      <c r="N49" s="69"/>
      <c r="O49" s="15"/>
      <c r="P49" s="15"/>
      <c r="Q49" s="15"/>
    </row>
    <row r="50" spans="2:17" x14ac:dyDescent="0.2">
      <c r="B50" s="15"/>
      <c r="C50" s="68" t="s">
        <v>80</v>
      </c>
      <c r="D50" s="15" t="s">
        <v>81</v>
      </c>
      <c r="E50" s="15"/>
      <c r="F50" s="15"/>
      <c r="G50" s="15"/>
      <c r="H50" s="69"/>
      <c r="I50" s="69"/>
      <c r="J50" s="69"/>
      <c r="K50" s="69"/>
      <c r="L50" s="69"/>
      <c r="M50" s="69"/>
      <c r="N50" s="69"/>
      <c r="O50" s="15"/>
      <c r="P50" s="15"/>
      <c r="Q50" s="15"/>
    </row>
    <row r="51" spans="2:17" x14ac:dyDescent="0.2">
      <c r="B51" s="15"/>
      <c r="C51" s="15"/>
      <c r="D51" s="15"/>
      <c r="E51" s="15"/>
      <c r="F51" s="15"/>
      <c r="G51" s="15"/>
      <c r="H51" s="69"/>
      <c r="I51" s="69"/>
      <c r="J51" s="69"/>
      <c r="K51" s="69"/>
      <c r="L51" s="69"/>
      <c r="M51" s="69"/>
      <c r="N51" s="69"/>
      <c r="O51" s="15"/>
      <c r="P51" s="15"/>
      <c r="Q51" s="15"/>
    </row>
    <row r="52" spans="2:17" x14ac:dyDescent="0.2">
      <c r="B52" s="15"/>
      <c r="C52" s="15"/>
      <c r="D52" s="15"/>
      <c r="E52" s="15"/>
      <c r="F52" s="15"/>
      <c r="G52" s="15"/>
      <c r="H52" s="69"/>
      <c r="I52" s="69"/>
      <c r="J52" s="69"/>
      <c r="K52" s="69"/>
      <c r="L52" s="69"/>
      <c r="M52" s="69"/>
      <c r="N52" s="69"/>
      <c r="O52" s="15"/>
      <c r="P52" s="15"/>
      <c r="Q52" s="15"/>
    </row>
    <row r="53" spans="2:17" x14ac:dyDescent="0.2">
      <c r="B53" s="15"/>
      <c r="C53" s="15"/>
      <c r="D53" s="15"/>
      <c r="E53" s="15"/>
      <c r="F53" s="15"/>
      <c r="G53" s="15"/>
      <c r="H53" s="69"/>
      <c r="I53" s="69"/>
      <c r="J53" s="69"/>
      <c r="K53" s="69"/>
      <c r="L53" s="69"/>
      <c r="M53" s="69"/>
      <c r="N53" s="69"/>
      <c r="O53" s="15"/>
      <c r="P53" s="15"/>
      <c r="Q53" s="15"/>
    </row>
    <row r="54" spans="2:17" x14ac:dyDescent="0.2">
      <c r="B54" s="15"/>
      <c r="C54" s="15"/>
      <c r="D54" s="15"/>
      <c r="E54" s="15"/>
      <c r="F54" s="15"/>
      <c r="G54" s="15"/>
      <c r="H54" s="69"/>
      <c r="I54" s="69"/>
      <c r="J54" s="69"/>
      <c r="K54" s="69"/>
      <c r="L54" s="69"/>
      <c r="M54" s="69"/>
      <c r="N54" s="69"/>
      <c r="O54" s="15"/>
      <c r="P54" s="15"/>
      <c r="Q54" s="15"/>
    </row>
    <row r="55" spans="2:17" x14ac:dyDescent="0.2">
      <c r="B55" s="15"/>
      <c r="C55" s="15"/>
      <c r="D55" s="15"/>
      <c r="E55" s="15"/>
      <c r="F55" s="15"/>
      <c r="G55" s="15"/>
      <c r="H55" s="69"/>
      <c r="I55" s="69"/>
      <c r="J55" s="69"/>
      <c r="K55" s="69"/>
      <c r="L55" s="69"/>
      <c r="M55" s="69"/>
      <c r="N55" s="69"/>
      <c r="O55" s="15"/>
      <c r="P55" s="15"/>
      <c r="Q55" s="15"/>
    </row>
    <row r="56" spans="2:17" x14ac:dyDescent="0.2">
      <c r="B56" s="15"/>
      <c r="C56" s="15"/>
      <c r="D56" s="67"/>
      <c r="E56" s="15"/>
      <c r="F56" s="15"/>
      <c r="G56" s="15"/>
      <c r="H56" s="69"/>
      <c r="I56" s="69"/>
      <c r="J56" s="69"/>
      <c r="K56" s="69"/>
      <c r="L56" s="69"/>
      <c r="M56" s="69"/>
      <c r="N56" s="69"/>
    </row>
    <row r="57" spans="2:17" x14ac:dyDescent="0.2">
      <c r="B57" s="15"/>
      <c r="C57" s="15"/>
      <c r="D57" s="69"/>
      <c r="E57" s="15"/>
      <c r="F57" s="15"/>
      <c r="G57" s="15"/>
      <c r="H57" s="69"/>
      <c r="I57" s="69"/>
      <c r="J57" s="69"/>
      <c r="K57" s="69"/>
      <c r="L57" s="69"/>
      <c r="M57" s="69"/>
      <c r="N57" s="69"/>
    </row>
    <row r="58" spans="2:17" x14ac:dyDescent="0.2">
      <c r="B58" s="15"/>
      <c r="C58" s="15"/>
      <c r="D58" s="70"/>
      <c r="E58" s="15"/>
      <c r="F58" s="15"/>
      <c r="G58" s="15"/>
      <c r="H58" s="69"/>
      <c r="I58" s="69"/>
      <c r="J58" s="69"/>
      <c r="K58" s="69"/>
      <c r="L58" s="69"/>
      <c r="M58" s="69"/>
      <c r="N58" s="69"/>
    </row>
    <row r="59" spans="2:17" x14ac:dyDescent="0.2">
      <c r="B59" s="15"/>
      <c r="C59" s="15"/>
      <c r="D59" s="69"/>
      <c r="E59" s="15"/>
      <c r="F59" s="15"/>
      <c r="G59" s="15"/>
      <c r="H59" s="69"/>
      <c r="I59" s="69"/>
      <c r="J59" s="69"/>
      <c r="K59" s="69"/>
      <c r="L59" s="69"/>
      <c r="M59" s="69"/>
      <c r="N59" s="69"/>
    </row>
    <row r="60" spans="2:17" x14ac:dyDescent="0.2">
      <c r="B60" s="15"/>
      <c r="C60" s="15"/>
      <c r="D60" s="69"/>
      <c r="E60" s="15"/>
      <c r="F60" s="15"/>
      <c r="G60" s="15"/>
      <c r="H60" s="69"/>
      <c r="I60" s="69"/>
      <c r="J60" s="69"/>
      <c r="K60" s="69"/>
      <c r="L60" s="69"/>
      <c r="M60" s="69"/>
      <c r="N60" s="69"/>
    </row>
    <row r="61" spans="2:17" x14ac:dyDescent="0.2">
      <c r="B61" s="15"/>
      <c r="C61" s="15"/>
      <c r="D61" s="69"/>
      <c r="E61" s="15"/>
      <c r="F61" s="15"/>
      <c r="G61" s="15"/>
      <c r="H61" s="69"/>
      <c r="I61" s="69"/>
      <c r="J61" s="69"/>
      <c r="K61" s="69"/>
      <c r="L61" s="69"/>
      <c r="M61" s="69"/>
      <c r="N61" s="69"/>
    </row>
    <row r="62" spans="2:17" x14ac:dyDescent="0.2">
      <c r="B62" s="69"/>
      <c r="C62" s="69"/>
      <c r="D62" s="69"/>
      <c r="E62" s="69"/>
      <c r="F62" s="69"/>
      <c r="G62" s="69"/>
      <c r="H62" s="69"/>
      <c r="I62" s="69"/>
      <c r="J62" s="69"/>
      <c r="K62" s="69"/>
      <c r="L62" s="69"/>
      <c r="M62" s="69"/>
      <c r="N62" s="69"/>
    </row>
  </sheetData>
  <conditionalFormatting sqref="D15">
    <cfRule type="iconSet" priority="1">
      <iconSet reverse="1">
        <cfvo type="percent" val="0"/>
        <cfvo type="num" val="1" gte="0"/>
        <cfvo type="num" val="2" gte="0"/>
      </iconSet>
    </cfRule>
  </conditionalFormatting>
  <hyperlinks>
    <hyperlink ref="A8" location="'Personal Budget Analysis'!A1" display="XXXXXXXX" xr:uid="{F2903A3A-8F76-4364-9C27-40B85584840D}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3FBAE-2425-4DBA-843C-D3B7A19E31AD}">
  <sheetPr>
    <tabColor rgb="FF50B47F"/>
  </sheetPr>
  <dimension ref="A1:Y46"/>
  <sheetViews>
    <sheetView showGridLines="0" showRowColHeaders="0" zoomScale="85" zoomScaleNormal="85" workbookViewId="0">
      <selection activeCell="A2" sqref="A2"/>
    </sheetView>
  </sheetViews>
  <sheetFormatPr defaultColWidth="0" defaultRowHeight="12.75" zeroHeight="1" x14ac:dyDescent="0.2"/>
  <cols>
    <col min="1" max="1" width="1" customWidth="1"/>
    <col min="2" max="2" width="19.42578125" bestFit="1" customWidth="1"/>
    <col min="3" max="16" width="8.7109375" customWidth="1"/>
    <col min="17" max="25" width="9.140625" customWidth="1"/>
    <col min="26" max="16384" width="9.140625" hidden="1"/>
  </cols>
  <sheetData>
    <row r="1" spans="1:25" ht="16.5" thickBot="1" x14ac:dyDescent="0.25">
      <c r="A1" s="71" t="s">
        <v>83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</row>
    <row r="2" spans="1:25" x14ac:dyDescent="0.2"/>
    <row r="3" spans="1:25" x14ac:dyDescent="0.2">
      <c r="B3" s="15" t="s">
        <v>53</v>
      </c>
      <c r="C3" s="33">
        <v>15000</v>
      </c>
    </row>
    <row r="4" spans="1:25" s="17" customFormat="1" ht="19.5" customHeight="1" x14ac:dyDescent="0.2">
      <c r="B4" s="20" t="s">
        <v>34</v>
      </c>
      <c r="C4" s="18" t="s">
        <v>17</v>
      </c>
      <c r="D4" s="18" t="s">
        <v>18</v>
      </c>
      <c r="E4" s="18" t="s">
        <v>19</v>
      </c>
      <c r="F4" s="18" t="s">
        <v>20</v>
      </c>
      <c r="G4" s="18" t="s">
        <v>21</v>
      </c>
      <c r="H4" s="18" t="s">
        <v>22</v>
      </c>
      <c r="I4" s="18" t="s">
        <v>23</v>
      </c>
      <c r="J4" s="18" t="s">
        <v>24</v>
      </c>
      <c r="K4" s="18" t="s">
        <v>25</v>
      </c>
      <c r="L4" s="18" t="s">
        <v>26</v>
      </c>
      <c r="M4" s="18" t="s">
        <v>27</v>
      </c>
      <c r="N4" s="19" t="s">
        <v>28</v>
      </c>
      <c r="O4" s="25" t="s">
        <v>15</v>
      </c>
      <c r="P4" s="25" t="s">
        <v>33</v>
      </c>
    </row>
    <row r="5" spans="1:25" x14ac:dyDescent="0.2">
      <c r="B5" s="13" t="s">
        <v>29</v>
      </c>
      <c r="C5" s="16">
        <f>Income[[#Totals],[JAN]]</f>
        <v>14493</v>
      </c>
      <c r="D5" s="16">
        <f>Income[[#Totals],[FEB]]</f>
        <v>12620</v>
      </c>
      <c r="E5" s="16">
        <f>Income[[#Totals],[MAR]]</f>
        <v>13237</v>
      </c>
      <c r="F5" s="16">
        <f>Income[[#Totals],[APR]]</f>
        <v>9622</v>
      </c>
      <c r="G5" s="16">
        <f>Income[[#Totals],[MAY]]</f>
        <v>9783</v>
      </c>
      <c r="H5" s="16">
        <f>Income[[#Totals],[JUN]]</f>
        <v>10486</v>
      </c>
      <c r="I5" s="16">
        <f>Income[[#Totals],[JUL]]</f>
        <v>5474</v>
      </c>
      <c r="J5" s="16">
        <f>Income[[#Totals],[AUG]]</f>
        <v>10044</v>
      </c>
      <c r="K5" s="16">
        <f>Income[[#Totals],[SEP]]</f>
        <v>5282</v>
      </c>
      <c r="L5" s="16">
        <f>Income[[#Totals],[OCT]]</f>
        <v>11664</v>
      </c>
      <c r="M5" s="16">
        <f>Income[[#Totals],[NOV]]</f>
        <v>10029</v>
      </c>
      <c r="N5" s="16">
        <f>Income[[#Totals],[DEC]]</f>
        <v>14196</v>
      </c>
      <c r="O5" s="26">
        <f>SUM(C5:N5)</f>
        <v>126930</v>
      </c>
      <c r="P5" s="26">
        <f>IFERROR(AVERAGE(C5:N5),"")</f>
        <v>10577.5</v>
      </c>
    </row>
    <row r="6" spans="1:25" x14ac:dyDescent="0.2">
      <c r="B6" s="13" t="s">
        <v>30</v>
      </c>
      <c r="C6" s="16">
        <f>Expenses[[#Totals],[JAN]]</f>
        <v>6234</v>
      </c>
      <c r="D6" s="16">
        <f>Expenses[[#Totals],[FEB]]</f>
        <v>7739</v>
      </c>
      <c r="E6" s="16">
        <f>Expenses[[#Totals],[MAR]]</f>
        <v>7147</v>
      </c>
      <c r="F6" s="16">
        <f>Expenses[[#Totals],[APR]]</f>
        <v>6965</v>
      </c>
      <c r="G6" s="16">
        <f>Expenses[[#Totals],[MAY]]</f>
        <v>6517</v>
      </c>
      <c r="H6" s="16">
        <f>Expenses[[#Totals],[JUN]]</f>
        <v>5692</v>
      </c>
      <c r="I6" s="16">
        <f>Expenses[[#Totals],[JUL]]</f>
        <v>6135</v>
      </c>
      <c r="J6" s="16">
        <f>Expenses[[#Totals],[AUG]]</f>
        <v>7190</v>
      </c>
      <c r="K6" s="16">
        <f>Expenses[[#Totals],[SEP]]</f>
        <v>6880</v>
      </c>
      <c r="L6" s="16">
        <f>Expenses[[#Totals],[OCT]]</f>
        <v>6341</v>
      </c>
      <c r="M6" s="16">
        <f>Expenses[[#Totals],[NOV]]</f>
        <v>7640</v>
      </c>
      <c r="N6" s="16">
        <f>Expenses[[#Totals],[DEC]]</f>
        <v>7149</v>
      </c>
      <c r="O6" s="26">
        <f t="shared" ref="O6:O7" si="0">SUM(C6:N6)</f>
        <v>81629</v>
      </c>
      <c r="P6" s="26">
        <f t="shared" ref="P6:P7" si="1">IFERROR(AVERAGE(C6:N6),"")</f>
        <v>6802.416666666667</v>
      </c>
    </row>
    <row r="7" spans="1:25" x14ac:dyDescent="0.2">
      <c r="B7" s="13" t="s">
        <v>31</v>
      </c>
      <c r="C7" s="16">
        <f>C5-C6</f>
        <v>8259</v>
      </c>
      <c r="D7" s="16">
        <f t="shared" ref="D7:N7" si="2">D5-D6</f>
        <v>4881</v>
      </c>
      <c r="E7" s="16">
        <f t="shared" si="2"/>
        <v>6090</v>
      </c>
      <c r="F7" s="16">
        <f t="shared" si="2"/>
        <v>2657</v>
      </c>
      <c r="G7" s="16">
        <f t="shared" si="2"/>
        <v>3266</v>
      </c>
      <c r="H7" s="16">
        <f t="shared" si="2"/>
        <v>4794</v>
      </c>
      <c r="I7" s="16">
        <f t="shared" si="2"/>
        <v>-661</v>
      </c>
      <c r="J7" s="16">
        <f t="shared" si="2"/>
        <v>2854</v>
      </c>
      <c r="K7" s="16">
        <f t="shared" si="2"/>
        <v>-1598</v>
      </c>
      <c r="L7" s="16">
        <f t="shared" si="2"/>
        <v>5323</v>
      </c>
      <c r="M7" s="16">
        <f t="shared" si="2"/>
        <v>2389</v>
      </c>
      <c r="N7" s="16">
        <f t="shared" si="2"/>
        <v>7047</v>
      </c>
      <c r="O7" s="26">
        <f t="shared" si="0"/>
        <v>45301</v>
      </c>
      <c r="P7" s="26">
        <f t="shared" si="1"/>
        <v>3775.0833333333335</v>
      </c>
    </row>
    <row r="8" spans="1:25" x14ac:dyDescent="0.2">
      <c r="B8" s="14" t="s">
        <v>32</v>
      </c>
      <c r="C8" s="42">
        <f>C3+C5-C6</f>
        <v>23259</v>
      </c>
      <c r="D8" s="42">
        <f>C8+D5-D6</f>
        <v>28140</v>
      </c>
      <c r="E8" s="42">
        <f t="shared" ref="E8:N8" si="3">D8+E5-E6</f>
        <v>34230</v>
      </c>
      <c r="F8" s="42">
        <f t="shared" si="3"/>
        <v>36887</v>
      </c>
      <c r="G8" s="42">
        <f t="shared" si="3"/>
        <v>40153</v>
      </c>
      <c r="H8" s="42">
        <f t="shared" si="3"/>
        <v>44947</v>
      </c>
      <c r="I8" s="42">
        <f t="shared" si="3"/>
        <v>44286</v>
      </c>
      <c r="J8" s="42">
        <f t="shared" si="3"/>
        <v>47140</v>
      </c>
      <c r="K8" s="42">
        <f t="shared" si="3"/>
        <v>45542</v>
      </c>
      <c r="L8" s="42">
        <f t="shared" si="3"/>
        <v>50865</v>
      </c>
      <c r="M8" s="42">
        <f t="shared" si="3"/>
        <v>53254</v>
      </c>
      <c r="N8" s="42">
        <f t="shared" si="3"/>
        <v>60301</v>
      </c>
      <c r="O8" s="44"/>
      <c r="P8" s="44"/>
    </row>
    <row r="9" spans="1:25" ht="15" x14ac:dyDescent="0.25">
      <c r="B9" s="45" t="s">
        <v>70</v>
      </c>
      <c r="D9" s="43">
        <f>IFERROR((D8-C8)/C8,"")</f>
        <v>0.20985424996775442</v>
      </c>
      <c r="E9" s="43">
        <f t="shared" ref="E9:N9" si="4">IFERROR((E8-D8)/D8,"")</f>
        <v>0.21641791044776118</v>
      </c>
      <c r="F9" s="43">
        <f t="shared" si="4"/>
        <v>7.7621969033011981E-2</v>
      </c>
      <c r="G9" s="43">
        <f t="shared" si="4"/>
        <v>8.8540678287743646E-2</v>
      </c>
      <c r="H9" s="43">
        <f t="shared" si="4"/>
        <v>0.11939332054890045</v>
      </c>
      <c r="I9" s="43">
        <f t="shared" si="4"/>
        <v>-1.4706209535675351E-2</v>
      </c>
      <c r="J9" s="43">
        <f t="shared" si="4"/>
        <v>6.4444745517770852E-2</v>
      </c>
      <c r="K9" s="43">
        <f t="shared" si="4"/>
        <v>-3.3899024183283832E-2</v>
      </c>
      <c r="L9" s="43">
        <f t="shared" si="4"/>
        <v>0.11688112072372756</v>
      </c>
      <c r="M9" s="43">
        <f t="shared" si="4"/>
        <v>4.6967462891968938E-2</v>
      </c>
      <c r="N9" s="43">
        <f t="shared" si="4"/>
        <v>0.13232808803094603</v>
      </c>
      <c r="O9" s="72">
        <f>IFERROR((N8-C8)/C8,"")</f>
        <v>1.5925878154692807</v>
      </c>
      <c r="P9" s="72"/>
    </row>
    <row r="10" spans="1:25" x14ac:dyDescent="0.2"/>
    <row r="11" spans="1:25" s="17" customFormat="1" ht="19.5" customHeight="1" x14ac:dyDescent="0.2">
      <c r="B11" s="21" t="s">
        <v>35</v>
      </c>
      <c r="C11" s="22" t="s">
        <v>17</v>
      </c>
      <c r="D11" s="22" t="s">
        <v>18</v>
      </c>
      <c r="E11" s="22" t="s">
        <v>19</v>
      </c>
      <c r="F11" s="22" t="s">
        <v>20</v>
      </c>
      <c r="G11" s="22" t="s">
        <v>21</v>
      </c>
      <c r="H11" s="22" t="s">
        <v>22</v>
      </c>
      <c r="I11" s="22" t="s">
        <v>23</v>
      </c>
      <c r="J11" s="22" t="s">
        <v>24</v>
      </c>
      <c r="K11" s="22" t="s">
        <v>25</v>
      </c>
      <c r="L11" s="22" t="s">
        <v>26</v>
      </c>
      <c r="M11" s="22" t="s">
        <v>27</v>
      </c>
      <c r="N11" s="23" t="s">
        <v>28</v>
      </c>
      <c r="O11" s="27" t="s">
        <v>15</v>
      </c>
      <c r="P11" s="28" t="s">
        <v>33</v>
      </c>
    </row>
    <row r="12" spans="1:25" x14ac:dyDescent="0.2">
      <c r="B12" s="34" t="s">
        <v>37</v>
      </c>
      <c r="C12" s="35">
        <v>1008</v>
      </c>
      <c r="D12" s="35">
        <v>2719</v>
      </c>
      <c r="E12" s="35">
        <v>2462</v>
      </c>
      <c r="F12" s="35">
        <v>2915</v>
      </c>
      <c r="G12" s="35">
        <v>1813</v>
      </c>
      <c r="H12" s="35">
        <v>1479</v>
      </c>
      <c r="I12" s="35">
        <v>500</v>
      </c>
      <c r="J12" s="35">
        <v>2396</v>
      </c>
      <c r="K12" s="35">
        <v>727</v>
      </c>
      <c r="L12" s="35">
        <v>1747</v>
      </c>
      <c r="M12" s="35">
        <v>2646</v>
      </c>
      <c r="N12" s="36">
        <v>1417</v>
      </c>
      <c r="O12" s="29">
        <f>IF(COUNT(Income[[#This Row],[JAN]:[DEC]])=0,"",SUM(Income[[#This Row],[JAN]:[DEC]]))</f>
        <v>21829</v>
      </c>
      <c r="P12" s="30">
        <f>IFERROR(AVERAGE(C12:N12),"")</f>
        <v>1819.0833333333333</v>
      </c>
    </row>
    <row r="13" spans="1:25" x14ac:dyDescent="0.2">
      <c r="B13" s="37" t="s">
        <v>38</v>
      </c>
      <c r="C13" s="35">
        <v>2394</v>
      </c>
      <c r="D13" s="35">
        <v>1234</v>
      </c>
      <c r="E13" s="35">
        <v>1164</v>
      </c>
      <c r="F13" s="35">
        <v>724</v>
      </c>
      <c r="G13" s="35">
        <v>1022</v>
      </c>
      <c r="H13" s="35">
        <v>1074</v>
      </c>
      <c r="I13" s="35">
        <v>300</v>
      </c>
      <c r="J13" s="35">
        <v>1393</v>
      </c>
      <c r="K13" s="35">
        <v>1828</v>
      </c>
      <c r="L13" s="35">
        <v>1117</v>
      </c>
      <c r="M13" s="35">
        <v>1476</v>
      </c>
      <c r="N13" s="36">
        <v>1181</v>
      </c>
      <c r="O13" s="29">
        <f>IF(COUNT(Income[[#This Row],[JAN]:[DEC]])=0,"",SUM(Income[[#This Row],[JAN]:[DEC]]))</f>
        <v>14907</v>
      </c>
      <c r="P13" s="30">
        <f t="shared" ref="P13:P26" si="5">IFERROR(AVERAGE(C13:N13),"")</f>
        <v>1242.25</v>
      </c>
    </row>
    <row r="14" spans="1:25" x14ac:dyDescent="0.2">
      <c r="B14" s="37" t="s">
        <v>39</v>
      </c>
      <c r="C14" s="35">
        <v>2833</v>
      </c>
      <c r="D14" s="35">
        <v>1775</v>
      </c>
      <c r="E14" s="35">
        <v>2742</v>
      </c>
      <c r="F14" s="35">
        <v>782</v>
      </c>
      <c r="G14" s="35">
        <v>1133</v>
      </c>
      <c r="H14" s="35">
        <v>1739</v>
      </c>
      <c r="I14" s="35">
        <v>1500</v>
      </c>
      <c r="J14" s="35">
        <v>950</v>
      </c>
      <c r="K14" s="35"/>
      <c r="L14" s="35">
        <v>2846</v>
      </c>
      <c r="M14" s="35">
        <v>1152</v>
      </c>
      <c r="N14" s="36">
        <v>2785</v>
      </c>
      <c r="O14" s="29">
        <f>IF(COUNT(Income[[#This Row],[JAN]:[DEC]])=0,"",SUM(Income[[#This Row],[JAN]:[DEC]]))</f>
        <v>20237</v>
      </c>
      <c r="P14" s="30">
        <f t="shared" si="5"/>
        <v>1839.7272727272727</v>
      </c>
    </row>
    <row r="15" spans="1:25" x14ac:dyDescent="0.2">
      <c r="B15" s="37" t="s">
        <v>40</v>
      </c>
      <c r="C15" s="35">
        <v>2069</v>
      </c>
      <c r="D15" s="35">
        <v>2376</v>
      </c>
      <c r="E15" s="35">
        <v>1422</v>
      </c>
      <c r="F15" s="35"/>
      <c r="G15" s="35">
        <v>1109</v>
      </c>
      <c r="H15" s="35">
        <v>1316</v>
      </c>
      <c r="I15" s="35">
        <v>200</v>
      </c>
      <c r="J15" s="35">
        <v>450</v>
      </c>
      <c r="K15" s="35">
        <v>950</v>
      </c>
      <c r="L15" s="35">
        <v>2020</v>
      </c>
      <c r="M15" s="35">
        <v>1343</v>
      </c>
      <c r="N15" s="36">
        <v>2758</v>
      </c>
      <c r="O15" s="29">
        <f>IF(COUNT(Income[[#This Row],[JAN]:[DEC]])=0,"",SUM(Income[[#This Row],[JAN]:[DEC]]))</f>
        <v>16013</v>
      </c>
      <c r="P15" s="30">
        <f t="shared" si="5"/>
        <v>1455.7272727272727</v>
      </c>
    </row>
    <row r="16" spans="1:25" x14ac:dyDescent="0.2">
      <c r="B16" s="37" t="s">
        <v>41</v>
      </c>
      <c r="C16" s="35">
        <v>1801</v>
      </c>
      <c r="D16" s="35">
        <v>2353</v>
      </c>
      <c r="E16" s="35">
        <v>2472</v>
      </c>
      <c r="F16" s="35">
        <v>2418</v>
      </c>
      <c r="G16" s="35">
        <v>1119</v>
      </c>
      <c r="H16" s="35">
        <v>1030</v>
      </c>
      <c r="I16" s="35">
        <v>700</v>
      </c>
      <c r="J16" s="35">
        <v>1692</v>
      </c>
      <c r="K16" s="35">
        <v>1377</v>
      </c>
      <c r="L16" s="35">
        <v>1105</v>
      </c>
      <c r="M16" s="35">
        <v>1573</v>
      </c>
      <c r="N16" s="36">
        <v>2243</v>
      </c>
      <c r="O16" s="29">
        <f>IF(COUNT(Income[[#This Row],[JAN]:[DEC]])=0,"",SUM(Income[[#This Row],[JAN]:[DEC]]))</f>
        <v>19883</v>
      </c>
      <c r="P16" s="30">
        <f t="shared" si="5"/>
        <v>1656.9166666666667</v>
      </c>
    </row>
    <row r="17" spans="2:16" x14ac:dyDescent="0.2">
      <c r="B17" s="37" t="s">
        <v>42</v>
      </c>
      <c r="C17" s="35">
        <v>2939</v>
      </c>
      <c r="D17" s="35">
        <v>1284</v>
      </c>
      <c r="E17" s="35">
        <v>1642</v>
      </c>
      <c r="F17" s="35"/>
      <c r="G17" s="35">
        <v>1368</v>
      </c>
      <c r="H17" s="35">
        <v>2256</v>
      </c>
      <c r="I17" s="35">
        <v>774</v>
      </c>
      <c r="J17" s="35">
        <v>1400</v>
      </c>
      <c r="K17" s="35">
        <v>400</v>
      </c>
      <c r="L17" s="35">
        <v>654</v>
      </c>
      <c r="M17" s="35">
        <v>1032</v>
      </c>
      <c r="N17" s="36">
        <v>1474</v>
      </c>
      <c r="O17" s="29">
        <f>IF(COUNT(Income[[#This Row],[JAN]:[DEC]])=0,"",SUM(Income[[#This Row],[JAN]:[DEC]]))</f>
        <v>15223</v>
      </c>
      <c r="P17" s="30">
        <f t="shared" si="5"/>
        <v>1383.909090909091</v>
      </c>
    </row>
    <row r="18" spans="2:16" x14ac:dyDescent="0.2">
      <c r="B18" s="37" t="s">
        <v>43</v>
      </c>
      <c r="C18" s="35">
        <v>1449</v>
      </c>
      <c r="D18" s="35">
        <v>879</v>
      </c>
      <c r="E18" s="35">
        <v>1333</v>
      </c>
      <c r="F18" s="35">
        <v>2783</v>
      </c>
      <c r="G18" s="35">
        <v>2219</v>
      </c>
      <c r="H18" s="35">
        <v>1592</v>
      </c>
      <c r="I18" s="35">
        <v>1500</v>
      </c>
      <c r="J18" s="35">
        <v>1763</v>
      </c>
      <c r="K18" s="35"/>
      <c r="L18" s="35">
        <v>2175</v>
      </c>
      <c r="M18" s="35">
        <v>807</v>
      </c>
      <c r="N18" s="36">
        <v>2338</v>
      </c>
      <c r="O18" s="29">
        <f>IF(COUNT(Income[[#This Row],[JAN]:[DEC]])=0,"",SUM(Income[[#This Row],[JAN]:[DEC]]))</f>
        <v>18838</v>
      </c>
      <c r="P18" s="30">
        <f t="shared" si="5"/>
        <v>1712.5454545454545</v>
      </c>
    </row>
    <row r="19" spans="2:16" x14ac:dyDescent="0.2">
      <c r="B19" s="37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6"/>
      <c r="O19" s="29" t="str">
        <f>IF(COUNT(Income[[#This Row],[JAN]:[DEC]])=0,"",SUM(Income[[#This Row],[JAN]:[DEC]]))</f>
        <v/>
      </c>
      <c r="P19" s="30" t="str">
        <f>IFERROR(AVERAGE(C19:N19),"")</f>
        <v/>
      </c>
    </row>
    <row r="20" spans="2:16" x14ac:dyDescent="0.2">
      <c r="B20" s="37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6"/>
      <c r="O20" s="29" t="str">
        <f>IF(COUNT(Income[[#This Row],[JAN]:[DEC]])=0,"",SUM(Income[[#This Row],[JAN]:[DEC]]))</f>
        <v/>
      </c>
      <c r="P20" s="30" t="str">
        <f>IFERROR(AVERAGE(C20:N20),"")</f>
        <v/>
      </c>
    </row>
    <row r="21" spans="2:16" x14ac:dyDescent="0.2">
      <c r="B21" s="37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6"/>
      <c r="O21" s="29" t="str">
        <f>IF(COUNT(Income[[#This Row],[JAN]:[DEC]])=0,"",SUM(Income[[#This Row],[JAN]:[DEC]]))</f>
        <v/>
      </c>
      <c r="P21" s="30" t="str">
        <f>IFERROR(AVERAGE(C21:N21),"")</f>
        <v/>
      </c>
    </row>
    <row r="22" spans="2:16" x14ac:dyDescent="0.2">
      <c r="B22" s="37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6"/>
      <c r="O22" s="29" t="str">
        <f>IF(COUNT(Income[[#This Row],[JAN]:[DEC]])=0,"",SUM(Income[[#This Row],[JAN]:[DEC]]))</f>
        <v/>
      </c>
      <c r="P22" s="30" t="str">
        <f t="shared" si="5"/>
        <v/>
      </c>
    </row>
    <row r="23" spans="2:16" x14ac:dyDescent="0.2">
      <c r="B23" s="37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6"/>
      <c r="O23" s="29" t="str">
        <f>IF(COUNT(Income[[#This Row],[JAN]:[DEC]])=0,"",SUM(Income[[#This Row],[JAN]:[DEC]]))</f>
        <v/>
      </c>
      <c r="P23" s="30" t="str">
        <f t="shared" si="5"/>
        <v/>
      </c>
    </row>
    <row r="24" spans="2:16" x14ac:dyDescent="0.2">
      <c r="B24" s="37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6"/>
      <c r="O24" s="29" t="str">
        <f>IF(COUNT(Income[[#This Row],[JAN]:[DEC]])=0,"",SUM(Income[[#This Row],[JAN]:[DEC]]))</f>
        <v/>
      </c>
      <c r="P24" s="30" t="str">
        <f t="shared" si="5"/>
        <v/>
      </c>
    </row>
    <row r="25" spans="2:16" x14ac:dyDescent="0.2">
      <c r="B25" s="37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6"/>
      <c r="O25" s="29" t="str">
        <f>IF(COUNT(Income[[#This Row],[JAN]:[DEC]])=0,"",SUM(Income[[#This Row],[JAN]:[DEC]]))</f>
        <v/>
      </c>
      <c r="P25" s="30" t="str">
        <f t="shared" si="5"/>
        <v/>
      </c>
    </row>
    <row r="26" spans="2:16" x14ac:dyDescent="0.2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9"/>
      <c r="O26" s="29" t="str">
        <f>IF(COUNT(Income[[#This Row],[JAN]:[DEC]])=0,"",SUM(Income[[#This Row],[JAN]:[DEC]]))</f>
        <v/>
      </c>
      <c r="P26" s="30" t="str">
        <f t="shared" si="5"/>
        <v/>
      </c>
    </row>
    <row r="27" spans="2:16" x14ac:dyDescent="0.2">
      <c r="B27" s="24" t="s">
        <v>15</v>
      </c>
      <c r="C27" s="41">
        <f>SUBTOTAL(109,Income[JAN])</f>
        <v>14493</v>
      </c>
      <c r="D27" s="41">
        <f>SUBTOTAL(109,Income[FEB])</f>
        <v>12620</v>
      </c>
      <c r="E27" s="41">
        <f>SUBTOTAL(109,Income[MAR])</f>
        <v>13237</v>
      </c>
      <c r="F27" s="41">
        <f>SUBTOTAL(109,Income[APR])</f>
        <v>9622</v>
      </c>
      <c r="G27" s="41">
        <f>SUBTOTAL(109,Income[MAY])</f>
        <v>9783</v>
      </c>
      <c r="H27" s="41">
        <f>SUBTOTAL(109,Income[JUN])</f>
        <v>10486</v>
      </c>
      <c r="I27" s="41">
        <f>SUBTOTAL(109,Income[JUL])</f>
        <v>5474</v>
      </c>
      <c r="J27" s="41">
        <f>SUBTOTAL(109,Income[AUG])</f>
        <v>10044</v>
      </c>
      <c r="K27" s="41">
        <f>SUBTOTAL(109,Income[SEP])</f>
        <v>5282</v>
      </c>
      <c r="L27" s="41">
        <f>SUBTOTAL(109,Income[OCT])</f>
        <v>11664</v>
      </c>
      <c r="M27" s="41">
        <f>SUBTOTAL(109,Income[NOV])</f>
        <v>10029</v>
      </c>
      <c r="N27" s="41">
        <f>SUBTOTAL(109,Income[DEC])</f>
        <v>14196</v>
      </c>
      <c r="O27" s="31">
        <f>SUBTOTAL(109,Income[Total])</f>
        <v>126930</v>
      </c>
      <c r="P27" s="32">
        <f>IFERROR(SUBTOTAL(101,Income[Avg]),"")</f>
        <v>1587.1655844155844</v>
      </c>
    </row>
    <row r="28" spans="2:16" x14ac:dyDescent="0.2"/>
    <row r="29" spans="2:16" s="17" customFormat="1" ht="19.5" customHeight="1" x14ac:dyDescent="0.2">
      <c r="B29" s="53" t="s">
        <v>36</v>
      </c>
      <c r="C29" s="54" t="s">
        <v>17</v>
      </c>
      <c r="D29" s="54" t="s">
        <v>18</v>
      </c>
      <c r="E29" s="54" t="s">
        <v>19</v>
      </c>
      <c r="F29" s="54" t="s">
        <v>20</v>
      </c>
      <c r="G29" s="54" t="s">
        <v>21</v>
      </c>
      <c r="H29" s="54" t="s">
        <v>22</v>
      </c>
      <c r="I29" s="54" t="s">
        <v>23</v>
      </c>
      <c r="J29" s="54" t="s">
        <v>24</v>
      </c>
      <c r="K29" s="54" t="s">
        <v>25</v>
      </c>
      <c r="L29" s="54" t="s">
        <v>26</v>
      </c>
      <c r="M29" s="54" t="s">
        <v>27</v>
      </c>
      <c r="N29" s="55" t="s">
        <v>28</v>
      </c>
      <c r="O29" s="56" t="s">
        <v>15</v>
      </c>
      <c r="P29" s="57" t="s">
        <v>33</v>
      </c>
    </row>
    <row r="30" spans="2:16" x14ac:dyDescent="0.2">
      <c r="B30" s="58" t="s">
        <v>44</v>
      </c>
      <c r="C30" s="46">
        <v>374</v>
      </c>
      <c r="D30" s="46">
        <v>861</v>
      </c>
      <c r="E30" s="46">
        <v>398</v>
      </c>
      <c r="F30" s="46">
        <v>831</v>
      </c>
      <c r="G30" s="46">
        <v>639</v>
      </c>
      <c r="H30" s="46">
        <v>321</v>
      </c>
      <c r="I30" s="46">
        <v>515</v>
      </c>
      <c r="J30" s="46">
        <v>934</v>
      </c>
      <c r="K30" s="46">
        <v>741</v>
      </c>
      <c r="L30" s="46">
        <v>475</v>
      </c>
      <c r="M30" s="46">
        <v>875</v>
      </c>
      <c r="N30" s="47">
        <v>710</v>
      </c>
      <c r="O30" s="48">
        <f>IF(COUNT(Expenses[[#This Row],[JAN]:[DEC]])=0,"",SUM(Expenses[[#This Row],[JAN]:[DEC]]))</f>
        <v>7674</v>
      </c>
      <c r="P30" s="49">
        <f>IFERROR(AVERAGE(C30:N30),"")</f>
        <v>639.5</v>
      </c>
    </row>
    <row r="31" spans="2:16" x14ac:dyDescent="0.2">
      <c r="B31" s="59" t="s">
        <v>45</v>
      </c>
      <c r="C31" s="46">
        <v>600</v>
      </c>
      <c r="D31" s="46">
        <v>741</v>
      </c>
      <c r="E31" s="46">
        <v>914</v>
      </c>
      <c r="F31" s="46">
        <v>821</v>
      </c>
      <c r="G31" s="46">
        <v>800</v>
      </c>
      <c r="H31" s="46">
        <v>420</v>
      </c>
      <c r="I31" s="46">
        <v>200</v>
      </c>
      <c r="J31" s="46">
        <v>754</v>
      </c>
      <c r="K31" s="46">
        <v>351</v>
      </c>
      <c r="L31" s="46">
        <v>795</v>
      </c>
      <c r="M31" s="46">
        <v>589</v>
      </c>
      <c r="N31" s="47">
        <v>757</v>
      </c>
      <c r="O31" s="48">
        <f>IF(COUNT(Expenses[[#This Row],[JAN]:[DEC]])=0,"",SUM(Expenses[[#This Row],[JAN]:[DEC]]))</f>
        <v>7742</v>
      </c>
      <c r="P31" s="49">
        <f t="shared" ref="P31:P37" si="6">IFERROR(AVERAGE(C31:N31),"")</f>
        <v>645.16666666666663</v>
      </c>
    </row>
    <row r="32" spans="2:16" x14ac:dyDescent="0.2">
      <c r="B32" s="59" t="s">
        <v>46</v>
      </c>
      <c r="C32" s="46">
        <v>712</v>
      </c>
      <c r="D32" s="46">
        <v>917</v>
      </c>
      <c r="E32" s="46">
        <v>952</v>
      </c>
      <c r="F32" s="46">
        <v>904</v>
      </c>
      <c r="G32" s="46">
        <v>471</v>
      </c>
      <c r="H32" s="46">
        <v>366</v>
      </c>
      <c r="I32" s="46">
        <v>534</v>
      </c>
      <c r="J32" s="46">
        <v>325</v>
      </c>
      <c r="K32" s="46">
        <v>983</v>
      </c>
      <c r="L32" s="46">
        <v>697</v>
      </c>
      <c r="M32" s="46">
        <v>869</v>
      </c>
      <c r="N32" s="46">
        <v>486</v>
      </c>
      <c r="O32" s="50">
        <f>IF(COUNT(Expenses[[#This Row],[JAN]:[DEC]])=0,"",SUM(Expenses[[#This Row],[JAN]:[DEC]]))</f>
        <v>8216</v>
      </c>
      <c r="P32" s="49">
        <f>IFERROR(AVERAGE(C32:N32),"")</f>
        <v>684.66666666666663</v>
      </c>
    </row>
    <row r="33" spans="2:16" x14ac:dyDescent="0.2">
      <c r="B33" s="59" t="s">
        <v>47</v>
      </c>
      <c r="C33" s="46">
        <v>565</v>
      </c>
      <c r="D33" s="46">
        <v>560</v>
      </c>
      <c r="E33" s="46">
        <v>837</v>
      </c>
      <c r="F33" s="46">
        <v>591</v>
      </c>
      <c r="G33" s="46">
        <v>943</v>
      </c>
      <c r="H33" s="46">
        <v>974</v>
      </c>
      <c r="I33" s="46">
        <v>872</v>
      </c>
      <c r="J33" s="46">
        <v>974</v>
      </c>
      <c r="K33" s="46">
        <v>874</v>
      </c>
      <c r="L33" s="46">
        <v>413</v>
      </c>
      <c r="M33" s="46">
        <v>918</v>
      </c>
      <c r="N33" s="46">
        <v>548</v>
      </c>
      <c r="O33" s="50">
        <f>IF(COUNT(Expenses[[#This Row],[JAN]:[DEC]])=0,"",SUM(Expenses[[#This Row],[JAN]:[DEC]]))</f>
        <v>9069</v>
      </c>
      <c r="P33" s="49">
        <f>IFERROR(AVERAGE(C33:N33),"")</f>
        <v>755.75</v>
      </c>
    </row>
    <row r="34" spans="2:16" x14ac:dyDescent="0.2">
      <c r="B34" s="59" t="s">
        <v>48</v>
      </c>
      <c r="C34" s="46">
        <v>673</v>
      </c>
      <c r="D34" s="46">
        <v>989</v>
      </c>
      <c r="E34" s="46">
        <v>558</v>
      </c>
      <c r="F34" s="46">
        <v>662</v>
      </c>
      <c r="G34" s="46">
        <v>995</v>
      </c>
      <c r="H34" s="46">
        <v>418</v>
      </c>
      <c r="I34" s="46">
        <v>706</v>
      </c>
      <c r="J34" s="46">
        <v>766</v>
      </c>
      <c r="K34" s="46">
        <v>389</v>
      </c>
      <c r="L34" s="46">
        <v>973</v>
      </c>
      <c r="M34" s="46">
        <v>342</v>
      </c>
      <c r="N34" s="47">
        <v>905</v>
      </c>
      <c r="O34" s="48">
        <f>IF(COUNT(Expenses[[#This Row],[JAN]:[DEC]])=0,"",SUM(Expenses[[#This Row],[JAN]:[DEC]]))</f>
        <v>8376</v>
      </c>
      <c r="P34" s="49">
        <f t="shared" si="6"/>
        <v>698</v>
      </c>
    </row>
    <row r="35" spans="2:16" x14ac:dyDescent="0.2">
      <c r="B35" s="59" t="s">
        <v>49</v>
      </c>
      <c r="C35" s="46">
        <v>418</v>
      </c>
      <c r="D35" s="46">
        <v>550</v>
      </c>
      <c r="E35" s="46">
        <v>717</v>
      </c>
      <c r="F35" s="46">
        <v>839</v>
      </c>
      <c r="G35" s="46">
        <v>714</v>
      </c>
      <c r="H35" s="46">
        <v>480</v>
      </c>
      <c r="I35" s="46">
        <v>692</v>
      </c>
      <c r="J35" s="46">
        <v>317</v>
      </c>
      <c r="K35" s="46">
        <v>776</v>
      </c>
      <c r="L35" s="46">
        <v>818</v>
      </c>
      <c r="M35" s="46">
        <v>969</v>
      </c>
      <c r="N35" s="47">
        <v>998</v>
      </c>
      <c r="O35" s="48">
        <f>IF(COUNT(Expenses[[#This Row],[JAN]:[DEC]])=0,"",SUM(Expenses[[#This Row],[JAN]:[DEC]]))</f>
        <v>8288</v>
      </c>
      <c r="P35" s="49">
        <f t="shared" si="6"/>
        <v>690.66666666666663</v>
      </c>
    </row>
    <row r="36" spans="2:16" x14ac:dyDescent="0.2">
      <c r="B36" s="59" t="s">
        <v>50</v>
      </c>
      <c r="C36" s="46">
        <v>826</v>
      </c>
      <c r="D36" s="46">
        <v>832</v>
      </c>
      <c r="E36" s="46">
        <v>786</v>
      </c>
      <c r="F36" s="46">
        <v>606</v>
      </c>
      <c r="G36" s="46">
        <v>467</v>
      </c>
      <c r="H36" s="46">
        <v>843</v>
      </c>
      <c r="I36" s="46">
        <v>572</v>
      </c>
      <c r="J36" s="46">
        <v>862</v>
      </c>
      <c r="K36" s="46">
        <v>573</v>
      </c>
      <c r="L36" s="46">
        <v>368</v>
      </c>
      <c r="M36" s="46">
        <v>765</v>
      </c>
      <c r="N36" s="47">
        <v>659</v>
      </c>
      <c r="O36" s="48">
        <f>IF(COUNT(Expenses[[#This Row],[JAN]:[DEC]])=0,"",SUM(Expenses[[#This Row],[JAN]:[DEC]]))</f>
        <v>8159</v>
      </c>
      <c r="P36" s="49">
        <f t="shared" si="6"/>
        <v>679.91666666666663</v>
      </c>
    </row>
    <row r="37" spans="2:16" x14ac:dyDescent="0.2">
      <c r="B37" s="59" t="s">
        <v>51</v>
      </c>
      <c r="C37" s="46">
        <v>908</v>
      </c>
      <c r="D37" s="46">
        <v>705</v>
      </c>
      <c r="E37" s="46">
        <v>438</v>
      </c>
      <c r="F37" s="46">
        <v>628</v>
      </c>
      <c r="G37" s="46">
        <v>697</v>
      </c>
      <c r="H37" s="46">
        <v>883</v>
      </c>
      <c r="I37" s="46">
        <v>542</v>
      </c>
      <c r="J37" s="46">
        <v>363</v>
      </c>
      <c r="K37" s="46">
        <v>613</v>
      </c>
      <c r="L37" s="46">
        <v>495</v>
      </c>
      <c r="M37" s="46">
        <v>713</v>
      </c>
      <c r="N37" s="47">
        <v>569</v>
      </c>
      <c r="O37" s="48">
        <f>IF(COUNT(Expenses[[#This Row],[JAN]:[DEC]])=0,"",SUM(Expenses[[#This Row],[JAN]:[DEC]]))</f>
        <v>7554</v>
      </c>
      <c r="P37" s="49">
        <f t="shared" si="6"/>
        <v>629.5</v>
      </c>
    </row>
    <row r="38" spans="2:16" x14ac:dyDescent="0.2">
      <c r="B38" s="59" t="s">
        <v>52</v>
      </c>
      <c r="C38" s="46">
        <v>732</v>
      </c>
      <c r="D38" s="46">
        <v>960</v>
      </c>
      <c r="E38" s="46">
        <v>884</v>
      </c>
      <c r="F38" s="46">
        <v>468</v>
      </c>
      <c r="G38" s="46">
        <v>325</v>
      </c>
      <c r="H38" s="46">
        <v>637</v>
      </c>
      <c r="I38" s="46">
        <v>887</v>
      </c>
      <c r="J38" s="46">
        <v>994</v>
      </c>
      <c r="K38" s="46">
        <v>590</v>
      </c>
      <c r="L38" s="46">
        <v>950</v>
      </c>
      <c r="M38" s="46">
        <v>634</v>
      </c>
      <c r="N38" s="47">
        <v>754</v>
      </c>
      <c r="O38" s="48">
        <f>IF(COUNT(Expenses[[#This Row],[JAN]:[DEC]])=0,"",SUM(Expenses[[#This Row],[JAN]:[DEC]]))</f>
        <v>8815</v>
      </c>
      <c r="P38" s="49">
        <f>IFERROR(AVERAGE(C38:N38),"")</f>
        <v>734.58333333333337</v>
      </c>
    </row>
    <row r="39" spans="2:16" x14ac:dyDescent="0.2">
      <c r="B39" s="59" t="s">
        <v>43</v>
      </c>
      <c r="C39" s="46">
        <v>426</v>
      </c>
      <c r="D39" s="46">
        <v>624</v>
      </c>
      <c r="E39" s="46">
        <v>663</v>
      </c>
      <c r="F39" s="46">
        <v>615</v>
      </c>
      <c r="G39" s="46">
        <v>466</v>
      </c>
      <c r="H39" s="46">
        <v>350</v>
      </c>
      <c r="I39" s="46">
        <v>615</v>
      </c>
      <c r="J39" s="46">
        <v>901</v>
      </c>
      <c r="K39" s="46">
        <v>990</v>
      </c>
      <c r="L39" s="46">
        <v>357</v>
      </c>
      <c r="M39" s="46">
        <v>966</v>
      </c>
      <c r="N39" s="47">
        <v>763</v>
      </c>
      <c r="O39" s="48">
        <f>IF(COUNT(Expenses[[#This Row],[JAN]:[DEC]])=0,"",SUM(Expenses[[#This Row],[JAN]:[DEC]]))</f>
        <v>7736</v>
      </c>
      <c r="P39" s="49">
        <f>IFERROR(AVERAGE(C39:N39),"")</f>
        <v>644.66666666666663</v>
      </c>
    </row>
    <row r="40" spans="2:16" x14ac:dyDescent="0.2">
      <c r="B40" s="59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7"/>
      <c r="O40" s="48" t="str">
        <f>IF(COUNT(Expenses[[#This Row],[JAN]:[DEC]])=0,"",SUM(Expenses[[#This Row],[JAN]:[DEC]]))</f>
        <v/>
      </c>
      <c r="P40" s="49" t="str">
        <f t="shared" ref="P40:P44" si="7">IFERROR(AVERAGE(C40:N40),"")</f>
        <v/>
      </c>
    </row>
    <row r="41" spans="2:16" x14ac:dyDescent="0.2">
      <c r="B41" s="59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7"/>
      <c r="O41" s="48" t="str">
        <f>IF(COUNT(Expenses[[#This Row],[JAN]:[DEC]])=0,"",SUM(Expenses[[#This Row],[JAN]:[DEC]]))</f>
        <v/>
      </c>
      <c r="P41" s="49" t="str">
        <f t="shared" si="7"/>
        <v/>
      </c>
    </row>
    <row r="42" spans="2:16" x14ac:dyDescent="0.2">
      <c r="B42" s="59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7"/>
      <c r="O42" s="48" t="str">
        <f>IF(COUNT(Expenses[[#This Row],[JAN]:[DEC]])=0,"",SUM(Expenses[[#This Row],[JAN]:[DEC]]))</f>
        <v/>
      </c>
      <c r="P42" s="49" t="str">
        <f t="shared" si="7"/>
        <v/>
      </c>
    </row>
    <row r="43" spans="2:16" x14ac:dyDescent="0.2">
      <c r="B43" s="59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7"/>
      <c r="O43" s="48" t="str">
        <f>IF(COUNT(Expenses[[#This Row],[JAN]:[DEC]])=0,"",SUM(Expenses[[#This Row],[JAN]:[DEC]]))</f>
        <v/>
      </c>
      <c r="P43" s="49" t="str">
        <f t="shared" si="7"/>
        <v/>
      </c>
    </row>
    <row r="44" spans="2:16" x14ac:dyDescent="0.2">
      <c r="B44" s="60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2"/>
      <c r="O44" s="48" t="str">
        <f>IF(COUNT(Expenses[[#This Row],[JAN]:[DEC]])=0,"",SUM(Expenses[[#This Row],[JAN]:[DEC]]))</f>
        <v/>
      </c>
      <c r="P44" s="49" t="str">
        <f t="shared" si="7"/>
        <v/>
      </c>
    </row>
    <row r="45" spans="2:16" x14ac:dyDescent="0.2">
      <c r="B45" s="61" t="s">
        <v>15</v>
      </c>
      <c r="C45" s="62">
        <f>SUBTOTAL(109,Expenses[JAN])</f>
        <v>6234</v>
      </c>
      <c r="D45" s="62">
        <f>SUBTOTAL(109,Expenses[FEB])</f>
        <v>7739</v>
      </c>
      <c r="E45" s="62">
        <f>SUBTOTAL(109,Expenses[MAR])</f>
        <v>7147</v>
      </c>
      <c r="F45" s="62">
        <f>SUBTOTAL(109,Expenses[APR])</f>
        <v>6965</v>
      </c>
      <c r="G45" s="62">
        <f>SUBTOTAL(109,Expenses[MAY])</f>
        <v>6517</v>
      </c>
      <c r="H45" s="62">
        <f>SUBTOTAL(109,Expenses[JUN])</f>
        <v>5692</v>
      </c>
      <c r="I45" s="62">
        <f>SUBTOTAL(109,Expenses[JUL])</f>
        <v>6135</v>
      </c>
      <c r="J45" s="62">
        <f>SUBTOTAL(109,Expenses[AUG])</f>
        <v>7190</v>
      </c>
      <c r="K45" s="62">
        <f>SUBTOTAL(109,Expenses[SEP])</f>
        <v>6880</v>
      </c>
      <c r="L45" s="62">
        <f>SUBTOTAL(109,Expenses[OCT])</f>
        <v>6341</v>
      </c>
      <c r="M45" s="62">
        <f>SUBTOTAL(109,Expenses[NOV])</f>
        <v>7640</v>
      </c>
      <c r="N45" s="62">
        <f>SUBTOTAL(109,Expenses[DEC])</f>
        <v>7149</v>
      </c>
      <c r="O45" s="63">
        <f>SUBTOTAL(109,Expenses[Total])</f>
        <v>81629</v>
      </c>
      <c r="P45" s="64">
        <f>IFERROR(SUBTOTAL(101,Expenses[Avg]),"")</f>
        <v>680.24166666666667</v>
      </c>
    </row>
    <row r="46" spans="2:16" x14ac:dyDescent="0.2"/>
  </sheetData>
  <sheetProtection selectLockedCells="1"/>
  <mergeCells count="2">
    <mergeCell ref="A1:Y1"/>
    <mergeCell ref="O9:P9"/>
  </mergeCells>
  <phoneticPr fontId="2" type="noConversion"/>
  <conditionalFormatting sqref="C5:N8">
    <cfRule type="cellIs" dxfId="70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Full_screen">
                <anchor moveWithCells="1" sizeWithCells="1">
                  <from>
                    <xdr:col>3</xdr:col>
                    <xdr:colOff>304800</xdr:colOff>
                    <xdr:row>1</xdr:row>
                    <xdr:rowOff>85725</xdr:rowOff>
                  </from>
                  <to>
                    <xdr:col>5</xdr:col>
                    <xdr:colOff>190500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FFD8B0CB-0E5A-47CC-8C59-37343FCF797F}">
            <x14:iconSet iconSet="3Triangles">
              <x14:cfvo type="percent">
                <xm:f>0</xm:f>
              </x14:cfvo>
              <x14:cfvo type="num">
                <xm:f>0</xm:f>
              </x14:cfvo>
              <x14:cfvo type="num">
                <xm:f>1E-13</xm:f>
              </x14:cfvo>
            </x14:iconSet>
          </x14:cfRule>
          <xm:sqref>D9:O9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Introduction</vt:lpstr>
      <vt:lpstr>Personal Budget 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kareem mostafa</dc:creator>
  <cp:lastModifiedBy>QSK1184</cp:lastModifiedBy>
  <cp:lastPrinted>2020-12-14T19:19:50Z</cp:lastPrinted>
  <dcterms:created xsi:type="dcterms:W3CDTF">1901-01-01T04:00:00Z</dcterms:created>
  <dcterms:modified xsi:type="dcterms:W3CDTF">2024-09-20T12:15:07Z</dcterms:modified>
</cp:coreProperties>
</file>