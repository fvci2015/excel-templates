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D:\yash_jain_vesu\Future_Vision\books\advance_excel\NEW-FILES-PROJECTS\100+ Premium Excel Templates\Finance\"/>
    </mc:Choice>
  </mc:AlternateContent>
  <xr:revisionPtr revIDLastSave="0" documentId="13_ncr:1_{5EBAEA25-E5F6-4358-A9C0-A813EA4C38A1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Introduction" sheetId="1" r:id="rId1"/>
    <sheet name="Break Even Analysis" sheetId="6" r:id="rId2"/>
    <sheet name="Helper sheet" sheetId="7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5" i="6" l="1"/>
  <c r="F44" i="6"/>
  <c r="F43" i="6"/>
  <c r="F42" i="6"/>
  <c r="F41" i="6"/>
  <c r="F40" i="6"/>
  <c r="F39" i="6"/>
  <c r="F38" i="6"/>
  <c r="F37" i="6"/>
  <c r="F36" i="6"/>
  <c r="D4" i="7" l="1"/>
  <c r="E4" i="7"/>
  <c r="F4" i="7"/>
  <c r="G4" i="7"/>
  <c r="H4" i="7"/>
  <c r="I4" i="7"/>
  <c r="J4" i="7"/>
  <c r="K4" i="7"/>
  <c r="L4" i="7"/>
  <c r="M4" i="7"/>
  <c r="N4" i="7"/>
  <c r="O4" i="7"/>
  <c r="P4" i="7"/>
  <c r="Q4" i="7"/>
  <c r="R4" i="7"/>
  <c r="B4" i="7"/>
  <c r="I13" i="6"/>
  <c r="B14" i="7" s="1"/>
  <c r="I12" i="6"/>
  <c r="B13" i="7" s="1"/>
  <c r="I11" i="6"/>
  <c r="B12" i="7" s="1"/>
  <c r="I10" i="6"/>
  <c r="B11" i="7" s="1"/>
  <c r="I9" i="6"/>
  <c r="B10" i="7" s="1"/>
  <c r="I8" i="6"/>
  <c r="B9" i="7" s="1"/>
  <c r="I7" i="6"/>
  <c r="B8" i="7" s="1"/>
  <c r="I6" i="6"/>
  <c r="B7" i="7" s="1"/>
  <c r="I5" i="6"/>
  <c r="B6" i="7" s="1"/>
  <c r="I4" i="6"/>
  <c r="B5" i="7" s="1"/>
  <c r="T14" i="7" l="1"/>
  <c r="T13" i="7"/>
  <c r="T12" i="7"/>
  <c r="T11" i="7"/>
  <c r="T10" i="7"/>
  <c r="K14" i="7"/>
  <c r="M14" i="7"/>
  <c r="E14" i="7"/>
  <c r="P11" i="7"/>
  <c r="R11" i="7"/>
  <c r="J11" i="7"/>
  <c r="O10" i="7"/>
  <c r="I10" i="7"/>
  <c r="Q10" i="7"/>
  <c r="Q12" i="7"/>
  <c r="K12" i="7"/>
  <c r="R13" i="7"/>
  <c r="L13" i="7"/>
  <c r="D13" i="7"/>
  <c r="H10" i="7"/>
  <c r="P10" i="7"/>
  <c r="I11" i="7"/>
  <c r="Q11" i="7"/>
  <c r="J12" i="7"/>
  <c r="R12" i="7"/>
  <c r="K13" i="7"/>
  <c r="D14" i="7"/>
  <c r="L14" i="7"/>
  <c r="J10" i="7"/>
  <c r="R10" i="7"/>
  <c r="K11" i="7"/>
  <c r="D12" i="7"/>
  <c r="L12" i="7"/>
  <c r="E13" i="7"/>
  <c r="M13" i="7"/>
  <c r="F14" i="7"/>
  <c r="N14" i="7"/>
  <c r="K10" i="7"/>
  <c r="D11" i="7"/>
  <c r="L11" i="7"/>
  <c r="E12" i="7"/>
  <c r="M12" i="7"/>
  <c r="F13" i="7"/>
  <c r="N13" i="7"/>
  <c r="G14" i="7"/>
  <c r="O14" i="7"/>
  <c r="D10" i="7"/>
  <c r="L10" i="7"/>
  <c r="E11" i="7"/>
  <c r="M11" i="7"/>
  <c r="F12" i="7"/>
  <c r="N12" i="7"/>
  <c r="G13" i="7"/>
  <c r="O13" i="7"/>
  <c r="H14" i="7"/>
  <c r="P14" i="7"/>
  <c r="E10" i="7"/>
  <c r="M10" i="7"/>
  <c r="F11" i="7"/>
  <c r="N11" i="7"/>
  <c r="G12" i="7"/>
  <c r="O12" i="7"/>
  <c r="H13" i="7"/>
  <c r="P13" i="7"/>
  <c r="I14" i="7"/>
  <c r="Q14" i="7"/>
  <c r="F10" i="7"/>
  <c r="N10" i="7"/>
  <c r="G11" i="7"/>
  <c r="O11" i="7"/>
  <c r="H12" i="7"/>
  <c r="P12" i="7"/>
  <c r="I13" i="7"/>
  <c r="Q13" i="7"/>
  <c r="J14" i="7"/>
  <c r="R14" i="7"/>
  <c r="G10" i="7"/>
  <c r="H11" i="7"/>
  <c r="I12" i="7"/>
  <c r="J13" i="7"/>
  <c r="L6" i="7"/>
  <c r="Q7" i="7"/>
  <c r="D9" i="7"/>
  <c r="L5" i="7"/>
  <c r="F32" i="6"/>
  <c r="F16" i="6"/>
  <c r="Q9" i="7" l="1"/>
  <c r="G16" i="7"/>
  <c r="O16" i="7"/>
  <c r="Q16" i="7"/>
  <c r="J16" i="7"/>
  <c r="K16" i="7"/>
  <c r="H16" i="7"/>
  <c r="P16" i="7"/>
  <c r="I16" i="7"/>
  <c r="R16" i="7"/>
  <c r="D16" i="7"/>
  <c r="L16" i="7"/>
  <c r="E16" i="7"/>
  <c r="M16" i="7"/>
  <c r="F16" i="7"/>
  <c r="N16" i="7"/>
  <c r="D6" i="7"/>
  <c r="P9" i="7"/>
  <c r="H9" i="7"/>
  <c r="F9" i="7"/>
  <c r="L9" i="7"/>
  <c r="H6" i="7"/>
  <c r="I9" i="7"/>
  <c r="M9" i="7"/>
  <c r="K9" i="7"/>
  <c r="E9" i="7"/>
  <c r="O9" i="7"/>
  <c r="R9" i="7"/>
  <c r="G9" i="7"/>
  <c r="J9" i="7"/>
  <c r="N9" i="7"/>
  <c r="O6" i="7"/>
  <c r="F7" i="7"/>
  <c r="O5" i="7"/>
  <c r="H5" i="7"/>
  <c r="G6" i="7"/>
  <c r="M6" i="7"/>
  <c r="G5" i="7"/>
  <c r="P5" i="7"/>
  <c r="I5" i="7"/>
  <c r="E6" i="7"/>
  <c r="Q5" i="7"/>
  <c r="K5" i="7"/>
  <c r="L7" i="7"/>
  <c r="D7" i="7"/>
  <c r="K7" i="7"/>
  <c r="R7" i="7"/>
  <c r="D5" i="7"/>
  <c r="N5" i="7"/>
  <c r="E7" i="7"/>
  <c r="K6" i="7"/>
  <c r="R6" i="7"/>
  <c r="J7" i="7"/>
  <c r="O7" i="7"/>
  <c r="G7" i="7"/>
  <c r="J6" i="7"/>
  <c r="Q6" i="7"/>
  <c r="I7" i="7"/>
  <c r="P7" i="7"/>
  <c r="R5" i="7"/>
  <c r="J5" i="7"/>
  <c r="E5" i="7"/>
  <c r="N6" i="7"/>
  <c r="F6" i="7"/>
  <c r="M5" i="7"/>
  <c r="F5" i="7"/>
  <c r="I6" i="7"/>
  <c r="P6" i="7"/>
  <c r="H7" i="7"/>
  <c r="N7" i="7"/>
  <c r="M7" i="7"/>
  <c r="C17" i="7"/>
  <c r="L8" i="7"/>
  <c r="D8" i="7"/>
  <c r="R8" i="7"/>
  <c r="J8" i="7"/>
  <c r="Q8" i="7"/>
  <c r="I8" i="7"/>
  <c r="P8" i="7"/>
  <c r="K8" i="7"/>
  <c r="H8" i="7"/>
  <c r="O8" i="7"/>
  <c r="G8" i="7"/>
  <c r="N8" i="7"/>
  <c r="E8" i="7"/>
  <c r="F8" i="7"/>
  <c r="M8" i="7"/>
  <c r="F46" i="6"/>
  <c r="N15" i="7" l="1"/>
  <c r="M15" i="7"/>
  <c r="D15" i="7"/>
  <c r="D17" i="7" s="1"/>
  <c r="I15" i="7"/>
  <c r="R15" i="7"/>
  <c r="L15" i="7"/>
  <c r="E15" i="7"/>
  <c r="G15" i="7"/>
  <c r="K15" i="7"/>
  <c r="H15" i="7"/>
  <c r="J15" i="7"/>
  <c r="F15" i="7"/>
  <c r="Q15" i="7"/>
  <c r="O15" i="7"/>
  <c r="P15" i="7"/>
  <c r="E17" i="7" l="1"/>
  <c r="F17" i="7" s="1"/>
  <c r="G17" i="7" s="1"/>
  <c r="H17" i="7" s="1"/>
  <c r="I17" i="7" s="1"/>
  <c r="J17" i="7" s="1"/>
  <c r="K17" i="7" s="1"/>
  <c r="L17" i="7" s="1"/>
  <c r="M17" i="7" s="1"/>
  <c r="N17" i="7" s="1"/>
  <c r="O17" i="7" s="1"/>
  <c r="P17" i="7" s="1"/>
  <c r="Q17" i="7" s="1"/>
  <c r="R17" i="7" s="1"/>
  <c r="J14" i="6"/>
  <c r="K14" i="6" l="1"/>
  <c r="L14" i="6"/>
  <c r="M14" i="6" l="1"/>
  <c r="N14" i="6" l="1"/>
  <c r="O14" i="6" l="1"/>
  <c r="P14" i="6"/>
  <c r="Q14" i="6" l="1"/>
  <c r="R14" i="6" l="1"/>
  <c r="S14" i="6" l="1"/>
  <c r="T14" i="6" l="1"/>
  <c r="U14" i="6" l="1"/>
  <c r="V14" i="6" l="1"/>
  <c r="X14" i="6" l="1"/>
  <c r="W14" i="6"/>
</calcChain>
</file>

<file path=xl/sharedStrings.xml><?xml version="1.0" encoding="utf-8"?>
<sst xmlns="http://schemas.openxmlformats.org/spreadsheetml/2006/main" count="91" uniqueCount="85">
  <si>
    <t>Title</t>
  </si>
  <si>
    <t>Navigation</t>
  </si>
  <si>
    <t>Content</t>
  </si>
  <si>
    <t>Customization difficulty (1-3)</t>
  </si>
  <si>
    <t>Explanation of sheets</t>
  </si>
  <si>
    <t>How to customize</t>
  </si>
  <si>
    <t>1)</t>
  </si>
  <si>
    <t>2)</t>
  </si>
  <si>
    <t>3)</t>
  </si>
  <si>
    <t>4)</t>
  </si>
  <si>
    <t>5)</t>
  </si>
  <si>
    <t>6)</t>
  </si>
  <si>
    <t>Break Even Analysis</t>
  </si>
  <si>
    <t>Difinations</t>
  </si>
  <si>
    <t>Financial Statements</t>
  </si>
  <si>
    <t>Item</t>
  </si>
  <si>
    <t>Amount</t>
  </si>
  <si>
    <t>Total Investment Amount</t>
  </si>
  <si>
    <t>Total Fixed Cost Amount</t>
  </si>
  <si>
    <t>Product</t>
  </si>
  <si>
    <r>
      <rPr>
        <b/>
        <sz val="10"/>
        <color theme="0"/>
        <rFont val="Calibri"/>
        <family val="2"/>
      </rPr>
      <t>•</t>
    </r>
    <r>
      <rPr>
        <b/>
        <sz val="8.5"/>
        <color theme="0"/>
        <rFont val="Arial"/>
        <family val="2"/>
      </rPr>
      <t xml:space="preserve"> </t>
    </r>
    <r>
      <rPr>
        <b/>
        <sz val="10"/>
        <color theme="0"/>
        <rFont val="Arial"/>
        <family val="2"/>
      </rPr>
      <t>Initial Investment Costs</t>
    </r>
  </si>
  <si>
    <t>• Fixed Cost Per Period</t>
  </si>
  <si>
    <t>Unit price</t>
  </si>
  <si>
    <t>TTL Cost</t>
  </si>
  <si>
    <t>Period</t>
  </si>
  <si>
    <t>Sales Forcasting Quantity</t>
  </si>
  <si>
    <t>Accum. Balance</t>
  </si>
  <si>
    <t>Net value</t>
  </si>
  <si>
    <t>Average Net Unit Profit Value</t>
  </si>
  <si>
    <t>Net Profit Value</t>
  </si>
  <si>
    <t>Fixed Cost</t>
  </si>
  <si>
    <t>Initial investment</t>
  </si>
  <si>
    <t>TTL Net Profit</t>
  </si>
  <si>
    <t>• Variable Cost &amp; Unit Price</t>
  </si>
  <si>
    <t>ABC</t>
  </si>
  <si>
    <t>CCC</t>
  </si>
  <si>
    <t>Facilities</t>
  </si>
  <si>
    <t>Machines</t>
  </si>
  <si>
    <t>Furnitures</t>
  </si>
  <si>
    <t>Softwares</t>
  </si>
  <si>
    <t>Storage hardware</t>
  </si>
  <si>
    <t>Buffer cash</t>
  </si>
  <si>
    <t>Yield%</t>
  </si>
  <si>
    <t>Salaries</t>
  </si>
  <si>
    <t>Rent</t>
  </si>
  <si>
    <t>Electricity</t>
  </si>
  <si>
    <t>Water</t>
  </si>
  <si>
    <t>Gas</t>
  </si>
  <si>
    <t>Transportation</t>
  </si>
  <si>
    <t>CDA</t>
  </si>
  <si>
    <t>DCA</t>
  </si>
  <si>
    <t>DDD</t>
  </si>
  <si>
    <t>Initial Investment Cost</t>
  </si>
  <si>
    <t>Variable Cost</t>
  </si>
  <si>
    <t>Unit Price</t>
  </si>
  <si>
    <t>Is a financial tool which helps a company to determine the stage at which the company, or a new service or a product, will be profitable.</t>
  </si>
  <si>
    <t>In other words, it is a financial calculation for determining the number of products or services a company should sell or provide to cover its costs</t>
  </si>
  <si>
    <t>It's the cost which incurred during the design and construction process.</t>
  </si>
  <si>
    <t>Is the cost that does not change with an increase or decrease in the amount of goods or services</t>
  </si>
  <si>
    <t>Is the cost that are associated with the number of goods or services it produces. Also depend on type of product according to raw material cost</t>
  </si>
  <si>
    <t>Is the price of one item to be sale to the customer</t>
  </si>
  <si>
    <t>Break Even Analysis sheet is the main sheet for your data analysis in this template</t>
  </si>
  <si>
    <t>In Financial Statement side start to add initial investment cost by caregory</t>
  </si>
  <si>
    <t>Then add your company fixed cost which paid each specific period "Month or Year according to your prefernce to show data"</t>
  </si>
  <si>
    <t>In last cost table start to register all products with it's net cost "operation, raw material and other" related to this product</t>
  </si>
  <si>
    <t>Add unit price for each type of ptoduct</t>
  </si>
  <si>
    <t>In yield% column you add scale % from 0--&gt;100% according to product defect rate or operation failures</t>
  </si>
  <si>
    <t>7)</t>
  </si>
  <si>
    <t>Not you get net item profit for each product family</t>
  </si>
  <si>
    <t>8)</t>
  </si>
  <si>
    <t>9)</t>
  </si>
  <si>
    <t>In right side, Sales forcasting quantity table start to add forcasting quantity for each product family and will be converted directly to net profit</t>
  </si>
  <si>
    <t>Now Break Even Analysis is done and Break Even Point will be shown in the graph " The convertion point from Lose to Win"</t>
  </si>
  <si>
    <t>Through this sheet you can input financial data and forcasting quantity for each period you decide to get break even point</t>
  </si>
  <si>
    <t>Related To Online Templates</t>
  </si>
  <si>
    <t>Our templates is compatible with online service but some templates that including macros feature is still not supported with Excel Online</t>
  </si>
  <si>
    <t>Here is some hints that replace our macros in case of using Online Template</t>
  </si>
  <si>
    <t>Referesh / Update Data</t>
  </si>
  <si>
    <r>
      <t xml:space="preserve">Some of our templates include </t>
    </r>
    <r>
      <rPr>
        <b/>
        <sz val="10"/>
        <color theme="1"/>
        <rFont val="Arial"/>
        <family val="2"/>
      </rPr>
      <t xml:space="preserve">Referesh/Update data </t>
    </r>
    <r>
      <rPr>
        <sz val="10"/>
        <color theme="1"/>
        <rFont val="Arial"/>
        <family val="2"/>
      </rPr>
      <t>macro button that can be replaced with Referesh All tool in Excel Online ribbon</t>
    </r>
  </si>
  <si>
    <t>Full Screen</t>
  </si>
  <si>
    <r>
      <t xml:space="preserve">Some of our templates have </t>
    </r>
    <r>
      <rPr>
        <b/>
        <sz val="10"/>
        <color theme="1"/>
        <rFont val="Arial"/>
        <family val="2"/>
      </rPr>
      <t xml:space="preserve">Full Screen </t>
    </r>
    <r>
      <rPr>
        <sz val="10"/>
        <color theme="1"/>
        <rFont val="Arial"/>
        <family val="2"/>
      </rPr>
      <t xml:space="preserve">macro button that can be replaced with the itself web browser full screen tool </t>
    </r>
  </si>
  <si>
    <r>
      <t xml:space="preserve">Other macros is applied on less than ~15% of our templats can be overcome by transferring to Desktop App </t>
    </r>
    <r>
      <rPr>
        <b/>
        <sz val="10"/>
        <color theme="1"/>
        <rFont val="Arial"/>
        <family val="2"/>
      </rPr>
      <t>"Open in Desktop App"</t>
    </r>
    <r>
      <rPr>
        <sz val="10"/>
        <color theme="1"/>
        <rFont val="Arial"/>
        <family val="2"/>
      </rPr>
      <t xml:space="preserve"> button</t>
    </r>
  </si>
  <si>
    <t>Other Macros / Buttons</t>
  </si>
  <si>
    <t>Open in Desktop App</t>
  </si>
  <si>
    <t>To open online template using Desktop App be sure that you signed in to your Microsoft account / Onedrive account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</si>
</sst>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_(* #,##0.00_);_(* \(#,##0.00\);_(* &quot;-&quot;??_);_(@_)"/>
    <numFmt numFmtId="165" formatCode="_(* #,##0_);_(* \(#,##0\);_(* &quot;-&quot;??_);_(@_)"/>
  </numFmts>
  <fonts count="22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u/>
      <sz val="10"/>
      <color theme="1"/>
      <name val="Arial"/>
      <family val="2"/>
    </font>
    <font>
      <b/>
      <u/>
      <sz val="10"/>
      <color theme="1"/>
      <name val="Arial"/>
      <family val="2"/>
    </font>
    <font>
      <i/>
      <u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sz val="10"/>
      <color theme="0"/>
      <name val="Arial"/>
      <family val="2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u/>
      <sz val="11"/>
      <color theme="0"/>
      <name val="Calibri"/>
      <family val="2"/>
      <scheme val="minor"/>
    </font>
    <font>
      <b/>
      <sz val="12"/>
      <color theme="1"/>
      <name val="Arial"/>
      <family val="2"/>
    </font>
    <font>
      <b/>
      <sz val="10"/>
      <color theme="0"/>
      <name val="Calibri"/>
      <family val="2"/>
    </font>
    <font>
      <b/>
      <sz val="8.5"/>
      <color theme="0"/>
      <name val="Arial"/>
      <family val="2"/>
    </font>
    <font>
      <b/>
      <sz val="11"/>
      <color rgb="FF50B47F"/>
      <name val="Arial"/>
      <family val="2"/>
    </font>
    <font>
      <sz val="10"/>
      <name val="Arial"/>
      <family val="2"/>
    </font>
    <font>
      <sz val="10"/>
      <color rgb="FF50B47F"/>
      <name val="Arial"/>
      <family val="2"/>
    </font>
    <font>
      <b/>
      <sz val="10"/>
      <name val="Arial"/>
      <family val="2"/>
    </font>
    <font>
      <sz val="11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50B47F"/>
        <bgColor indexed="64"/>
      </patternFill>
    </fill>
    <fill>
      <patternFill patternType="solid">
        <fgColor rgb="FF8FCFAD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20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n">
        <color theme="0" tint="-0.1499679555650502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theme="0" tint="-0.34998626667073579"/>
      </left>
      <right style="thin">
        <color theme="0" tint="-0.24994659260841701"/>
      </right>
      <top style="thin">
        <color theme="0" tint="-0.34998626667073579"/>
      </top>
      <bottom style="thin">
        <color theme="0" tint="-0.24994659260841701"/>
      </bottom>
      <diagonal/>
    </border>
    <border>
      <left/>
      <right/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24994659260841701"/>
      </right>
      <top style="thin">
        <color theme="0" tint="-0.24994659260841701"/>
      </top>
      <bottom style="thin">
        <color theme="0" tint="-0.34998626667073579"/>
      </bottom>
      <diagonal/>
    </border>
    <border>
      <left style="dotted">
        <color theme="0" tint="-0.14996795556505021"/>
      </left>
      <right style="dotted">
        <color theme="0" tint="-0.14996795556505021"/>
      </right>
      <top style="dotted">
        <color theme="0" tint="-0.14996795556505021"/>
      </top>
      <bottom style="thin">
        <color theme="0" tint="-0.34998626667073579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6">
    <xf numFmtId="0" fontId="0" fillId="0" borderId="0"/>
    <xf numFmtId="0" fontId="1" fillId="0" borderId="0"/>
    <xf numFmtId="0" fontId="6" fillId="0" borderId="0" applyNumberFormat="0" applyFill="0" applyBorder="0" applyAlignment="0" applyProtection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/>
  </cellStyleXfs>
  <cellXfs count="62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1" applyFont="1"/>
    <xf numFmtId="0" fontId="5" fillId="0" borderId="0" xfId="0" applyFont="1" applyAlignment="1">
      <alignment horizontal="right"/>
    </xf>
    <xf numFmtId="0" fontId="4" fillId="0" borderId="0" xfId="0" applyFont="1" applyAlignment="1">
      <alignment horizontal="right"/>
    </xf>
    <xf numFmtId="0" fontId="1" fillId="0" borderId="0" xfId="0" applyFont="1" applyAlignment="1">
      <alignment horizontal="right"/>
    </xf>
    <xf numFmtId="0" fontId="1" fillId="2" borderId="0" xfId="0" applyFont="1" applyFill="1"/>
    <xf numFmtId="0" fontId="7" fillId="2" borderId="0" xfId="0" applyFont="1" applyFill="1"/>
    <xf numFmtId="0" fontId="8" fillId="2" borderId="0" xfId="2" applyFont="1" applyFill="1"/>
    <xf numFmtId="0" fontId="1" fillId="5" borderId="0" xfId="0" applyFont="1" applyFill="1"/>
    <xf numFmtId="0" fontId="12" fillId="2" borderId="0" xfId="0" applyFont="1" applyFill="1"/>
    <xf numFmtId="0" fontId="13" fillId="2" borderId="0" xfId="2" applyFont="1" applyFill="1"/>
    <xf numFmtId="0" fontId="1" fillId="5" borderId="0" xfId="0" applyFont="1" applyFill="1" applyAlignment="1">
      <alignment horizontal="center"/>
    </xf>
    <xf numFmtId="0" fontId="14" fillId="5" borderId="0" xfId="0" applyFont="1" applyFill="1"/>
    <xf numFmtId="0" fontId="1" fillId="7" borderId="1" xfId="0" applyFont="1" applyFill="1" applyBorder="1"/>
    <xf numFmtId="0" fontId="14" fillId="8" borderId="0" xfId="0" applyFont="1" applyFill="1" applyAlignment="1">
      <alignment horizontal="center"/>
    </xf>
    <xf numFmtId="0" fontId="1" fillId="8" borderId="0" xfId="0" applyFont="1" applyFill="1"/>
    <xf numFmtId="0" fontId="17" fillId="5" borderId="0" xfId="0" applyFont="1" applyFill="1"/>
    <xf numFmtId="0" fontId="1" fillId="5" borderId="8" xfId="0" applyFont="1" applyFill="1" applyBorder="1"/>
    <xf numFmtId="0" fontId="18" fillId="3" borderId="9" xfId="0" applyFont="1" applyFill="1" applyBorder="1"/>
    <xf numFmtId="0" fontId="18" fillId="3" borderId="10" xfId="0" applyFont="1" applyFill="1" applyBorder="1"/>
    <xf numFmtId="165" fontId="3" fillId="9" borderId="1" xfId="3" applyNumberFormat="1" applyFont="1" applyFill="1" applyBorder="1"/>
    <xf numFmtId="0" fontId="19" fillId="5" borderId="0" xfId="0" applyFont="1" applyFill="1"/>
    <xf numFmtId="0" fontId="1" fillId="10" borderId="12" xfId="0" applyFont="1" applyFill="1" applyBorder="1"/>
    <xf numFmtId="0" fontId="1" fillId="10" borderId="13" xfId="0" applyFont="1" applyFill="1" applyBorder="1"/>
    <xf numFmtId="0" fontId="1" fillId="10" borderId="14" xfId="0" applyFont="1" applyFill="1" applyBorder="1"/>
    <xf numFmtId="0" fontId="1" fillId="10" borderId="15" xfId="0" applyFont="1" applyFill="1" applyBorder="1"/>
    <xf numFmtId="0" fontId="1" fillId="10" borderId="0" xfId="0" applyFont="1" applyFill="1"/>
    <xf numFmtId="0" fontId="1" fillId="10" borderId="17" xfId="0" applyFont="1" applyFill="1" applyBorder="1"/>
    <xf numFmtId="0" fontId="1" fillId="10" borderId="18" xfId="0" applyFont="1" applyFill="1" applyBorder="1"/>
    <xf numFmtId="164" fontId="1" fillId="7" borderId="1" xfId="3" applyFont="1" applyFill="1" applyBorder="1"/>
    <xf numFmtId="165" fontId="1" fillId="10" borderId="0" xfId="3" applyNumberFormat="1" applyFont="1" applyFill="1" applyBorder="1"/>
    <xf numFmtId="165" fontId="1" fillId="10" borderId="16" xfId="3" applyNumberFormat="1" applyFont="1" applyFill="1" applyBorder="1"/>
    <xf numFmtId="165" fontId="1" fillId="10" borderId="18" xfId="3" applyNumberFormat="1" applyFont="1" applyFill="1" applyBorder="1"/>
    <xf numFmtId="165" fontId="1" fillId="10" borderId="19" xfId="3" applyNumberFormat="1" applyFont="1" applyFill="1" applyBorder="1"/>
    <xf numFmtId="165" fontId="1" fillId="0" borderId="0" xfId="3" applyNumberFormat="1" applyFont="1"/>
    <xf numFmtId="165" fontId="1" fillId="0" borderId="0" xfId="0" applyNumberFormat="1" applyFont="1"/>
    <xf numFmtId="0" fontId="2" fillId="9" borderId="0" xfId="0" applyFont="1" applyFill="1"/>
    <xf numFmtId="165" fontId="2" fillId="9" borderId="0" xfId="3" applyNumberFormat="1" applyFont="1" applyFill="1"/>
    <xf numFmtId="165" fontId="1" fillId="5" borderId="0" xfId="3" applyNumberFormat="1" applyFont="1" applyFill="1"/>
    <xf numFmtId="164" fontId="3" fillId="9" borderId="1" xfId="3" applyFont="1" applyFill="1" applyBorder="1"/>
    <xf numFmtId="0" fontId="20" fillId="7" borderId="7" xfId="0" applyFont="1" applyFill="1" applyBorder="1"/>
    <xf numFmtId="165" fontId="1" fillId="4" borderId="1" xfId="3" applyNumberFormat="1" applyFont="1" applyFill="1" applyBorder="1" applyProtection="1">
      <protection locked="0"/>
    </xf>
    <xf numFmtId="0" fontId="1" fillId="4" borderId="1" xfId="0" applyFont="1" applyFill="1" applyBorder="1" applyProtection="1">
      <protection locked="0"/>
    </xf>
    <xf numFmtId="9" fontId="1" fillId="4" borderId="1" xfId="4" applyFont="1" applyFill="1" applyBorder="1" applyProtection="1">
      <protection locked="0"/>
    </xf>
    <xf numFmtId="165" fontId="1" fillId="4" borderId="5" xfId="3" applyNumberFormat="1" applyFont="1" applyFill="1" applyBorder="1" applyProtection="1">
      <protection locked="0"/>
    </xf>
    <xf numFmtId="165" fontId="1" fillId="4" borderId="6" xfId="3" applyNumberFormat="1" applyFont="1" applyFill="1" applyBorder="1" applyProtection="1">
      <protection locked="0"/>
    </xf>
    <xf numFmtId="165" fontId="1" fillId="4" borderId="11" xfId="3" applyNumberFormat="1" applyFont="1" applyFill="1" applyBorder="1" applyProtection="1">
      <protection locked="0"/>
    </xf>
    <xf numFmtId="0" fontId="20" fillId="7" borderId="8" xfId="0" applyFont="1" applyFill="1" applyBorder="1" applyAlignment="1" applyProtection="1">
      <alignment horizontal="center"/>
      <protection locked="0"/>
    </xf>
    <xf numFmtId="165" fontId="1" fillId="0" borderId="0" xfId="3" applyNumberFormat="1" applyFont="1" applyFill="1" applyBorder="1"/>
    <xf numFmtId="0" fontId="1" fillId="0" borderId="0" xfId="0" applyFont="1" applyAlignment="1">
      <alignment horizontal="left"/>
    </xf>
    <xf numFmtId="0" fontId="2" fillId="0" borderId="0" xfId="0" applyFont="1" applyAlignment="1">
      <alignment horizontal="right"/>
    </xf>
    <xf numFmtId="0" fontId="1" fillId="0" borderId="0" xfId="5"/>
    <xf numFmtId="0" fontId="6" fillId="0" borderId="0" xfId="2"/>
    <xf numFmtId="0" fontId="7" fillId="6" borderId="0" xfId="0" applyFont="1" applyFill="1" applyAlignment="1">
      <alignment horizontal="center"/>
    </xf>
    <xf numFmtId="0" fontId="3" fillId="9" borderId="2" xfId="0" applyFont="1" applyFill="1" applyBorder="1" applyAlignment="1">
      <alignment horizontal="center"/>
    </xf>
    <xf numFmtId="0" fontId="3" fillId="9" borderId="3" xfId="0" applyFont="1" applyFill="1" applyBorder="1" applyAlignment="1">
      <alignment horizontal="center"/>
    </xf>
    <xf numFmtId="0" fontId="3" fillId="9" borderId="4" xfId="0" applyFont="1" applyFill="1" applyBorder="1" applyAlignment="1">
      <alignment horizontal="center"/>
    </xf>
    <xf numFmtId="0" fontId="1" fillId="4" borderId="1" xfId="0" applyFont="1" applyFill="1" applyBorder="1" applyAlignment="1" applyProtection="1">
      <alignment horizontal="left"/>
      <protection locked="0"/>
    </xf>
    <xf numFmtId="0" fontId="1" fillId="7" borderId="1" xfId="0" applyFont="1" applyFill="1" applyBorder="1" applyAlignment="1">
      <alignment horizontal="center"/>
    </xf>
    <xf numFmtId="0" fontId="11" fillId="2" borderId="0" xfId="0" applyFont="1" applyFill="1" applyAlignment="1">
      <alignment horizontal="center"/>
    </xf>
  </cellXfs>
  <cellStyles count="6">
    <cellStyle name="Comma" xfId="3" builtinId="3"/>
    <cellStyle name="Hyperlink" xfId="2" builtinId="8"/>
    <cellStyle name="Normal" xfId="0" builtinId="0"/>
    <cellStyle name="Normal 2" xfId="1" xr:uid="{4C4B56A4-5300-4763-9054-91E1974E06C1}"/>
    <cellStyle name="Normal 2 2" xfId="5" xr:uid="{1AC1C9E6-08CF-4173-BE72-FAF778E3CCE7}"/>
    <cellStyle name="Percent" xfId="4" builtinId="5"/>
  </cellStyles>
  <dxfs count="11">
    <dxf>
      <font>
        <color rgb="FF9C0006"/>
      </font>
    </dxf>
    <dxf>
      <font>
        <b/>
        <sz val="11"/>
        <color theme="1"/>
      </font>
    </dxf>
    <dxf>
      <fill>
        <patternFill patternType="solid">
          <fgColor theme="0"/>
          <bgColor theme="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/>
        <sz val="11"/>
        <color theme="1"/>
      </font>
      <fill>
        <patternFill>
          <bgColor rgb="FF50B47F"/>
        </patternFill>
      </fill>
    </dxf>
    <dxf>
      <fill>
        <patternFill patternType="solid">
          <fgColor theme="0"/>
          <bgColor theme="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/>
        <sz val="11"/>
        <color theme="1"/>
      </font>
    </dxf>
    <dxf>
      <fill>
        <patternFill patternType="solid">
          <fgColor theme="0"/>
          <bgColor theme="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>
          <bgColor rgb="FF8FCFAD"/>
        </patternFill>
      </fill>
    </dxf>
    <dxf>
      <fill>
        <patternFill>
          <bgColor rgb="FF8FCFAD"/>
        </patternFill>
      </fill>
    </dxf>
    <dxf>
      <fill>
        <patternFill>
          <bgColor rgb="FF8FCFAD"/>
        </patternFill>
      </fill>
    </dxf>
    <dxf>
      <fill>
        <patternFill>
          <bgColor rgb="FF8FCFAD"/>
        </patternFill>
      </fill>
    </dxf>
  </dxfs>
  <tableStyles count="7" defaultTableStyle="TableStyleMedium2" defaultPivotStyle="PivotStyleLight16">
    <tableStyle name="Table Style 1" pivot="0" count="1" xr9:uid="{BB7F0C67-185F-4631-93AA-BD2E768D7A13}">
      <tableStyleElement type="wholeTable" dxfId="10"/>
    </tableStyle>
    <tableStyle name="Table Style 2" pivot="0" count="1" xr9:uid="{3D276D6F-F8EC-4105-AF4E-EF90E0497490}">
      <tableStyleElement type="secondColumnStripe" dxfId="9"/>
    </tableStyle>
    <tableStyle name="Table Style 3" pivot="0" count="1" xr9:uid="{58126073-47CA-432E-9930-0966B1055812}">
      <tableStyleElement type="firstColumnStripe" dxfId="8"/>
    </tableStyle>
    <tableStyle name="Table Style 4" pivot="0" count="1" xr9:uid="{5E1F8E05-1701-4D75-BC47-9223CD34FC6B}">
      <tableStyleElement type="firstRowStripe" dxfId="7"/>
    </tableStyle>
    <tableStyle name="Timeline Style 1" pivot="0" table="0" count="8" xr9:uid="{C2E335C9-31F7-40A6-909D-A0A242EC80DD}">
      <tableStyleElement type="wholeTable" dxfId="6"/>
      <tableStyleElement type="headerRow" dxfId="5"/>
    </tableStyle>
    <tableStyle name="Timeline Style 2" pivot="0" table="0" count="8" xr9:uid="{BD7D3DEA-9F17-4B02-A38B-A505F988F17B}">
      <tableStyleElement type="wholeTable" dxfId="4"/>
      <tableStyleElement type="headerRow" dxfId="3"/>
    </tableStyle>
    <tableStyle name="Timeline Style 3" pivot="0" table="0" count="9" xr9:uid="{03AB8773-F939-4292-A158-497A8B257D1F}">
      <tableStyleElement type="wholeTable" dxfId="2"/>
      <tableStyleElement type="headerRow" dxfId="1"/>
    </tableStyle>
  </tableStyles>
  <colors>
    <mruColors>
      <color rgb="FF8FCFAD"/>
      <color rgb="FF50B47F"/>
      <color rgb="FFE6AF00"/>
      <color rgb="FFF8F200"/>
      <color rgb="FFDAC108"/>
      <color rgb="FFA32319"/>
      <color rgb="FFE8E8E8"/>
      <color rgb="FFEEEEEE"/>
      <color rgb="FFE6E6E6"/>
      <color rgb="FFE0E0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A0A4C193-F2C1-4fcb-8827-314CF55A85BB}">
      <x15:dxfs count="19">
        <dxf>
          <fill>
            <patternFill>
              <bgColor rgb="FF8FCFAD"/>
            </patternFill>
          </fill>
        </dxf>
        <dxf>
          <fill>
            <patternFill patternType="solid">
              <fgColor theme="0" tint="-0.14999847407452621"/>
              <bgColor theme="0" tint="-0.14999847407452621"/>
            </patternFill>
          </fill>
        </dxf>
        <dxf>
          <fill>
            <patternFill patternType="solid">
              <fgColor theme="0"/>
              <bgColor theme="0"/>
            </patternFill>
          </fill>
        </dxf>
        <dxf>
          <font>
            <sz val="9"/>
            <color theme="1" tint="0.499984740745262"/>
          </font>
        </dxf>
        <dxf>
          <font>
            <sz val="9"/>
            <color theme="1" tint="0.499984740745262"/>
          </font>
        </dxf>
        <dxf>
          <font>
            <sz val="9"/>
            <color rgb="FF50B47F"/>
            <name val="Calibri"/>
            <family val="2"/>
            <scheme val="minor"/>
          </font>
        </dxf>
        <dxf>
          <font>
            <sz val="10"/>
            <color rgb="FF50B47F"/>
            <name val="Calibri"/>
            <family val="2"/>
            <scheme val="minor"/>
          </font>
        </dxf>
        <dxf>
          <fill>
            <patternFill patternType="solid">
              <fgColor theme="0" tint="-0.14999847407452621"/>
              <bgColor theme="0" tint="-0.14999847407452621"/>
            </patternFill>
          </fill>
        </dxf>
        <dxf>
          <fill>
            <patternFill patternType="solid">
              <fgColor theme="0"/>
              <bgColor rgb="FF8FCFAD"/>
            </patternFill>
          </fill>
        </dxf>
        <dxf>
          <font>
            <sz val="9"/>
            <color theme="1" tint="0.499984740745262"/>
          </font>
        </dxf>
        <dxf>
          <font>
            <sz val="9"/>
            <color theme="1" tint="0.499984740745262"/>
          </font>
        </dxf>
        <dxf>
          <font>
            <sz val="9"/>
            <color theme="1" tint="0.499984740745262"/>
          </font>
        </dxf>
        <dxf>
          <font>
            <sz val="10"/>
            <color theme="1" tint="0.499984740745262"/>
          </font>
        </dxf>
        <dxf>
          <fill>
            <patternFill patternType="solid">
              <fgColor theme="0" tint="-0.14999847407452621"/>
              <bgColor theme="0" tint="-0.14999847407452621"/>
            </patternFill>
          </fill>
        </dxf>
        <dxf>
          <fill>
            <patternFill patternType="solid">
              <fgColor theme="0"/>
              <bgColor rgb="FF8FCFAD"/>
            </patternFill>
          </fill>
        </dxf>
        <dxf>
          <font>
            <sz val="9"/>
            <color theme="1" tint="0.499984740745262"/>
          </font>
        </dxf>
        <dxf>
          <font>
            <sz val="9"/>
            <color theme="1" tint="0.499984740745262"/>
          </font>
        </dxf>
        <dxf>
          <font>
            <sz val="9"/>
            <color theme="1" tint="0.499984740745262"/>
          </font>
        </dxf>
        <dxf>
          <font>
            <sz val="10"/>
            <color theme="1" tint="0.499984740745262"/>
          </font>
        </dxf>
      </x15:dxfs>
    </ext>
    <ext xmlns:x15="http://schemas.microsoft.com/office/spreadsheetml/2010/11/main" uri="{9260A510-F301-46a8-8635-F512D64BE5F5}">
      <x15:timelineStyles defaultTimelineStyle="TimeSlicerStyleLight1">
        <x15:timelineStyle name="Timeline Style 1">
          <x15:timelineStyleElements>
            <x15:timelineStyleElement type="selectionLabel" dxfId="18"/>
            <x15:timelineStyleElement type="timeLevel" dxfId="17"/>
            <x15:timelineStyleElement type="periodLabel1" dxfId="16"/>
            <x15:timelineStyleElement type="periodLabel2" dxfId="15"/>
            <x15:timelineStyleElement type="selectedTimeBlock" dxfId="14"/>
            <x15:timelineStyleElement type="unselectedTimeBlock" dxfId="13"/>
          </x15:timelineStyleElements>
        </x15:timelineStyle>
        <x15:timelineStyle name="Timeline Style 2">
          <x15:timelineStyleElements>
            <x15:timelineStyleElement type="selectionLabel" dxfId="12"/>
            <x15:timelineStyleElement type="timeLevel" dxfId="11"/>
            <x15:timelineStyleElement type="periodLabel1" dxfId="10"/>
            <x15:timelineStyleElement type="periodLabel2" dxfId="9"/>
            <x15:timelineStyleElement type="selectedTimeBlock" dxfId="8"/>
            <x15:timelineStyleElement type="unselectedTimeBlock" dxfId="7"/>
          </x15:timelineStyleElements>
        </x15:timelineStyle>
        <x15:timelineStyle name="Timeline Style 3">
          <x15:timelineStyleElements>
            <x15:timelineStyleElement type="selectionLabel" dxfId="6"/>
            <x15:timelineStyleElement type="timeLevel" dxfId="5"/>
            <x15:timelineStyleElement type="periodLabel1" dxfId="4"/>
            <x15:timelineStyleElement type="periodLabel2" dxfId="3"/>
            <x15:timelineStyleElement type="selectedTimeBlock" dxfId="2"/>
            <x15:timelineStyleElement type="unselectedTimeBlock" dxfId="1"/>
            <x15:timelineStyleElement type="selectedTimeBlockSpace" dxfId="0"/>
          </x15:timelineStyleElements>
        </x15:timelineStyle>
      </x15:timelineStyles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rgbClr val="50B47F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b="1">
                <a:solidFill>
                  <a:srgbClr val="50B4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Break Even Point Analysis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50B47F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8900825327491564E-2"/>
          <c:y val="8.51873082114976E-2"/>
          <c:w val="0.90912416753254677"/>
          <c:h val="0.88885534025591306"/>
        </c:manualLayout>
      </c:layout>
      <c:barChart>
        <c:barDir val="col"/>
        <c:grouping val="clustered"/>
        <c:varyColors val="0"/>
        <c:ser>
          <c:idx val="1"/>
          <c:order val="0"/>
          <c:tx>
            <c:v>Break Even Poin</c:v>
          </c:tx>
          <c:spPr>
            <a:solidFill>
              <a:srgbClr val="8FCFAD"/>
            </a:solidFill>
            <a:ln>
              <a:noFill/>
            </a:ln>
            <a:effectLst/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'Break Even Analysis'!$J$3:$X$3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'Break Even Analysis'!$J$14:$X$14</c:f>
              <c:numCache>
                <c:formatCode>_(* #,##0_);_(* \(#,##0\);_(* "-"??_);_(@_)</c:formatCode>
                <c:ptCount val="15"/>
                <c:pt idx="0">
                  <c:v>-3451054.39</c:v>
                </c:pt>
                <c:pt idx="1">
                  <c:v>-2872054.290000001</c:v>
                </c:pt>
                <c:pt idx="2">
                  <c:v>-2501501.6700000009</c:v>
                </c:pt>
                <c:pt idx="3">
                  <c:v>-2302269.5700000012</c:v>
                </c:pt>
                <c:pt idx="4">
                  <c:v>-1776523.6200000013</c:v>
                </c:pt>
                <c:pt idx="5">
                  <c:v>-1599047.9600000011</c:v>
                </c:pt>
                <c:pt idx="6">
                  <c:v>-1126651.2600000009</c:v>
                </c:pt>
                <c:pt idx="7">
                  <c:v>-873132.62000000081</c:v>
                </c:pt>
                <c:pt idx="8">
                  <c:v>-444070.32000000076</c:v>
                </c:pt>
                <c:pt idx="9">
                  <c:v>-102949.24000000092</c:v>
                </c:pt>
                <c:pt idx="10">
                  <c:v>260378.62999999896</c:v>
                </c:pt>
                <c:pt idx="11">
                  <c:v>413990.66999999899</c:v>
                </c:pt>
                <c:pt idx="12">
                  <c:v>646726.83999999892</c:v>
                </c:pt>
                <c:pt idx="13">
                  <c:v>1088701.9699999988</c:v>
                </c:pt>
                <c:pt idx="14">
                  <c:v>1328744.8199999989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0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4644-4D98-B240-41DD7F3932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7"/>
        <c:overlap val="-27"/>
        <c:axId val="1723502592"/>
        <c:axId val="1721594224"/>
      </c:barChart>
      <c:catAx>
        <c:axId val="1723502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21594224"/>
        <c:crosses val="autoZero"/>
        <c:auto val="1"/>
        <c:lblAlgn val="ctr"/>
        <c:lblOffset val="100"/>
        <c:noMultiLvlLbl val="0"/>
      </c:catAx>
      <c:valAx>
        <c:axId val="1721594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23502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GIF"/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47624</xdr:colOff>
      <xdr:row>38</xdr:row>
      <xdr:rowOff>19050</xdr:rowOff>
    </xdr:from>
    <xdr:to>
      <xdr:col>14</xdr:col>
      <xdr:colOff>250031</xdr:colOff>
      <xdr:row>42</xdr:row>
      <xdr:rowOff>38100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C179601D-0453-49FF-8BB8-A581905E620C}"/>
            </a:ext>
          </a:extLst>
        </xdr:cNvPr>
        <xdr:cNvGrpSpPr/>
      </xdr:nvGrpSpPr>
      <xdr:grpSpPr>
        <a:xfrm>
          <a:off x="4429124" y="6424613"/>
          <a:ext cx="6881813" cy="685800"/>
          <a:chOff x="4257674" y="8324850"/>
          <a:chExt cx="7353301" cy="666750"/>
        </a:xfrm>
      </xdr:grpSpPr>
      <xdr:pic>
        <xdr:nvPicPr>
          <xdr:cNvPr id="12" name="Picture 11">
            <a:extLst>
              <a:ext uri="{FF2B5EF4-FFF2-40B4-BE49-F238E27FC236}">
                <a16:creationId xmlns:a16="http://schemas.microsoft.com/office/drawing/2014/main" id="{342C2B45-4A3D-4C38-B6AA-0C810934443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257674" y="8324850"/>
            <a:ext cx="7353301" cy="666750"/>
          </a:xfrm>
          <a:prstGeom prst="rect">
            <a:avLst/>
          </a:prstGeom>
        </xdr:spPr>
      </xdr:pic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E2364DEB-3FDE-48CB-9D53-177D10995606}"/>
              </a:ext>
            </a:extLst>
          </xdr:cNvPr>
          <xdr:cNvSpPr/>
        </xdr:nvSpPr>
        <xdr:spPr>
          <a:xfrm>
            <a:off x="4333875" y="8572500"/>
            <a:ext cx="819150" cy="209550"/>
          </a:xfrm>
          <a:prstGeom prst="rect">
            <a:avLst/>
          </a:prstGeom>
          <a:noFill/>
          <a:ln w="190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4" name="Rectangle 13">
            <a:extLst>
              <a:ext uri="{FF2B5EF4-FFF2-40B4-BE49-F238E27FC236}">
                <a16:creationId xmlns:a16="http://schemas.microsoft.com/office/drawing/2014/main" id="{E7E295C8-18F1-4088-A435-BD3A5492F7CF}"/>
              </a:ext>
            </a:extLst>
          </xdr:cNvPr>
          <xdr:cNvSpPr/>
        </xdr:nvSpPr>
        <xdr:spPr>
          <a:xfrm>
            <a:off x="7248525" y="8429625"/>
            <a:ext cx="361950" cy="171450"/>
          </a:xfrm>
          <a:prstGeom prst="rect">
            <a:avLst/>
          </a:prstGeom>
          <a:noFill/>
          <a:ln w="190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3</xdr:col>
      <xdr:colOff>66674</xdr:colOff>
      <xdr:row>46</xdr:row>
      <xdr:rowOff>95250</xdr:rowOff>
    </xdr:from>
    <xdr:to>
      <xdr:col>14</xdr:col>
      <xdr:colOff>269081</xdr:colOff>
      <xdr:row>50</xdr:row>
      <xdr:rowOff>114300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21BC53D7-2D1D-4770-A68D-1D8301B897F3}"/>
            </a:ext>
          </a:extLst>
        </xdr:cNvPr>
        <xdr:cNvGrpSpPr/>
      </xdr:nvGrpSpPr>
      <xdr:grpSpPr>
        <a:xfrm>
          <a:off x="4448174" y="7834313"/>
          <a:ext cx="6881813" cy="685800"/>
          <a:chOff x="4276724" y="9696450"/>
          <a:chExt cx="7353301" cy="666750"/>
        </a:xfrm>
      </xdr:grpSpPr>
      <xdr:pic>
        <xdr:nvPicPr>
          <xdr:cNvPr id="16" name="Picture 15">
            <a:extLst>
              <a:ext uri="{FF2B5EF4-FFF2-40B4-BE49-F238E27FC236}">
                <a16:creationId xmlns:a16="http://schemas.microsoft.com/office/drawing/2014/main" id="{D0494F95-CFE7-4D96-8C03-30C73FE0E1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276724" y="9696450"/>
            <a:ext cx="7353301" cy="666750"/>
          </a:xfrm>
          <a:prstGeom prst="rect">
            <a:avLst/>
          </a:prstGeom>
        </xdr:spPr>
      </xdr:pic>
      <xdr:sp macro="" textlink="">
        <xdr:nvSpPr>
          <xdr:cNvPr id="17" name="Rectangle 16">
            <a:extLst>
              <a:ext uri="{FF2B5EF4-FFF2-40B4-BE49-F238E27FC236}">
                <a16:creationId xmlns:a16="http://schemas.microsoft.com/office/drawing/2014/main" id="{840B107C-F9EC-431A-A5D9-B369DEC9E1A9}"/>
              </a:ext>
            </a:extLst>
          </xdr:cNvPr>
          <xdr:cNvSpPr/>
        </xdr:nvSpPr>
        <xdr:spPr>
          <a:xfrm>
            <a:off x="9782174" y="9791700"/>
            <a:ext cx="923926" cy="180975"/>
          </a:xfrm>
          <a:prstGeom prst="rect">
            <a:avLst/>
          </a:prstGeom>
          <a:noFill/>
          <a:ln w="190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3</xdr:col>
      <xdr:colOff>85724</xdr:colOff>
      <xdr:row>52</xdr:row>
      <xdr:rowOff>47625</xdr:rowOff>
    </xdr:from>
    <xdr:to>
      <xdr:col>14</xdr:col>
      <xdr:colOff>223585</xdr:colOff>
      <xdr:row>56</xdr:row>
      <xdr:rowOff>133350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B6DD8BB5-DA49-4EE4-98B7-8B7D389CE4DC}"/>
            </a:ext>
          </a:extLst>
        </xdr:cNvPr>
        <xdr:cNvGrpSpPr/>
      </xdr:nvGrpSpPr>
      <xdr:grpSpPr>
        <a:xfrm>
          <a:off x="4467224" y="8786813"/>
          <a:ext cx="6817267" cy="752475"/>
          <a:chOff x="4295775" y="10620375"/>
          <a:chExt cx="7334250" cy="733425"/>
        </a:xfrm>
      </xdr:grpSpPr>
      <xdr:pic>
        <xdr:nvPicPr>
          <xdr:cNvPr id="19" name="Picture 18">
            <a:extLst>
              <a:ext uri="{FF2B5EF4-FFF2-40B4-BE49-F238E27FC236}">
                <a16:creationId xmlns:a16="http://schemas.microsoft.com/office/drawing/2014/main" id="{DFC63108-A057-4351-968E-B8FB9A62DA1F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8333"/>
          <a:stretch/>
        </xdr:blipFill>
        <xdr:spPr>
          <a:xfrm>
            <a:off x="4295775" y="10620375"/>
            <a:ext cx="7334250" cy="733425"/>
          </a:xfrm>
          <a:prstGeom prst="rect">
            <a:avLst/>
          </a:prstGeom>
        </xdr:spPr>
      </xdr:pic>
      <xdr:sp macro="" textlink="">
        <xdr:nvSpPr>
          <xdr:cNvPr id="20" name="Rectangle 19">
            <a:extLst>
              <a:ext uri="{FF2B5EF4-FFF2-40B4-BE49-F238E27FC236}">
                <a16:creationId xmlns:a16="http://schemas.microsoft.com/office/drawing/2014/main" id="{7EE4D0A6-5E77-4157-93DF-A829129EC35B}"/>
              </a:ext>
            </a:extLst>
          </xdr:cNvPr>
          <xdr:cNvSpPr/>
        </xdr:nvSpPr>
        <xdr:spPr>
          <a:xfrm>
            <a:off x="10848975" y="10648949"/>
            <a:ext cx="762000" cy="238125"/>
          </a:xfrm>
          <a:prstGeom prst="rect">
            <a:avLst/>
          </a:prstGeom>
          <a:noFill/>
          <a:ln w="285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21850</xdr:colOff>
      <xdr:row>14</xdr:row>
      <xdr:rowOff>23533</xdr:rowOff>
    </xdr:from>
    <xdr:to>
      <xdr:col>24</xdr:col>
      <xdr:colOff>23814</xdr:colOff>
      <xdr:row>47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14</xdr:row>
          <xdr:rowOff>47625</xdr:rowOff>
        </xdr:from>
        <xdr:to>
          <xdr:col>8</xdr:col>
          <xdr:colOff>857250</xdr:colOff>
          <xdr:row>15</xdr:row>
          <xdr:rowOff>142875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Full screen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C00000"/>
  </sheetPr>
  <dimension ref="A1:D63"/>
  <sheetViews>
    <sheetView showGridLines="0" showRowColHeaders="0" tabSelected="1" topLeftCell="A27" zoomScale="80" zoomScaleNormal="80" workbookViewId="0">
      <pane xSplit="3" topLeftCell="D1" activePane="topRight" state="frozen"/>
      <selection pane="topRight" activeCell="C58" sqref="C58:D68"/>
    </sheetView>
  </sheetViews>
  <sheetFormatPr defaultRowHeight="12.75" x14ac:dyDescent="0.2"/>
  <cols>
    <col min="1" max="1" width="20.85546875" style="7" bestFit="1" customWidth="1"/>
    <col min="2" max="2" width="20.28515625" style="1" customWidth="1"/>
    <col min="3" max="3" width="24.42578125" style="1" customWidth="1"/>
    <col min="4" max="16384" width="9.140625" style="1"/>
  </cols>
  <sheetData>
    <row r="1" spans="1:4" x14ac:dyDescent="0.2">
      <c r="A1" s="1"/>
    </row>
    <row r="2" spans="1:4" x14ac:dyDescent="0.2">
      <c r="A2" s="1"/>
    </row>
    <row r="3" spans="1:4" x14ac:dyDescent="0.2">
      <c r="A3" s="1"/>
    </row>
    <row r="4" spans="1:4" x14ac:dyDescent="0.2">
      <c r="A4" s="1"/>
    </row>
    <row r="5" spans="1:4" x14ac:dyDescent="0.2">
      <c r="B5" s="2"/>
      <c r="D5" s="2"/>
    </row>
    <row r="6" spans="1:4" x14ac:dyDescent="0.2">
      <c r="A6" s="8" t="s">
        <v>1</v>
      </c>
      <c r="B6" s="2" t="s">
        <v>0</v>
      </c>
      <c r="D6" s="2" t="s">
        <v>12</v>
      </c>
    </row>
    <row r="7" spans="1:4" x14ac:dyDescent="0.2">
      <c r="A7" s="11"/>
    </row>
    <row r="8" spans="1:4" ht="15" x14ac:dyDescent="0.25">
      <c r="A8" s="12" t="s">
        <v>12</v>
      </c>
      <c r="B8" s="2" t="s">
        <v>2</v>
      </c>
      <c r="D8" s="1" t="s">
        <v>55</v>
      </c>
    </row>
    <row r="9" spans="1:4" ht="15" x14ac:dyDescent="0.25">
      <c r="A9" s="12"/>
      <c r="B9" s="2"/>
      <c r="D9" s="1" t="s">
        <v>56</v>
      </c>
    </row>
    <row r="10" spans="1:4" ht="15" x14ac:dyDescent="0.25">
      <c r="A10" s="9"/>
    </row>
    <row r="11" spans="1:4" x14ac:dyDescent="0.2">
      <c r="B11" s="2" t="s">
        <v>13</v>
      </c>
      <c r="C11" s="4" t="s">
        <v>52</v>
      </c>
      <c r="D11" s="1" t="s">
        <v>57</v>
      </c>
    </row>
    <row r="12" spans="1:4" x14ac:dyDescent="0.2">
      <c r="B12" s="2"/>
      <c r="C12" s="4" t="s">
        <v>30</v>
      </c>
      <c r="D12" s="1" t="s">
        <v>58</v>
      </c>
    </row>
    <row r="13" spans="1:4" x14ac:dyDescent="0.2">
      <c r="C13" s="4" t="s">
        <v>53</v>
      </c>
      <c r="D13" s="1" t="s">
        <v>59</v>
      </c>
    </row>
    <row r="14" spans="1:4" x14ac:dyDescent="0.2">
      <c r="C14" s="4" t="s">
        <v>54</v>
      </c>
      <c r="D14" s="1" t="s">
        <v>60</v>
      </c>
    </row>
    <row r="15" spans="1:4" x14ac:dyDescent="0.2">
      <c r="C15" s="4"/>
    </row>
    <row r="18" spans="2:4" x14ac:dyDescent="0.2">
      <c r="B18" s="3" t="s">
        <v>3</v>
      </c>
      <c r="D18" s="3">
        <v>1</v>
      </c>
    </row>
    <row r="20" spans="2:4" x14ac:dyDescent="0.2">
      <c r="B20" s="3" t="s">
        <v>4</v>
      </c>
      <c r="C20" s="5" t="s">
        <v>12</v>
      </c>
      <c r="D20" s="1" t="s">
        <v>73</v>
      </c>
    </row>
    <row r="21" spans="2:4" x14ac:dyDescent="0.2">
      <c r="C21" s="5"/>
    </row>
    <row r="22" spans="2:4" x14ac:dyDescent="0.2">
      <c r="C22" s="5"/>
    </row>
    <row r="24" spans="2:4" x14ac:dyDescent="0.2">
      <c r="B24" s="3" t="s">
        <v>5</v>
      </c>
      <c r="C24" s="6" t="s">
        <v>6</v>
      </c>
      <c r="D24" s="1" t="s">
        <v>61</v>
      </c>
    </row>
    <row r="25" spans="2:4" x14ac:dyDescent="0.2">
      <c r="C25" s="6" t="s">
        <v>7</v>
      </c>
      <c r="D25" s="1" t="s">
        <v>62</v>
      </c>
    </row>
    <row r="26" spans="2:4" x14ac:dyDescent="0.2">
      <c r="C26" s="6" t="s">
        <v>8</v>
      </c>
      <c r="D26" s="1" t="s">
        <v>63</v>
      </c>
    </row>
    <row r="27" spans="2:4" x14ac:dyDescent="0.2">
      <c r="C27" s="6" t="s">
        <v>9</v>
      </c>
      <c r="D27" s="1" t="s">
        <v>64</v>
      </c>
    </row>
    <row r="28" spans="2:4" x14ac:dyDescent="0.2">
      <c r="C28" s="6" t="s">
        <v>10</v>
      </c>
      <c r="D28" s="1" t="s">
        <v>65</v>
      </c>
    </row>
    <row r="29" spans="2:4" x14ac:dyDescent="0.2">
      <c r="C29" s="6" t="s">
        <v>11</v>
      </c>
      <c r="D29" s="1" t="s">
        <v>66</v>
      </c>
    </row>
    <row r="30" spans="2:4" x14ac:dyDescent="0.2">
      <c r="C30" s="6" t="s">
        <v>67</v>
      </c>
      <c r="D30" s="1" t="s">
        <v>68</v>
      </c>
    </row>
    <row r="31" spans="2:4" x14ac:dyDescent="0.2">
      <c r="C31" s="6" t="s">
        <v>69</v>
      </c>
      <c r="D31" s="1" t="s">
        <v>71</v>
      </c>
    </row>
    <row r="32" spans="2:4" x14ac:dyDescent="0.2">
      <c r="C32" s="6" t="s">
        <v>70</v>
      </c>
      <c r="D32" s="1" t="s">
        <v>72</v>
      </c>
    </row>
    <row r="33" spans="2:4" x14ac:dyDescent="0.2">
      <c r="C33" s="6"/>
    </row>
    <row r="34" spans="2:4" x14ac:dyDescent="0.2">
      <c r="C34" s="6"/>
    </row>
    <row r="35" spans="2:4" x14ac:dyDescent="0.2">
      <c r="B35" s="2" t="s">
        <v>74</v>
      </c>
      <c r="C35" s="6"/>
      <c r="D35" s="51" t="s">
        <v>75</v>
      </c>
    </row>
    <row r="36" spans="2:4" x14ac:dyDescent="0.2">
      <c r="D36" s="51" t="s">
        <v>76</v>
      </c>
    </row>
    <row r="38" spans="2:4" x14ac:dyDescent="0.2">
      <c r="C38" s="52" t="s">
        <v>77</v>
      </c>
      <c r="D38" s="1" t="s">
        <v>78</v>
      </c>
    </row>
    <row r="39" spans="2:4" x14ac:dyDescent="0.2">
      <c r="D39" s="6"/>
    </row>
    <row r="40" spans="2:4" x14ac:dyDescent="0.2">
      <c r="D40" s="6"/>
    </row>
    <row r="41" spans="2:4" x14ac:dyDescent="0.2">
      <c r="D41" s="6"/>
    </row>
    <row r="42" spans="2:4" x14ac:dyDescent="0.2">
      <c r="D42" s="6"/>
    </row>
    <row r="43" spans="2:4" x14ac:dyDescent="0.2">
      <c r="D43" s="6"/>
    </row>
    <row r="44" spans="2:4" x14ac:dyDescent="0.2">
      <c r="C44" s="52" t="s">
        <v>79</v>
      </c>
      <c r="D44" s="1" t="s">
        <v>80</v>
      </c>
    </row>
    <row r="46" spans="2:4" x14ac:dyDescent="0.2">
      <c r="C46" s="52" t="s">
        <v>82</v>
      </c>
      <c r="D46" s="1" t="s">
        <v>81</v>
      </c>
    </row>
    <row r="52" spans="3:4" x14ac:dyDescent="0.2">
      <c r="C52" s="52" t="s">
        <v>83</v>
      </c>
      <c r="D52" s="1" t="s">
        <v>84</v>
      </c>
    </row>
    <row r="58" spans="3:4" x14ac:dyDescent="0.2">
      <c r="D58" s="51"/>
    </row>
    <row r="59" spans="3:4" x14ac:dyDescent="0.2">
      <c r="D59" s="53"/>
    </row>
    <row r="60" spans="3:4" ht="15" x14ac:dyDescent="0.25">
      <c r="D60" s="54"/>
    </row>
    <row r="61" spans="3:4" x14ac:dyDescent="0.2">
      <c r="D61" s="53"/>
    </row>
    <row r="62" spans="3:4" x14ac:dyDescent="0.2">
      <c r="D62" s="53"/>
    </row>
    <row r="63" spans="3:4" x14ac:dyDescent="0.2">
      <c r="D63" s="53"/>
    </row>
  </sheetData>
  <conditionalFormatting sqref="D18">
    <cfRule type="iconSet" priority="1">
      <iconSet reverse="1">
        <cfvo type="percent" val="0"/>
        <cfvo type="num" val="1" gte="0"/>
        <cfvo type="num" val="2" gte="0"/>
      </iconSet>
    </cfRule>
  </conditionalFormatting>
  <hyperlinks>
    <hyperlink ref="A8" location="'Break Even Analysis'!A1" display="Break Even Analysis" xr:uid="{B354AF61-9A21-44B9-971A-72DF934841D0}"/>
  </hyperlink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C39EE6-5247-439D-8191-E2668B06B567}">
  <sheetPr codeName="Sheet2">
    <tabColor rgb="FF50B47F"/>
  </sheetPr>
  <dimension ref="A1:Z47"/>
  <sheetViews>
    <sheetView showGridLines="0" showRowColHeaders="0" zoomScale="80" zoomScaleNormal="80" workbookViewId="0">
      <pane xSplit="7" ySplit="1" topLeftCell="H2" activePane="bottomRight" state="frozen"/>
      <selection pane="topRight" activeCell="G1" sqref="G1"/>
      <selection pane="bottomLeft" activeCell="A2" sqref="A2"/>
      <selection pane="bottomRight" activeCell="L9" sqref="L9"/>
    </sheetView>
  </sheetViews>
  <sheetFormatPr defaultColWidth="0" defaultRowHeight="12.75" zeroHeight="1" x14ac:dyDescent="0.2"/>
  <cols>
    <col min="1" max="1" width="0.28515625" style="10" customWidth="1"/>
    <col min="2" max="2" width="9.42578125" style="10" customWidth="1"/>
    <col min="3" max="3" width="9.140625" style="10" customWidth="1"/>
    <col min="4" max="4" width="9.42578125" style="10" customWidth="1"/>
    <col min="5" max="5" width="7.42578125" style="10" customWidth="1"/>
    <col min="6" max="6" width="11.140625" style="10" customWidth="1"/>
    <col min="7" max="7" width="0.28515625" style="17" customWidth="1"/>
    <col min="8" max="8" width="0.28515625" style="10" customWidth="1"/>
    <col min="9" max="9" width="16" style="10" customWidth="1"/>
    <col min="10" max="24" width="11.7109375" style="10" customWidth="1"/>
    <col min="25" max="25" width="11.28515625" style="10" hidden="1" customWidth="1"/>
    <col min="26" max="26" width="1.140625" style="10" hidden="1" customWidth="1"/>
    <col min="27" max="16384" width="9.140625" style="10" hidden="1"/>
  </cols>
  <sheetData>
    <row r="1" spans="2:25" s="14" customFormat="1" ht="15.75" x14ac:dyDescent="0.25">
      <c r="B1" s="61" t="s">
        <v>14</v>
      </c>
      <c r="C1" s="61"/>
      <c r="D1" s="61"/>
      <c r="E1" s="61"/>
      <c r="F1" s="61"/>
      <c r="G1" s="16"/>
      <c r="H1" s="61" t="s">
        <v>12</v>
      </c>
      <c r="I1" s="61"/>
      <c r="J1" s="61"/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</row>
    <row r="2" spans="2:25" ht="15" x14ac:dyDescent="0.25">
      <c r="B2" s="55" t="s">
        <v>20</v>
      </c>
      <c r="C2" s="55"/>
      <c r="D2" s="55"/>
      <c r="E2" s="55"/>
      <c r="F2" s="55"/>
      <c r="I2" s="18" t="s">
        <v>25</v>
      </c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</row>
    <row r="3" spans="2:25" x14ac:dyDescent="0.2">
      <c r="B3" s="60" t="s">
        <v>15</v>
      </c>
      <c r="C3" s="60"/>
      <c r="D3" s="60"/>
      <c r="E3" s="60"/>
      <c r="F3" s="15" t="s">
        <v>16</v>
      </c>
      <c r="I3" s="42" t="s">
        <v>24</v>
      </c>
      <c r="J3" s="49">
        <v>1</v>
      </c>
      <c r="K3" s="49">
        <v>2</v>
      </c>
      <c r="L3" s="49">
        <v>3</v>
      </c>
      <c r="M3" s="49">
        <v>4</v>
      </c>
      <c r="N3" s="49">
        <v>5</v>
      </c>
      <c r="O3" s="49">
        <v>6</v>
      </c>
      <c r="P3" s="49">
        <v>7</v>
      </c>
      <c r="Q3" s="49">
        <v>8</v>
      </c>
      <c r="R3" s="49">
        <v>9</v>
      </c>
      <c r="S3" s="49">
        <v>10</v>
      </c>
      <c r="T3" s="49">
        <v>11</v>
      </c>
      <c r="U3" s="49">
        <v>12</v>
      </c>
      <c r="V3" s="49">
        <v>13</v>
      </c>
      <c r="W3" s="49">
        <v>14</v>
      </c>
      <c r="X3" s="49">
        <v>15</v>
      </c>
    </row>
    <row r="4" spans="2:25" x14ac:dyDescent="0.2">
      <c r="B4" s="59" t="s">
        <v>36</v>
      </c>
      <c r="C4" s="59"/>
      <c r="D4" s="59"/>
      <c r="E4" s="59"/>
      <c r="F4" s="43">
        <v>1200000</v>
      </c>
      <c r="I4" s="20" t="str">
        <f>IF(B36="","",B36)</f>
        <v>ABC</v>
      </c>
      <c r="J4" s="46">
        <v>52377</v>
      </c>
      <c r="K4" s="46">
        <v>32258</v>
      </c>
      <c r="L4" s="46">
        <v>38737</v>
      </c>
      <c r="M4" s="46">
        <v>38159</v>
      </c>
      <c r="N4" s="46">
        <v>58072</v>
      </c>
      <c r="O4" s="46">
        <v>38524</v>
      </c>
      <c r="P4" s="46">
        <v>52760</v>
      </c>
      <c r="Q4" s="46">
        <v>33629</v>
      </c>
      <c r="R4" s="46">
        <v>57210</v>
      </c>
      <c r="S4" s="46">
        <v>54444</v>
      </c>
      <c r="T4" s="46">
        <v>44751</v>
      </c>
      <c r="U4" s="46">
        <v>29988</v>
      </c>
      <c r="V4" s="46">
        <v>34746</v>
      </c>
      <c r="W4" s="46">
        <v>38877</v>
      </c>
      <c r="X4" s="46">
        <v>49137</v>
      </c>
    </row>
    <row r="5" spans="2:25" x14ac:dyDescent="0.2">
      <c r="B5" s="59" t="s">
        <v>37</v>
      </c>
      <c r="C5" s="59"/>
      <c r="D5" s="59"/>
      <c r="E5" s="59"/>
      <c r="F5" s="43">
        <v>2000000</v>
      </c>
      <c r="I5" s="20" t="str">
        <f t="shared" ref="I5:I13" si="0">IF(B37="","",B37)</f>
        <v>CCC</v>
      </c>
      <c r="J5" s="47">
        <v>56786</v>
      </c>
      <c r="K5" s="47">
        <v>55275</v>
      </c>
      <c r="L5" s="47">
        <v>29102</v>
      </c>
      <c r="M5" s="47">
        <v>48625</v>
      </c>
      <c r="N5" s="47">
        <v>59570</v>
      </c>
      <c r="O5" s="47">
        <v>32236</v>
      </c>
      <c r="P5" s="47">
        <v>57265</v>
      </c>
      <c r="Q5" s="47">
        <v>58544</v>
      </c>
      <c r="R5" s="47">
        <v>41610</v>
      </c>
      <c r="S5" s="47">
        <v>30098</v>
      </c>
      <c r="T5" s="47">
        <v>35902</v>
      </c>
      <c r="U5" s="47">
        <v>32164</v>
      </c>
      <c r="V5" s="47">
        <v>36312</v>
      </c>
      <c r="W5" s="47">
        <v>34758</v>
      </c>
      <c r="X5" s="47">
        <v>29800</v>
      </c>
    </row>
    <row r="6" spans="2:25" x14ac:dyDescent="0.2">
      <c r="B6" s="59" t="s">
        <v>38</v>
      </c>
      <c r="C6" s="59"/>
      <c r="D6" s="59"/>
      <c r="E6" s="59"/>
      <c r="F6" s="43">
        <v>150000</v>
      </c>
      <c r="I6" s="20" t="str">
        <f t="shared" si="0"/>
        <v>CDA</v>
      </c>
      <c r="J6" s="47">
        <v>36049</v>
      </c>
      <c r="K6" s="47">
        <v>53057</v>
      </c>
      <c r="L6" s="47">
        <v>42184</v>
      </c>
      <c r="M6" s="47">
        <v>25548</v>
      </c>
      <c r="N6" s="47">
        <v>39947</v>
      </c>
      <c r="O6" s="47">
        <v>40177</v>
      </c>
      <c r="P6" s="47">
        <v>50466</v>
      </c>
      <c r="Q6" s="47">
        <v>35035</v>
      </c>
      <c r="R6" s="47">
        <v>30747</v>
      </c>
      <c r="S6" s="47">
        <v>51428</v>
      </c>
      <c r="T6" s="47">
        <v>31334</v>
      </c>
      <c r="U6" s="47">
        <v>27923</v>
      </c>
      <c r="V6" s="47">
        <v>34994</v>
      </c>
      <c r="W6" s="47">
        <v>47839</v>
      </c>
      <c r="X6" s="47">
        <v>42410</v>
      </c>
    </row>
    <row r="7" spans="2:25" x14ac:dyDescent="0.2">
      <c r="B7" s="59" t="s">
        <v>39</v>
      </c>
      <c r="C7" s="59"/>
      <c r="D7" s="59"/>
      <c r="E7" s="59"/>
      <c r="F7" s="43">
        <v>98000</v>
      </c>
      <c r="I7" s="20" t="str">
        <f t="shared" si="0"/>
        <v>DCA</v>
      </c>
      <c r="J7" s="47">
        <v>53109</v>
      </c>
      <c r="K7" s="47">
        <v>58441</v>
      </c>
      <c r="L7" s="47">
        <v>59499</v>
      </c>
      <c r="M7" s="47">
        <v>25394</v>
      </c>
      <c r="N7" s="47">
        <v>26096</v>
      </c>
      <c r="O7" s="47">
        <v>42181</v>
      </c>
      <c r="P7" s="47">
        <v>30796</v>
      </c>
      <c r="Q7" s="47">
        <v>27538</v>
      </c>
      <c r="R7" s="47">
        <v>42659</v>
      </c>
      <c r="S7" s="47">
        <v>37708</v>
      </c>
      <c r="T7" s="47">
        <v>51666</v>
      </c>
      <c r="U7" s="47">
        <v>43084</v>
      </c>
      <c r="V7" s="47">
        <v>45555</v>
      </c>
      <c r="W7" s="47">
        <v>54911</v>
      </c>
      <c r="X7" s="47">
        <v>38333</v>
      </c>
    </row>
    <row r="8" spans="2:25" x14ac:dyDescent="0.2">
      <c r="B8" s="59" t="s">
        <v>40</v>
      </c>
      <c r="C8" s="59"/>
      <c r="D8" s="59"/>
      <c r="E8" s="59"/>
      <c r="F8" s="43">
        <v>50000</v>
      </c>
      <c r="I8" s="20" t="str">
        <f t="shared" si="0"/>
        <v>DDD</v>
      </c>
      <c r="J8" s="47">
        <v>42844</v>
      </c>
      <c r="K8" s="47">
        <v>59885</v>
      </c>
      <c r="L8" s="47">
        <v>52904</v>
      </c>
      <c r="M8" s="47">
        <v>51436</v>
      </c>
      <c r="N8" s="47">
        <v>57178</v>
      </c>
      <c r="O8" s="47">
        <v>33047</v>
      </c>
      <c r="P8" s="47">
        <v>41022</v>
      </c>
      <c r="Q8" s="47">
        <v>43457</v>
      </c>
      <c r="R8" s="47">
        <v>51373</v>
      </c>
      <c r="S8" s="47">
        <v>39796</v>
      </c>
      <c r="T8" s="47">
        <v>53179</v>
      </c>
      <c r="U8" s="47">
        <v>52841</v>
      </c>
      <c r="V8" s="47">
        <v>45547</v>
      </c>
      <c r="W8" s="47">
        <v>59978</v>
      </c>
      <c r="X8" s="47">
        <v>35627</v>
      </c>
    </row>
    <row r="9" spans="2:25" x14ac:dyDescent="0.2">
      <c r="B9" s="59" t="s">
        <v>41</v>
      </c>
      <c r="C9" s="59"/>
      <c r="D9" s="59"/>
      <c r="E9" s="59"/>
      <c r="F9" s="43">
        <v>500000</v>
      </c>
      <c r="I9" s="20" t="str">
        <f t="shared" si="0"/>
        <v/>
      </c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7"/>
      <c r="X9" s="47"/>
    </row>
    <row r="10" spans="2:25" x14ac:dyDescent="0.2">
      <c r="B10" s="59"/>
      <c r="C10" s="59"/>
      <c r="D10" s="59"/>
      <c r="E10" s="59"/>
      <c r="F10" s="43"/>
      <c r="I10" s="20" t="str">
        <f t="shared" si="0"/>
        <v/>
      </c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  <c r="X10" s="47"/>
    </row>
    <row r="11" spans="2:25" x14ac:dyDescent="0.2">
      <c r="B11" s="59"/>
      <c r="C11" s="59"/>
      <c r="D11" s="59"/>
      <c r="E11" s="59"/>
      <c r="F11" s="43"/>
      <c r="I11" s="20" t="str">
        <f t="shared" si="0"/>
        <v/>
      </c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  <c r="X11" s="47"/>
    </row>
    <row r="12" spans="2:25" x14ac:dyDescent="0.2">
      <c r="B12" s="59"/>
      <c r="C12" s="59"/>
      <c r="D12" s="59"/>
      <c r="E12" s="59"/>
      <c r="F12" s="43"/>
      <c r="I12" s="20" t="str">
        <f t="shared" si="0"/>
        <v/>
      </c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  <c r="X12" s="47"/>
    </row>
    <row r="13" spans="2:25" x14ac:dyDescent="0.2">
      <c r="B13" s="59"/>
      <c r="C13" s="59"/>
      <c r="D13" s="59"/>
      <c r="E13" s="59"/>
      <c r="F13" s="43"/>
      <c r="I13" s="21" t="str">
        <f t="shared" si="0"/>
        <v/>
      </c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</row>
    <row r="14" spans="2:25" x14ac:dyDescent="0.2">
      <c r="B14" s="59"/>
      <c r="C14" s="59"/>
      <c r="D14" s="59"/>
      <c r="E14" s="59"/>
      <c r="F14" s="43"/>
      <c r="I14" s="38" t="s">
        <v>26</v>
      </c>
      <c r="J14" s="39">
        <f>IFERROR('Helper sheet'!D17,"")</f>
        <v>-3451054.39</v>
      </c>
      <c r="K14" s="39">
        <f>IFERROR('Helper sheet'!E17,"")</f>
        <v>-2872054.290000001</v>
      </c>
      <c r="L14" s="39">
        <f>IFERROR('Helper sheet'!F17,"")</f>
        <v>-2501501.6700000009</v>
      </c>
      <c r="M14" s="39">
        <f>IFERROR('Helper sheet'!G17,"")</f>
        <v>-2302269.5700000012</v>
      </c>
      <c r="N14" s="39">
        <f>IFERROR('Helper sheet'!H17,"")</f>
        <v>-1776523.6200000013</v>
      </c>
      <c r="O14" s="39">
        <f>IFERROR('Helper sheet'!I17,"")</f>
        <v>-1599047.9600000011</v>
      </c>
      <c r="P14" s="39">
        <f>IFERROR('Helper sheet'!J17,"")</f>
        <v>-1126651.2600000009</v>
      </c>
      <c r="Q14" s="39">
        <f>IFERROR('Helper sheet'!K17,"")</f>
        <v>-873132.62000000081</v>
      </c>
      <c r="R14" s="39">
        <f>IFERROR('Helper sheet'!L17,"")</f>
        <v>-444070.32000000076</v>
      </c>
      <c r="S14" s="39">
        <f>IFERROR('Helper sheet'!M17,"")</f>
        <v>-102949.24000000092</v>
      </c>
      <c r="T14" s="39">
        <f>IFERROR('Helper sheet'!N17,"")</f>
        <v>260378.62999999896</v>
      </c>
      <c r="U14" s="39">
        <f>IFERROR('Helper sheet'!O17,"")</f>
        <v>413990.66999999899</v>
      </c>
      <c r="V14" s="39">
        <f>IFERROR('Helper sheet'!P17,"")</f>
        <v>646726.83999999892</v>
      </c>
      <c r="W14" s="39">
        <f>IFERROR('Helper sheet'!Q17,"")</f>
        <v>1088701.9699999988</v>
      </c>
      <c r="X14" s="39">
        <f>IFERROR('Helper sheet'!R17,"")</f>
        <v>1328744.8199999989</v>
      </c>
    </row>
    <row r="15" spans="2:25" s="40" customFormat="1" x14ac:dyDescent="0.2">
      <c r="B15" s="59"/>
      <c r="C15" s="59"/>
      <c r="D15" s="59"/>
      <c r="E15" s="59"/>
      <c r="F15" s="43"/>
      <c r="G15" s="17"/>
      <c r="H15" s="10"/>
      <c r="I15" s="23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</row>
    <row r="16" spans="2:25" x14ac:dyDescent="0.2">
      <c r="B16" s="56" t="s">
        <v>17</v>
      </c>
      <c r="C16" s="57"/>
      <c r="D16" s="57"/>
      <c r="E16" s="58"/>
      <c r="F16" s="22">
        <f>SUM(F4:F15)</f>
        <v>3998000</v>
      </c>
    </row>
    <row r="17" spans="2:6" x14ac:dyDescent="0.2"/>
    <row r="18" spans="2:6" x14ac:dyDescent="0.2">
      <c r="B18" s="55" t="s">
        <v>21</v>
      </c>
      <c r="C18" s="55"/>
      <c r="D18" s="55"/>
      <c r="E18" s="55"/>
      <c r="F18" s="55"/>
    </row>
    <row r="19" spans="2:6" x14ac:dyDescent="0.2">
      <c r="B19" s="60" t="s">
        <v>15</v>
      </c>
      <c r="C19" s="60"/>
      <c r="D19" s="60"/>
      <c r="E19" s="60"/>
      <c r="F19" s="15" t="s">
        <v>16</v>
      </c>
    </row>
    <row r="20" spans="2:6" x14ac:dyDescent="0.2">
      <c r="B20" s="59" t="s">
        <v>43</v>
      </c>
      <c r="C20" s="59"/>
      <c r="D20" s="59"/>
      <c r="E20" s="59"/>
      <c r="F20" s="43">
        <v>200000</v>
      </c>
    </row>
    <row r="21" spans="2:6" x14ac:dyDescent="0.2">
      <c r="B21" s="59" t="s">
        <v>44</v>
      </c>
      <c r="C21" s="59"/>
      <c r="D21" s="59"/>
      <c r="E21" s="59"/>
      <c r="F21" s="43">
        <v>300000</v>
      </c>
    </row>
    <row r="22" spans="2:6" x14ac:dyDescent="0.2">
      <c r="B22" s="59" t="s">
        <v>45</v>
      </c>
      <c r="C22" s="59"/>
      <c r="D22" s="59"/>
      <c r="E22" s="59"/>
      <c r="F22" s="43">
        <v>150000</v>
      </c>
    </row>
    <row r="23" spans="2:6" x14ac:dyDescent="0.2">
      <c r="B23" s="59" t="s">
        <v>46</v>
      </c>
      <c r="C23" s="59"/>
      <c r="D23" s="59"/>
      <c r="E23" s="59"/>
      <c r="F23" s="43">
        <v>50000</v>
      </c>
    </row>
    <row r="24" spans="2:6" x14ac:dyDescent="0.2">
      <c r="B24" s="59" t="s">
        <v>47</v>
      </c>
      <c r="C24" s="59"/>
      <c r="D24" s="59"/>
      <c r="E24" s="59"/>
      <c r="F24" s="43">
        <v>100000</v>
      </c>
    </row>
    <row r="25" spans="2:6" x14ac:dyDescent="0.2">
      <c r="B25" s="59" t="s">
        <v>48</v>
      </c>
      <c r="C25" s="59"/>
      <c r="D25" s="59"/>
      <c r="E25" s="59"/>
      <c r="F25" s="43">
        <v>150000</v>
      </c>
    </row>
    <row r="26" spans="2:6" x14ac:dyDescent="0.2">
      <c r="B26" s="59"/>
      <c r="C26" s="59"/>
      <c r="D26" s="59"/>
      <c r="E26" s="59"/>
      <c r="F26" s="43"/>
    </row>
    <row r="27" spans="2:6" x14ac:dyDescent="0.2">
      <c r="B27" s="59"/>
      <c r="C27" s="59"/>
      <c r="D27" s="59"/>
      <c r="E27" s="59"/>
      <c r="F27" s="43"/>
    </row>
    <row r="28" spans="2:6" x14ac:dyDescent="0.2">
      <c r="B28" s="59"/>
      <c r="C28" s="59"/>
      <c r="D28" s="59"/>
      <c r="E28" s="59"/>
      <c r="F28" s="43"/>
    </row>
    <row r="29" spans="2:6" x14ac:dyDescent="0.2">
      <c r="B29" s="59"/>
      <c r="C29" s="59"/>
      <c r="D29" s="59"/>
      <c r="E29" s="59"/>
      <c r="F29" s="43"/>
    </row>
    <row r="30" spans="2:6" x14ac:dyDescent="0.2">
      <c r="B30" s="59"/>
      <c r="C30" s="59"/>
      <c r="D30" s="59"/>
      <c r="E30" s="59"/>
      <c r="F30" s="43"/>
    </row>
    <row r="31" spans="2:6" x14ac:dyDescent="0.2">
      <c r="B31" s="59"/>
      <c r="C31" s="59"/>
      <c r="D31" s="59"/>
      <c r="E31" s="59"/>
      <c r="F31" s="43"/>
    </row>
    <row r="32" spans="2:6" x14ac:dyDescent="0.2">
      <c r="B32" s="56" t="s">
        <v>18</v>
      </c>
      <c r="C32" s="57"/>
      <c r="D32" s="57"/>
      <c r="E32" s="58"/>
      <c r="F32" s="22">
        <f>SUM(F20:F31)</f>
        <v>950000</v>
      </c>
    </row>
    <row r="33" spans="2:7" x14ac:dyDescent="0.2"/>
    <row r="34" spans="2:7" x14ac:dyDescent="0.2">
      <c r="B34" s="55" t="s">
        <v>33</v>
      </c>
      <c r="C34" s="55"/>
      <c r="D34" s="55"/>
      <c r="E34" s="55"/>
      <c r="F34" s="55"/>
    </row>
    <row r="35" spans="2:7" x14ac:dyDescent="0.2">
      <c r="B35" s="15" t="s">
        <v>19</v>
      </c>
      <c r="C35" s="15" t="s">
        <v>23</v>
      </c>
      <c r="D35" s="15" t="s">
        <v>22</v>
      </c>
      <c r="E35" s="15" t="s">
        <v>42</v>
      </c>
      <c r="F35" s="15" t="s">
        <v>27</v>
      </c>
    </row>
    <row r="36" spans="2:7" x14ac:dyDescent="0.2">
      <c r="B36" s="44" t="s">
        <v>34</v>
      </c>
      <c r="C36" s="43">
        <v>12</v>
      </c>
      <c r="D36" s="43">
        <v>20</v>
      </c>
      <c r="E36" s="45">
        <v>0.95</v>
      </c>
      <c r="F36" s="31">
        <f>IFERROR(IF(E36="","",(D36-C36)*E36),"")</f>
        <v>7.6</v>
      </c>
    </row>
    <row r="37" spans="2:7" x14ac:dyDescent="0.2">
      <c r="B37" s="44" t="s">
        <v>35</v>
      </c>
      <c r="C37" s="43">
        <v>15</v>
      </c>
      <c r="D37" s="43">
        <v>22</v>
      </c>
      <c r="E37" s="45">
        <v>0.98</v>
      </c>
      <c r="F37" s="31">
        <f t="shared" ref="F37:F45" si="1">IFERROR(IF(E37="","",(D37-C37)*E37),"")</f>
        <v>6.8599999999999994</v>
      </c>
    </row>
    <row r="38" spans="2:7" x14ac:dyDescent="0.2">
      <c r="B38" s="44" t="s">
        <v>49</v>
      </c>
      <c r="C38" s="43">
        <v>10</v>
      </c>
      <c r="D38" s="43">
        <v>15</v>
      </c>
      <c r="E38" s="45">
        <v>0.95</v>
      </c>
      <c r="F38" s="31">
        <f t="shared" si="1"/>
        <v>4.75</v>
      </c>
    </row>
    <row r="39" spans="2:7" x14ac:dyDescent="0.2">
      <c r="B39" s="44" t="s">
        <v>50</v>
      </c>
      <c r="C39" s="43">
        <v>13</v>
      </c>
      <c r="D39" s="43">
        <v>20</v>
      </c>
      <c r="E39" s="45">
        <v>0.9</v>
      </c>
      <c r="F39" s="31">
        <f t="shared" si="1"/>
        <v>6.3</v>
      </c>
    </row>
    <row r="40" spans="2:7" x14ac:dyDescent="0.2">
      <c r="B40" s="44" t="s">
        <v>51</v>
      </c>
      <c r="C40" s="43">
        <v>17</v>
      </c>
      <c r="D40" s="43">
        <v>22</v>
      </c>
      <c r="E40" s="45">
        <v>0.95</v>
      </c>
      <c r="F40" s="31">
        <f t="shared" si="1"/>
        <v>4.75</v>
      </c>
    </row>
    <row r="41" spans="2:7" x14ac:dyDescent="0.2">
      <c r="B41" s="44"/>
      <c r="C41" s="43"/>
      <c r="D41" s="43"/>
      <c r="E41" s="45"/>
      <c r="F41" s="31" t="str">
        <f t="shared" si="1"/>
        <v/>
      </c>
    </row>
    <row r="42" spans="2:7" x14ac:dyDescent="0.2">
      <c r="B42" s="44"/>
      <c r="C42" s="43"/>
      <c r="D42" s="43"/>
      <c r="E42" s="45"/>
      <c r="F42" s="31" t="str">
        <f t="shared" si="1"/>
        <v/>
      </c>
    </row>
    <row r="43" spans="2:7" x14ac:dyDescent="0.2">
      <c r="B43" s="44"/>
      <c r="C43" s="43"/>
      <c r="D43" s="43"/>
      <c r="E43" s="45"/>
      <c r="F43" s="31" t="str">
        <f t="shared" si="1"/>
        <v/>
      </c>
    </row>
    <row r="44" spans="2:7" x14ac:dyDescent="0.2">
      <c r="B44" s="44"/>
      <c r="C44" s="43"/>
      <c r="D44" s="43"/>
      <c r="E44" s="45"/>
      <c r="F44" s="31" t="str">
        <f t="shared" si="1"/>
        <v/>
      </c>
    </row>
    <row r="45" spans="2:7" x14ac:dyDescent="0.2">
      <c r="B45" s="44"/>
      <c r="C45" s="43"/>
      <c r="D45" s="43"/>
      <c r="E45" s="45"/>
      <c r="F45" s="31" t="str">
        <f t="shared" si="1"/>
        <v/>
      </c>
    </row>
    <row r="46" spans="2:7" x14ac:dyDescent="0.2">
      <c r="B46" s="56" t="s">
        <v>28</v>
      </c>
      <c r="C46" s="57"/>
      <c r="D46" s="57"/>
      <c r="E46" s="58"/>
      <c r="F46" s="41">
        <f>IFERROR(AVERAGE(F36:F45),"")</f>
        <v>6.0520000000000005</v>
      </c>
    </row>
    <row r="47" spans="2:7" ht="5.25" customHeight="1" x14ac:dyDescent="0.2">
      <c r="F47" s="19"/>
      <c r="G47" s="10"/>
    </row>
  </sheetData>
  <sheetProtection sheet="1" objects="1" scenarios="1" selectLockedCells="1"/>
  <mergeCells count="34">
    <mergeCell ref="B13:E13"/>
    <mergeCell ref="B1:F1"/>
    <mergeCell ref="H1:Y1"/>
    <mergeCell ref="B2:F2"/>
    <mergeCell ref="B3:E3"/>
    <mergeCell ref="B4:E4"/>
    <mergeCell ref="B5:E5"/>
    <mergeCell ref="B6:E6"/>
    <mergeCell ref="B7:E7"/>
    <mergeCell ref="B8:E8"/>
    <mergeCell ref="B9:E9"/>
    <mergeCell ref="B12:E12"/>
    <mergeCell ref="B20:E20"/>
    <mergeCell ref="B21:E21"/>
    <mergeCell ref="B22:E22"/>
    <mergeCell ref="B14:E14"/>
    <mergeCell ref="B15:E15"/>
    <mergeCell ref="B16:E16"/>
    <mergeCell ref="B34:F34"/>
    <mergeCell ref="B46:E46"/>
    <mergeCell ref="B10:E10"/>
    <mergeCell ref="B11:E11"/>
    <mergeCell ref="B25:E25"/>
    <mergeCell ref="B26:E26"/>
    <mergeCell ref="B31:E31"/>
    <mergeCell ref="B32:E32"/>
    <mergeCell ref="B23:E23"/>
    <mergeCell ref="B24:E24"/>
    <mergeCell ref="B27:E27"/>
    <mergeCell ref="B28:E28"/>
    <mergeCell ref="B29:E29"/>
    <mergeCell ref="B30:E30"/>
    <mergeCell ref="B18:F18"/>
    <mergeCell ref="B19:E19"/>
  </mergeCells>
  <phoneticPr fontId="10" type="noConversion"/>
  <conditionalFormatting sqref="Z15:XFD15 J14:X14">
    <cfRule type="cellIs" dxfId="0" priority="4" operator="lessThan">
      <formula>0</formula>
    </cfRule>
  </conditionalFormatting>
  <conditionalFormatting sqref="F4:F15">
    <cfRule type="dataBar" priority="3">
      <dataBar>
        <cfvo type="min"/>
        <cfvo type="max"/>
        <color rgb="FF8FCFAD"/>
      </dataBar>
      <extLst>
        <ext xmlns:x14="http://schemas.microsoft.com/office/spreadsheetml/2009/9/main" uri="{B025F937-C7B1-47D3-B67F-A62EFF666E3E}">
          <x14:id>{2974722E-609A-49AD-BAF0-CD24A4472E89}</x14:id>
        </ext>
      </extLst>
    </cfRule>
  </conditionalFormatting>
  <conditionalFormatting sqref="F20:F31">
    <cfRule type="dataBar" priority="2">
      <dataBar>
        <cfvo type="min"/>
        <cfvo type="max"/>
        <color rgb="FF8FCFAD"/>
      </dataBar>
      <extLst>
        <ext xmlns:x14="http://schemas.microsoft.com/office/spreadsheetml/2009/9/main" uri="{B025F937-C7B1-47D3-B67F-A62EFF666E3E}">
          <x14:id>{57B6586B-C06A-416D-BFD2-69235100A15E}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Full_screen">
                <anchor moveWithCells="1" sizeWithCells="1">
                  <from>
                    <xdr:col>8</xdr:col>
                    <xdr:colOff>19050</xdr:colOff>
                    <xdr:row>14</xdr:row>
                    <xdr:rowOff>47625</xdr:rowOff>
                  </from>
                  <to>
                    <xdr:col>8</xdr:col>
                    <xdr:colOff>857250</xdr:colOff>
                    <xdr:row>15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974722E-609A-49AD-BAF0-CD24A4472E8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F4:F15</xm:sqref>
        </x14:conditionalFormatting>
        <x14:conditionalFormatting xmlns:xm="http://schemas.microsoft.com/office/excel/2006/main">
          <x14:cfRule type="dataBar" id="{57B6586B-C06A-416D-BFD2-69235100A1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F20:F31</xm:sqref>
        </x14:conditionalFormatting>
        <x14:conditionalFormatting xmlns:xm="http://schemas.microsoft.com/office/excel/2006/main">
          <x14:cfRule type="iconSet" priority="1" id="{7007FF69-C129-4CB6-B6DD-4FEEF639AEB1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F36:F45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099B2-964A-4293-88DD-12A0CD1EC9B5}">
  <sheetPr codeName="Sheet3"/>
  <dimension ref="B3:T29"/>
  <sheetViews>
    <sheetView showGridLines="0" workbookViewId="0">
      <selection activeCell="S5" sqref="S5:S14"/>
    </sheetView>
  </sheetViews>
  <sheetFormatPr defaultRowHeight="12.75" x14ac:dyDescent="0.2"/>
  <cols>
    <col min="1" max="1" width="9.140625" style="1"/>
    <col min="2" max="2" width="14.85546875" style="1" bestFit="1" customWidth="1"/>
    <col min="3" max="3" width="12.85546875" style="1" bestFit="1" customWidth="1"/>
    <col min="4" max="18" width="10.85546875" style="1" bestFit="1" customWidth="1"/>
    <col min="19" max="19" width="10.28515625" style="1" bestFit="1" customWidth="1"/>
    <col min="20" max="16384" width="9.140625" style="1"/>
  </cols>
  <sheetData>
    <row r="3" spans="2:20" ht="13.5" thickBot="1" x14ac:dyDescent="0.25">
      <c r="B3" s="1" t="s">
        <v>29</v>
      </c>
    </row>
    <row r="4" spans="2:20" x14ac:dyDescent="0.2">
      <c r="B4" s="24" t="str">
        <f>IF('Break Even Analysis'!I3="","",'Break Even Analysis'!I3)</f>
        <v>Period</v>
      </c>
      <c r="C4" s="25"/>
      <c r="D4" s="25">
        <f>IF('Break Even Analysis'!J3="","",'Break Even Analysis'!J3)</f>
        <v>1</v>
      </c>
      <c r="E4" s="25">
        <f>IF('Break Even Analysis'!K3="","",'Break Even Analysis'!K3)</f>
        <v>2</v>
      </c>
      <c r="F4" s="25">
        <f>IF('Break Even Analysis'!L3="","",'Break Even Analysis'!L3)</f>
        <v>3</v>
      </c>
      <c r="G4" s="25">
        <f>IF('Break Even Analysis'!M3="","",'Break Even Analysis'!M3)</f>
        <v>4</v>
      </c>
      <c r="H4" s="25">
        <f>IF('Break Even Analysis'!N3="","",'Break Even Analysis'!N3)</f>
        <v>5</v>
      </c>
      <c r="I4" s="25">
        <f>IF('Break Even Analysis'!O3="","",'Break Even Analysis'!O3)</f>
        <v>6</v>
      </c>
      <c r="J4" s="25">
        <f>IF('Break Even Analysis'!P3="","",'Break Even Analysis'!P3)</f>
        <v>7</v>
      </c>
      <c r="K4" s="25">
        <f>IF('Break Even Analysis'!Q3="","",'Break Even Analysis'!Q3)</f>
        <v>8</v>
      </c>
      <c r="L4" s="25">
        <f>IF('Break Even Analysis'!R3="","",'Break Even Analysis'!R3)</f>
        <v>9</v>
      </c>
      <c r="M4" s="25">
        <f>IF('Break Even Analysis'!S3="","",'Break Even Analysis'!S3)</f>
        <v>10</v>
      </c>
      <c r="N4" s="25">
        <f>IF('Break Even Analysis'!T3="","",'Break Even Analysis'!T3)</f>
        <v>11</v>
      </c>
      <c r="O4" s="25">
        <f>IF('Break Even Analysis'!U3="","",'Break Even Analysis'!U3)</f>
        <v>12</v>
      </c>
      <c r="P4" s="25">
        <f>IF('Break Even Analysis'!V3="","",'Break Even Analysis'!V3)</f>
        <v>13</v>
      </c>
      <c r="Q4" s="25">
        <f>IF('Break Even Analysis'!W3="","",'Break Even Analysis'!W3)</f>
        <v>14</v>
      </c>
      <c r="R4" s="26">
        <f>IF('Break Even Analysis'!X3="","",'Break Even Analysis'!X3)</f>
        <v>15</v>
      </c>
    </row>
    <row r="5" spans="2:20" x14ac:dyDescent="0.2">
      <c r="B5" s="27" t="str">
        <f>IF('Break Even Analysis'!I4="","",'Break Even Analysis'!I4)</f>
        <v>ABC</v>
      </c>
      <c r="C5" s="28"/>
      <c r="D5" s="32">
        <f>IFERROR('Break Even Analysis'!J4*VLOOKUP('Helper sheet'!$B5,'Break Even Analysis'!$B$36:$F$45,5,0),"")</f>
        <v>398065.19999999995</v>
      </c>
      <c r="E5" s="32">
        <f>IFERROR('Break Even Analysis'!K4*VLOOKUP('Helper sheet'!$B5,'Break Even Analysis'!$B$36:$F$45,5,0),"")</f>
        <v>245160.8</v>
      </c>
      <c r="F5" s="32">
        <f>IFERROR('Break Even Analysis'!L4*VLOOKUP('Helper sheet'!$B5,'Break Even Analysis'!$B$36:$F$45,5,0),"")</f>
        <v>294401.2</v>
      </c>
      <c r="G5" s="32">
        <f>IFERROR('Break Even Analysis'!M4*VLOOKUP('Helper sheet'!$B5,'Break Even Analysis'!$B$36:$F$45,5,0),"")</f>
        <v>290008.39999999997</v>
      </c>
      <c r="H5" s="32">
        <f>IFERROR('Break Even Analysis'!N4*VLOOKUP('Helper sheet'!$B5,'Break Even Analysis'!$B$36:$F$45,5,0),"")</f>
        <v>441347.19999999995</v>
      </c>
      <c r="I5" s="32">
        <f>IFERROR('Break Even Analysis'!O4*VLOOKUP('Helper sheet'!$B5,'Break Even Analysis'!$B$36:$F$45,5,0),"")</f>
        <v>292782.39999999997</v>
      </c>
      <c r="J5" s="32">
        <f>IFERROR('Break Even Analysis'!P4*VLOOKUP('Helper sheet'!$B5,'Break Even Analysis'!$B$36:$F$45,5,0),"")</f>
        <v>400976</v>
      </c>
      <c r="K5" s="32">
        <f>IFERROR('Break Even Analysis'!Q4*VLOOKUP('Helper sheet'!$B5,'Break Even Analysis'!$B$36:$F$45,5,0),"")</f>
        <v>255580.4</v>
      </c>
      <c r="L5" s="32">
        <f>IFERROR('Break Even Analysis'!R4*VLOOKUP('Helper sheet'!$B5,'Break Even Analysis'!$B$36:$F$45,5,0),"")</f>
        <v>434796</v>
      </c>
      <c r="M5" s="32">
        <f>IFERROR('Break Even Analysis'!S4*VLOOKUP('Helper sheet'!$B5,'Break Even Analysis'!$B$36:$F$45,5,0),"")</f>
        <v>413774.39999999997</v>
      </c>
      <c r="N5" s="32">
        <f>IFERROR('Break Even Analysis'!T4*VLOOKUP('Helper sheet'!$B5,'Break Even Analysis'!$B$36:$F$45,5,0),"")</f>
        <v>340107.6</v>
      </c>
      <c r="O5" s="32">
        <f>IFERROR('Break Even Analysis'!U4*VLOOKUP('Helper sheet'!$B5,'Break Even Analysis'!$B$36:$F$45,5,0),"")</f>
        <v>227908.8</v>
      </c>
      <c r="P5" s="32">
        <f>IFERROR('Break Even Analysis'!V4*VLOOKUP('Helper sheet'!$B5,'Break Even Analysis'!$B$36:$F$45,5,0),"")</f>
        <v>264069.59999999998</v>
      </c>
      <c r="Q5" s="32">
        <f>IFERROR('Break Even Analysis'!W4*VLOOKUP('Helper sheet'!$B5,'Break Even Analysis'!$B$36:$F$45,5,0),"")</f>
        <v>295465.2</v>
      </c>
      <c r="R5" s="32">
        <f>IFERROR('Break Even Analysis'!X4*VLOOKUP('Helper sheet'!$B5,'Break Even Analysis'!$B$36:$F$45,5,0),"")</f>
        <v>373441.19999999995</v>
      </c>
      <c r="S5" s="37"/>
      <c r="T5" s="37"/>
    </row>
    <row r="6" spans="2:20" x14ac:dyDescent="0.2">
      <c r="B6" s="27" t="str">
        <f>IF('Break Even Analysis'!I5="","",'Break Even Analysis'!I5)</f>
        <v>CCC</v>
      </c>
      <c r="C6" s="28"/>
      <c r="D6" s="32">
        <f>IFERROR('Break Even Analysis'!J5*VLOOKUP('Helper sheet'!$B6,'Break Even Analysis'!$B$36:$F$45,5,0),"")</f>
        <v>389551.95999999996</v>
      </c>
      <c r="E6" s="32">
        <f>IFERROR('Break Even Analysis'!K5*VLOOKUP('Helper sheet'!$B6,'Break Even Analysis'!$B$36:$F$45,5,0),"")</f>
        <v>379186.49999999994</v>
      </c>
      <c r="F6" s="32">
        <f>IFERROR('Break Even Analysis'!L5*VLOOKUP('Helper sheet'!$B6,'Break Even Analysis'!$B$36:$F$45,5,0),"")</f>
        <v>199639.71999999997</v>
      </c>
      <c r="G6" s="32">
        <f>IFERROR('Break Even Analysis'!M5*VLOOKUP('Helper sheet'!$B6,'Break Even Analysis'!$B$36:$F$45,5,0),"")</f>
        <v>333567.5</v>
      </c>
      <c r="H6" s="32">
        <f>IFERROR('Break Even Analysis'!N5*VLOOKUP('Helper sheet'!$B6,'Break Even Analysis'!$B$36:$F$45,5,0),"")</f>
        <v>408650.19999999995</v>
      </c>
      <c r="I6" s="32">
        <f>IFERROR('Break Even Analysis'!O5*VLOOKUP('Helper sheet'!$B6,'Break Even Analysis'!$B$36:$F$45,5,0),"")</f>
        <v>221138.96</v>
      </c>
      <c r="J6" s="32">
        <f>IFERROR('Break Even Analysis'!P5*VLOOKUP('Helper sheet'!$B6,'Break Even Analysis'!$B$36:$F$45,5,0),"")</f>
        <v>392837.89999999997</v>
      </c>
      <c r="K6" s="32">
        <f>IFERROR('Break Even Analysis'!Q5*VLOOKUP('Helper sheet'!$B6,'Break Even Analysis'!$B$36:$F$45,5,0),"")</f>
        <v>401611.83999999997</v>
      </c>
      <c r="L6" s="32">
        <f>IFERROR('Break Even Analysis'!R5*VLOOKUP('Helper sheet'!$B6,'Break Even Analysis'!$B$36:$F$45,5,0),"")</f>
        <v>285444.59999999998</v>
      </c>
      <c r="M6" s="32">
        <f>IFERROR('Break Even Analysis'!S5*VLOOKUP('Helper sheet'!$B6,'Break Even Analysis'!$B$36:$F$45,5,0),"")</f>
        <v>206472.27999999997</v>
      </c>
      <c r="N6" s="32">
        <f>IFERROR('Break Even Analysis'!T5*VLOOKUP('Helper sheet'!$B6,'Break Even Analysis'!$B$36:$F$45,5,0),"")</f>
        <v>246287.71999999997</v>
      </c>
      <c r="O6" s="32">
        <f>IFERROR('Break Even Analysis'!U5*VLOOKUP('Helper sheet'!$B6,'Break Even Analysis'!$B$36:$F$45,5,0),"")</f>
        <v>220645.03999999998</v>
      </c>
      <c r="P6" s="32">
        <f>IFERROR('Break Even Analysis'!V5*VLOOKUP('Helper sheet'!$B6,'Break Even Analysis'!$B$36:$F$45,5,0),"")</f>
        <v>249100.31999999998</v>
      </c>
      <c r="Q6" s="32">
        <f>IFERROR('Break Even Analysis'!W5*VLOOKUP('Helper sheet'!$B6,'Break Even Analysis'!$B$36:$F$45,5,0),"")</f>
        <v>238439.87999999998</v>
      </c>
      <c r="R6" s="33">
        <f>IFERROR('Break Even Analysis'!X5*VLOOKUP('Helper sheet'!$B6,'Break Even Analysis'!$B$36:$F$45,5,0),"")</f>
        <v>204427.99999999997</v>
      </c>
      <c r="S6" s="37"/>
      <c r="T6" s="37"/>
    </row>
    <row r="7" spans="2:20" x14ac:dyDescent="0.2">
      <c r="B7" s="27" t="str">
        <f>IF('Break Even Analysis'!I6="","",'Break Even Analysis'!I6)</f>
        <v>CDA</v>
      </c>
      <c r="C7" s="28"/>
      <c r="D7" s="32">
        <f>IFERROR('Break Even Analysis'!J6*VLOOKUP('Helper sheet'!$B7,'Break Even Analysis'!$B$36:$F$45,5,0),"")</f>
        <v>171232.75</v>
      </c>
      <c r="E7" s="32">
        <f>IFERROR('Break Even Analysis'!K6*VLOOKUP('Helper sheet'!$B7,'Break Even Analysis'!$B$36:$F$45,5,0),"")</f>
        <v>252020.75</v>
      </c>
      <c r="F7" s="32">
        <f>IFERROR('Break Even Analysis'!L6*VLOOKUP('Helper sheet'!$B7,'Break Even Analysis'!$B$36:$F$45,5,0),"")</f>
        <v>200374</v>
      </c>
      <c r="G7" s="32">
        <f>IFERROR('Break Even Analysis'!M6*VLOOKUP('Helper sheet'!$B7,'Break Even Analysis'!$B$36:$F$45,5,0),"")</f>
        <v>121353</v>
      </c>
      <c r="H7" s="32">
        <f>IFERROR('Break Even Analysis'!N6*VLOOKUP('Helper sheet'!$B7,'Break Even Analysis'!$B$36:$F$45,5,0),"")</f>
        <v>189748.25</v>
      </c>
      <c r="I7" s="32">
        <f>IFERROR('Break Even Analysis'!O6*VLOOKUP('Helper sheet'!$B7,'Break Even Analysis'!$B$36:$F$45,5,0),"")</f>
        <v>190840.75</v>
      </c>
      <c r="J7" s="32">
        <f>IFERROR('Break Even Analysis'!P6*VLOOKUP('Helper sheet'!$B7,'Break Even Analysis'!$B$36:$F$45,5,0),"")</f>
        <v>239713.5</v>
      </c>
      <c r="K7" s="32">
        <f>IFERROR('Break Even Analysis'!Q6*VLOOKUP('Helper sheet'!$B7,'Break Even Analysis'!$B$36:$F$45,5,0),"")</f>
        <v>166416.25</v>
      </c>
      <c r="L7" s="32">
        <f>IFERROR('Break Even Analysis'!R6*VLOOKUP('Helper sheet'!$B7,'Break Even Analysis'!$B$36:$F$45,5,0),"")</f>
        <v>146048.25</v>
      </c>
      <c r="M7" s="32">
        <f>IFERROR('Break Even Analysis'!S6*VLOOKUP('Helper sheet'!$B7,'Break Even Analysis'!$B$36:$F$45,5,0),"")</f>
        <v>244283</v>
      </c>
      <c r="N7" s="32">
        <f>IFERROR('Break Even Analysis'!T6*VLOOKUP('Helper sheet'!$B7,'Break Even Analysis'!$B$36:$F$45,5,0),"")</f>
        <v>148836.5</v>
      </c>
      <c r="O7" s="32">
        <f>IFERROR('Break Even Analysis'!U6*VLOOKUP('Helper sheet'!$B7,'Break Even Analysis'!$B$36:$F$45,5,0),"")</f>
        <v>132634.25</v>
      </c>
      <c r="P7" s="32">
        <f>IFERROR('Break Even Analysis'!V6*VLOOKUP('Helper sheet'!$B7,'Break Even Analysis'!$B$36:$F$45,5,0),"")</f>
        <v>166221.5</v>
      </c>
      <c r="Q7" s="32">
        <f>IFERROR('Break Even Analysis'!W6*VLOOKUP('Helper sheet'!$B7,'Break Even Analysis'!$B$36:$F$45,5,0),"")</f>
        <v>227235.25</v>
      </c>
      <c r="R7" s="33">
        <f>IFERROR('Break Even Analysis'!X6*VLOOKUP('Helper sheet'!$B7,'Break Even Analysis'!$B$36:$F$45,5,0),"")</f>
        <v>201447.5</v>
      </c>
      <c r="S7" s="37"/>
      <c r="T7" s="37"/>
    </row>
    <row r="8" spans="2:20" x14ac:dyDescent="0.2">
      <c r="B8" s="27" t="str">
        <f>IF('Break Even Analysis'!I7="","",'Break Even Analysis'!I7)</f>
        <v>DCA</v>
      </c>
      <c r="C8" s="28"/>
      <c r="D8" s="32">
        <f>IFERROR('Break Even Analysis'!J7*VLOOKUP('Helper sheet'!$B8,'Break Even Analysis'!$B$36:$F$45,5,0),"")</f>
        <v>334586.7</v>
      </c>
      <c r="E8" s="32">
        <f>IFERROR('Break Even Analysis'!K7*VLOOKUP('Helper sheet'!$B8,'Break Even Analysis'!$B$36:$F$45,5,0),"")</f>
        <v>368178.3</v>
      </c>
      <c r="F8" s="32">
        <f>IFERROR('Break Even Analysis'!L7*VLOOKUP('Helper sheet'!$B8,'Break Even Analysis'!$B$36:$F$45,5,0),"")</f>
        <v>374843.7</v>
      </c>
      <c r="G8" s="32">
        <f>IFERROR('Break Even Analysis'!M7*VLOOKUP('Helper sheet'!$B8,'Break Even Analysis'!$B$36:$F$45,5,0),"")</f>
        <v>159982.19999999998</v>
      </c>
      <c r="H8" s="32">
        <f>IFERROR('Break Even Analysis'!N7*VLOOKUP('Helper sheet'!$B8,'Break Even Analysis'!$B$36:$F$45,5,0),"")</f>
        <v>164404.79999999999</v>
      </c>
      <c r="I8" s="32">
        <f>IFERROR('Break Even Analysis'!O7*VLOOKUP('Helper sheet'!$B8,'Break Even Analysis'!$B$36:$F$45,5,0),"")</f>
        <v>265740.3</v>
      </c>
      <c r="J8" s="32">
        <f>IFERROR('Break Even Analysis'!P7*VLOOKUP('Helper sheet'!$B8,'Break Even Analysis'!$B$36:$F$45,5,0),"")</f>
        <v>194014.8</v>
      </c>
      <c r="K8" s="32">
        <f>IFERROR('Break Even Analysis'!Q7*VLOOKUP('Helper sheet'!$B8,'Break Even Analysis'!$B$36:$F$45,5,0),"")</f>
        <v>173489.4</v>
      </c>
      <c r="L8" s="32">
        <f>IFERROR('Break Even Analysis'!R7*VLOOKUP('Helper sheet'!$B8,'Break Even Analysis'!$B$36:$F$45,5,0),"")</f>
        <v>268751.7</v>
      </c>
      <c r="M8" s="32">
        <f>IFERROR('Break Even Analysis'!S7*VLOOKUP('Helper sheet'!$B8,'Break Even Analysis'!$B$36:$F$45,5,0),"")</f>
        <v>237560.4</v>
      </c>
      <c r="N8" s="32">
        <f>IFERROR('Break Even Analysis'!T7*VLOOKUP('Helper sheet'!$B8,'Break Even Analysis'!$B$36:$F$45,5,0),"")</f>
        <v>325495.8</v>
      </c>
      <c r="O8" s="32">
        <f>IFERROR('Break Even Analysis'!U7*VLOOKUP('Helper sheet'!$B8,'Break Even Analysis'!$B$36:$F$45,5,0),"")</f>
        <v>271429.2</v>
      </c>
      <c r="P8" s="32">
        <f>IFERROR('Break Even Analysis'!V7*VLOOKUP('Helper sheet'!$B8,'Break Even Analysis'!$B$36:$F$45,5,0),"")</f>
        <v>286996.5</v>
      </c>
      <c r="Q8" s="32">
        <f>IFERROR('Break Even Analysis'!W7*VLOOKUP('Helper sheet'!$B8,'Break Even Analysis'!$B$36:$F$45,5,0),"")</f>
        <v>345939.3</v>
      </c>
      <c r="R8" s="33">
        <f>IFERROR('Break Even Analysis'!X7*VLOOKUP('Helper sheet'!$B8,'Break Even Analysis'!$B$36:$F$45,5,0),"")</f>
        <v>241497.9</v>
      </c>
      <c r="S8" s="37"/>
      <c r="T8" s="37"/>
    </row>
    <row r="9" spans="2:20" x14ac:dyDescent="0.2">
      <c r="B9" s="27" t="str">
        <f>IF('Break Even Analysis'!I8="","",'Break Even Analysis'!I8)</f>
        <v>DDD</v>
      </c>
      <c r="C9" s="28"/>
      <c r="D9" s="32">
        <f>IFERROR('Break Even Analysis'!J8*VLOOKUP('Helper sheet'!$B9,'Break Even Analysis'!$B$36:$F$45,5,0),"")</f>
        <v>203509</v>
      </c>
      <c r="E9" s="32">
        <f>IFERROR('Break Even Analysis'!K8*VLOOKUP('Helper sheet'!$B9,'Break Even Analysis'!$B$36:$F$45,5,0),"")</f>
        <v>284453.75</v>
      </c>
      <c r="F9" s="32">
        <f>IFERROR('Break Even Analysis'!L8*VLOOKUP('Helper sheet'!$B9,'Break Even Analysis'!$B$36:$F$45,5,0),"")</f>
        <v>251294</v>
      </c>
      <c r="G9" s="32">
        <f>IFERROR('Break Even Analysis'!M8*VLOOKUP('Helper sheet'!$B9,'Break Even Analysis'!$B$36:$F$45,5,0),"")</f>
        <v>244321</v>
      </c>
      <c r="H9" s="32">
        <f>IFERROR('Break Even Analysis'!N8*VLOOKUP('Helper sheet'!$B9,'Break Even Analysis'!$B$36:$F$45,5,0),"")</f>
        <v>271595.5</v>
      </c>
      <c r="I9" s="32">
        <f>IFERROR('Break Even Analysis'!O8*VLOOKUP('Helper sheet'!$B9,'Break Even Analysis'!$B$36:$F$45,5,0),"")</f>
        <v>156973.25</v>
      </c>
      <c r="J9" s="32">
        <f>IFERROR('Break Even Analysis'!P8*VLOOKUP('Helper sheet'!$B9,'Break Even Analysis'!$B$36:$F$45,5,0),"")</f>
        <v>194854.5</v>
      </c>
      <c r="K9" s="32">
        <f>IFERROR('Break Even Analysis'!Q8*VLOOKUP('Helper sheet'!$B9,'Break Even Analysis'!$B$36:$F$45,5,0),"")</f>
        <v>206420.75</v>
      </c>
      <c r="L9" s="32">
        <f>IFERROR('Break Even Analysis'!R8*VLOOKUP('Helper sheet'!$B9,'Break Even Analysis'!$B$36:$F$45,5,0),"")</f>
        <v>244021.75</v>
      </c>
      <c r="M9" s="32">
        <f>IFERROR('Break Even Analysis'!S8*VLOOKUP('Helper sheet'!$B9,'Break Even Analysis'!$B$36:$F$45,5,0),"")</f>
        <v>189031</v>
      </c>
      <c r="N9" s="32">
        <f>IFERROR('Break Even Analysis'!T8*VLOOKUP('Helper sheet'!$B9,'Break Even Analysis'!$B$36:$F$45,5,0),"")</f>
        <v>252600.25</v>
      </c>
      <c r="O9" s="32">
        <f>IFERROR('Break Even Analysis'!U8*VLOOKUP('Helper sheet'!$B9,'Break Even Analysis'!$B$36:$F$45,5,0),"")</f>
        <v>250994.75</v>
      </c>
      <c r="P9" s="32">
        <f>IFERROR('Break Even Analysis'!V8*VLOOKUP('Helper sheet'!$B9,'Break Even Analysis'!$B$36:$F$45,5,0),"")</f>
        <v>216348.25</v>
      </c>
      <c r="Q9" s="32">
        <f>IFERROR('Break Even Analysis'!W8*VLOOKUP('Helper sheet'!$B9,'Break Even Analysis'!$B$36:$F$45,5,0),"")</f>
        <v>284895.5</v>
      </c>
      <c r="R9" s="33">
        <f>IFERROR('Break Even Analysis'!X8*VLOOKUP('Helper sheet'!$B9,'Break Even Analysis'!$B$36:$F$45,5,0),"")</f>
        <v>169228.25</v>
      </c>
      <c r="S9" s="37"/>
      <c r="T9" s="37"/>
    </row>
    <row r="10" spans="2:20" x14ac:dyDescent="0.2">
      <c r="B10" s="27" t="str">
        <f>IF('Break Even Analysis'!I9="","",'Break Even Analysis'!I9)</f>
        <v/>
      </c>
      <c r="C10" s="28"/>
      <c r="D10" s="32" t="str">
        <f>IFERROR('Break Even Analysis'!J9*VLOOKUP('Helper sheet'!$B10,'Break Even Analysis'!$B$36:$F$45,5,0),"")</f>
        <v/>
      </c>
      <c r="E10" s="32" t="str">
        <f>IFERROR('Break Even Analysis'!K9*VLOOKUP('Helper sheet'!$B10,'Break Even Analysis'!$B$36:$F$45,5,0),"")</f>
        <v/>
      </c>
      <c r="F10" s="32" t="str">
        <f>IFERROR('Break Even Analysis'!L9*VLOOKUP('Helper sheet'!$B10,'Break Even Analysis'!$B$36:$F$45,5,0),"")</f>
        <v/>
      </c>
      <c r="G10" s="32" t="str">
        <f>IFERROR('Break Even Analysis'!M9*VLOOKUP('Helper sheet'!$B10,'Break Even Analysis'!$B$36:$F$45,5,0),"")</f>
        <v/>
      </c>
      <c r="H10" s="32" t="str">
        <f>IFERROR('Break Even Analysis'!N9*VLOOKUP('Helper sheet'!$B10,'Break Even Analysis'!$B$36:$F$45,5,0),"")</f>
        <v/>
      </c>
      <c r="I10" s="32" t="str">
        <f>IFERROR('Break Even Analysis'!O9*VLOOKUP('Helper sheet'!$B10,'Break Even Analysis'!$B$36:$F$45,5,0),"")</f>
        <v/>
      </c>
      <c r="J10" s="32" t="str">
        <f>IFERROR('Break Even Analysis'!P9*VLOOKUP('Helper sheet'!$B10,'Break Even Analysis'!$B$36:$F$45,5,0),"")</f>
        <v/>
      </c>
      <c r="K10" s="32" t="str">
        <f>IFERROR('Break Even Analysis'!Q9*VLOOKUP('Helper sheet'!$B10,'Break Even Analysis'!$B$36:$F$45,5,0),"")</f>
        <v/>
      </c>
      <c r="L10" s="32" t="str">
        <f>IFERROR('Break Even Analysis'!R9*VLOOKUP('Helper sheet'!$B10,'Break Even Analysis'!$B$36:$F$45,5,0),"")</f>
        <v/>
      </c>
      <c r="M10" s="32" t="str">
        <f>IFERROR('Break Even Analysis'!S9*VLOOKUP('Helper sheet'!$B10,'Break Even Analysis'!$B$36:$F$45,5,0),"")</f>
        <v/>
      </c>
      <c r="N10" s="32" t="str">
        <f>IFERROR('Break Even Analysis'!T9*VLOOKUP('Helper sheet'!$B10,'Break Even Analysis'!$B$36:$F$45,5,0),"")</f>
        <v/>
      </c>
      <c r="O10" s="32" t="str">
        <f>IFERROR('Break Even Analysis'!U9*VLOOKUP('Helper sheet'!$B10,'Break Even Analysis'!$B$36:$F$45,5,0),"")</f>
        <v/>
      </c>
      <c r="P10" s="32" t="str">
        <f>IFERROR('Break Even Analysis'!V9*VLOOKUP('Helper sheet'!$B10,'Break Even Analysis'!$B$36:$F$45,5,0),"")</f>
        <v/>
      </c>
      <c r="Q10" s="32" t="str">
        <f>IFERROR('Break Even Analysis'!W9*VLOOKUP('Helper sheet'!$B10,'Break Even Analysis'!$B$36:$F$45,5,0),"")</f>
        <v/>
      </c>
      <c r="R10" s="33" t="str">
        <f>IFERROR('Break Even Analysis'!X9*VLOOKUP('Helper sheet'!$B10,'Break Even Analysis'!$B$36:$F$45,5,0),"")</f>
        <v/>
      </c>
      <c r="S10" s="37"/>
      <c r="T10" s="37" t="str">
        <f>IF(B10="","",SUM(D10:R10))</f>
        <v/>
      </c>
    </row>
    <row r="11" spans="2:20" x14ac:dyDescent="0.2">
      <c r="B11" s="27" t="str">
        <f>IF('Break Even Analysis'!I10="","",'Break Even Analysis'!I10)</f>
        <v/>
      </c>
      <c r="C11" s="28"/>
      <c r="D11" s="32" t="str">
        <f>IFERROR('Break Even Analysis'!J10*VLOOKUP('Helper sheet'!$B11,'Break Even Analysis'!$B$36:$F$45,5,0),"")</f>
        <v/>
      </c>
      <c r="E11" s="32" t="str">
        <f>IFERROR('Break Even Analysis'!K10*VLOOKUP('Helper sheet'!$B11,'Break Even Analysis'!$B$36:$F$45,5,0),"")</f>
        <v/>
      </c>
      <c r="F11" s="32" t="str">
        <f>IFERROR('Break Even Analysis'!L10*VLOOKUP('Helper sheet'!$B11,'Break Even Analysis'!$B$36:$F$45,5,0),"")</f>
        <v/>
      </c>
      <c r="G11" s="32" t="str">
        <f>IFERROR('Break Even Analysis'!M10*VLOOKUP('Helper sheet'!$B11,'Break Even Analysis'!$B$36:$F$45,5,0),"")</f>
        <v/>
      </c>
      <c r="H11" s="32" t="str">
        <f>IFERROR('Break Even Analysis'!N10*VLOOKUP('Helper sheet'!$B11,'Break Even Analysis'!$B$36:$F$45,5,0),"")</f>
        <v/>
      </c>
      <c r="I11" s="32" t="str">
        <f>IFERROR('Break Even Analysis'!O10*VLOOKUP('Helper sheet'!$B11,'Break Even Analysis'!$B$36:$F$45,5,0),"")</f>
        <v/>
      </c>
      <c r="J11" s="32" t="str">
        <f>IFERROR('Break Even Analysis'!P10*VLOOKUP('Helper sheet'!$B11,'Break Even Analysis'!$B$36:$F$45,5,0),"")</f>
        <v/>
      </c>
      <c r="K11" s="32" t="str">
        <f>IFERROR('Break Even Analysis'!Q10*VLOOKUP('Helper sheet'!$B11,'Break Even Analysis'!$B$36:$F$45,5,0),"")</f>
        <v/>
      </c>
      <c r="L11" s="32" t="str">
        <f>IFERROR('Break Even Analysis'!R10*VLOOKUP('Helper sheet'!$B11,'Break Even Analysis'!$B$36:$F$45,5,0),"")</f>
        <v/>
      </c>
      <c r="M11" s="32" t="str">
        <f>IFERROR('Break Even Analysis'!S10*VLOOKUP('Helper sheet'!$B11,'Break Even Analysis'!$B$36:$F$45,5,0),"")</f>
        <v/>
      </c>
      <c r="N11" s="32" t="str">
        <f>IFERROR('Break Even Analysis'!T10*VLOOKUP('Helper sheet'!$B11,'Break Even Analysis'!$B$36:$F$45,5,0),"")</f>
        <v/>
      </c>
      <c r="O11" s="32" t="str">
        <f>IFERROR('Break Even Analysis'!U10*VLOOKUP('Helper sheet'!$B11,'Break Even Analysis'!$B$36:$F$45,5,0),"")</f>
        <v/>
      </c>
      <c r="P11" s="32" t="str">
        <f>IFERROR('Break Even Analysis'!V10*VLOOKUP('Helper sheet'!$B11,'Break Even Analysis'!$B$36:$F$45,5,0),"")</f>
        <v/>
      </c>
      <c r="Q11" s="32" t="str">
        <f>IFERROR('Break Even Analysis'!W10*VLOOKUP('Helper sheet'!$B11,'Break Even Analysis'!$B$36:$F$45,5,0),"")</f>
        <v/>
      </c>
      <c r="R11" s="33" t="str">
        <f>IFERROR('Break Even Analysis'!X10*VLOOKUP('Helper sheet'!$B11,'Break Even Analysis'!$B$36:$F$45,5,0),"")</f>
        <v/>
      </c>
      <c r="S11" s="37"/>
      <c r="T11" s="37" t="str">
        <f>IF(B11="","",SUM(D11:R11))</f>
        <v/>
      </c>
    </row>
    <row r="12" spans="2:20" x14ac:dyDescent="0.2">
      <c r="B12" s="27" t="str">
        <f>IF('Break Even Analysis'!I11="","",'Break Even Analysis'!I11)</f>
        <v/>
      </c>
      <c r="C12" s="28"/>
      <c r="D12" s="32" t="str">
        <f>IFERROR('Break Even Analysis'!J11*VLOOKUP('Helper sheet'!$B12,'Break Even Analysis'!$B$36:$F$45,5,0),"")</f>
        <v/>
      </c>
      <c r="E12" s="32" t="str">
        <f>IFERROR('Break Even Analysis'!K11*VLOOKUP('Helper sheet'!$B12,'Break Even Analysis'!$B$36:$F$45,5,0),"")</f>
        <v/>
      </c>
      <c r="F12" s="32" t="str">
        <f>IFERROR('Break Even Analysis'!L11*VLOOKUP('Helper sheet'!$B12,'Break Even Analysis'!$B$36:$F$45,5,0),"")</f>
        <v/>
      </c>
      <c r="G12" s="32" t="str">
        <f>IFERROR('Break Even Analysis'!M11*VLOOKUP('Helper sheet'!$B12,'Break Even Analysis'!$B$36:$F$45,5,0),"")</f>
        <v/>
      </c>
      <c r="H12" s="32" t="str">
        <f>IFERROR('Break Even Analysis'!N11*VLOOKUP('Helper sheet'!$B12,'Break Even Analysis'!$B$36:$F$45,5,0),"")</f>
        <v/>
      </c>
      <c r="I12" s="32" t="str">
        <f>IFERROR('Break Even Analysis'!O11*VLOOKUP('Helper sheet'!$B12,'Break Even Analysis'!$B$36:$F$45,5,0),"")</f>
        <v/>
      </c>
      <c r="J12" s="32" t="str">
        <f>IFERROR('Break Even Analysis'!P11*VLOOKUP('Helper sheet'!$B12,'Break Even Analysis'!$B$36:$F$45,5,0),"")</f>
        <v/>
      </c>
      <c r="K12" s="32" t="str">
        <f>IFERROR('Break Even Analysis'!Q11*VLOOKUP('Helper sheet'!$B12,'Break Even Analysis'!$B$36:$F$45,5,0),"")</f>
        <v/>
      </c>
      <c r="L12" s="32" t="str">
        <f>IFERROR('Break Even Analysis'!R11*VLOOKUP('Helper sheet'!$B12,'Break Even Analysis'!$B$36:$F$45,5,0),"")</f>
        <v/>
      </c>
      <c r="M12" s="32" t="str">
        <f>IFERROR('Break Even Analysis'!S11*VLOOKUP('Helper sheet'!$B12,'Break Even Analysis'!$B$36:$F$45,5,0),"")</f>
        <v/>
      </c>
      <c r="N12" s="32" t="str">
        <f>IFERROR('Break Even Analysis'!T11*VLOOKUP('Helper sheet'!$B12,'Break Even Analysis'!$B$36:$F$45,5,0),"")</f>
        <v/>
      </c>
      <c r="O12" s="32" t="str">
        <f>IFERROR('Break Even Analysis'!U11*VLOOKUP('Helper sheet'!$B12,'Break Even Analysis'!$B$36:$F$45,5,0),"")</f>
        <v/>
      </c>
      <c r="P12" s="32" t="str">
        <f>IFERROR('Break Even Analysis'!V11*VLOOKUP('Helper sheet'!$B12,'Break Even Analysis'!$B$36:$F$45,5,0),"")</f>
        <v/>
      </c>
      <c r="Q12" s="32" t="str">
        <f>IFERROR('Break Even Analysis'!W11*VLOOKUP('Helper sheet'!$B12,'Break Even Analysis'!$B$36:$F$45,5,0),"")</f>
        <v/>
      </c>
      <c r="R12" s="33" t="str">
        <f>IFERROR('Break Even Analysis'!X11*VLOOKUP('Helper sheet'!$B12,'Break Even Analysis'!$B$36:$F$45,5,0),"")</f>
        <v/>
      </c>
      <c r="S12" s="37"/>
      <c r="T12" s="37" t="str">
        <f>IF(B12="","",SUM(D12:R12))</f>
        <v/>
      </c>
    </row>
    <row r="13" spans="2:20" x14ac:dyDescent="0.2">
      <c r="B13" s="27" t="str">
        <f>IF('Break Even Analysis'!I12="","",'Break Even Analysis'!I12)</f>
        <v/>
      </c>
      <c r="C13" s="28"/>
      <c r="D13" s="32" t="str">
        <f>IFERROR('Break Even Analysis'!J12*VLOOKUP('Helper sheet'!$B13,'Break Even Analysis'!$B$36:$F$45,5,0),"")</f>
        <v/>
      </c>
      <c r="E13" s="32" t="str">
        <f>IFERROR('Break Even Analysis'!K12*VLOOKUP('Helper sheet'!$B13,'Break Even Analysis'!$B$36:$F$45,5,0),"")</f>
        <v/>
      </c>
      <c r="F13" s="32" t="str">
        <f>IFERROR('Break Even Analysis'!L12*VLOOKUP('Helper sheet'!$B13,'Break Even Analysis'!$B$36:$F$45,5,0),"")</f>
        <v/>
      </c>
      <c r="G13" s="32" t="str">
        <f>IFERROR('Break Even Analysis'!M12*VLOOKUP('Helper sheet'!$B13,'Break Even Analysis'!$B$36:$F$45,5,0),"")</f>
        <v/>
      </c>
      <c r="H13" s="32" t="str">
        <f>IFERROR('Break Even Analysis'!N12*VLOOKUP('Helper sheet'!$B13,'Break Even Analysis'!$B$36:$F$45,5,0),"")</f>
        <v/>
      </c>
      <c r="I13" s="32" t="str">
        <f>IFERROR('Break Even Analysis'!O12*VLOOKUP('Helper sheet'!$B13,'Break Even Analysis'!$B$36:$F$45,5,0),"")</f>
        <v/>
      </c>
      <c r="J13" s="32" t="str">
        <f>IFERROR('Break Even Analysis'!P12*VLOOKUP('Helper sheet'!$B13,'Break Even Analysis'!$B$36:$F$45,5,0),"")</f>
        <v/>
      </c>
      <c r="K13" s="32" t="str">
        <f>IFERROR('Break Even Analysis'!Q12*VLOOKUP('Helper sheet'!$B13,'Break Even Analysis'!$B$36:$F$45,5,0),"")</f>
        <v/>
      </c>
      <c r="L13" s="32" t="str">
        <f>IFERROR('Break Even Analysis'!R12*VLOOKUP('Helper sheet'!$B13,'Break Even Analysis'!$B$36:$F$45,5,0),"")</f>
        <v/>
      </c>
      <c r="M13" s="32" t="str">
        <f>IFERROR('Break Even Analysis'!S12*VLOOKUP('Helper sheet'!$B13,'Break Even Analysis'!$B$36:$F$45,5,0),"")</f>
        <v/>
      </c>
      <c r="N13" s="32" t="str">
        <f>IFERROR('Break Even Analysis'!T12*VLOOKUP('Helper sheet'!$B13,'Break Even Analysis'!$B$36:$F$45,5,0),"")</f>
        <v/>
      </c>
      <c r="O13" s="32" t="str">
        <f>IFERROR('Break Even Analysis'!U12*VLOOKUP('Helper sheet'!$B13,'Break Even Analysis'!$B$36:$F$45,5,0),"")</f>
        <v/>
      </c>
      <c r="P13" s="32" t="str">
        <f>IFERROR('Break Even Analysis'!V12*VLOOKUP('Helper sheet'!$B13,'Break Even Analysis'!$B$36:$F$45,5,0),"")</f>
        <v/>
      </c>
      <c r="Q13" s="32" t="str">
        <f>IFERROR('Break Even Analysis'!W12*VLOOKUP('Helper sheet'!$B13,'Break Even Analysis'!$B$36:$F$45,5,0),"")</f>
        <v/>
      </c>
      <c r="R13" s="33" t="str">
        <f>IFERROR('Break Even Analysis'!X12*VLOOKUP('Helper sheet'!$B13,'Break Even Analysis'!$B$36:$F$45,5,0),"")</f>
        <v/>
      </c>
      <c r="S13" s="37"/>
      <c r="T13" s="37" t="str">
        <f>IF(B13="","",SUM(D13:R13))</f>
        <v/>
      </c>
    </row>
    <row r="14" spans="2:20" ht="13.5" thickBot="1" x14ac:dyDescent="0.25">
      <c r="B14" s="29" t="str">
        <f>IF('Break Even Analysis'!I13="","",'Break Even Analysis'!I13)</f>
        <v/>
      </c>
      <c r="C14" s="30"/>
      <c r="D14" s="34" t="str">
        <f>IFERROR('Break Even Analysis'!J13*VLOOKUP('Helper sheet'!$B14,'Break Even Analysis'!$B$36:$F$45,5,0),"")</f>
        <v/>
      </c>
      <c r="E14" s="34" t="str">
        <f>IFERROR('Break Even Analysis'!K13*VLOOKUP('Helper sheet'!$B14,'Break Even Analysis'!$B$36:$F$45,5,0),"")</f>
        <v/>
      </c>
      <c r="F14" s="34" t="str">
        <f>IFERROR('Break Even Analysis'!L13*VLOOKUP('Helper sheet'!$B14,'Break Even Analysis'!$B$36:$F$45,5,0),"")</f>
        <v/>
      </c>
      <c r="G14" s="34" t="str">
        <f>IFERROR('Break Even Analysis'!M13*VLOOKUP('Helper sheet'!$B14,'Break Even Analysis'!$B$36:$F$45,5,0),"")</f>
        <v/>
      </c>
      <c r="H14" s="34" t="str">
        <f>IFERROR('Break Even Analysis'!N13*VLOOKUP('Helper sheet'!$B14,'Break Even Analysis'!$B$36:$F$45,5,0),"")</f>
        <v/>
      </c>
      <c r="I14" s="34" t="str">
        <f>IFERROR('Break Even Analysis'!O13*VLOOKUP('Helper sheet'!$B14,'Break Even Analysis'!$B$36:$F$45,5,0),"")</f>
        <v/>
      </c>
      <c r="J14" s="34" t="str">
        <f>IFERROR('Break Even Analysis'!P13*VLOOKUP('Helper sheet'!$B14,'Break Even Analysis'!$B$36:$F$45,5,0),"")</f>
        <v/>
      </c>
      <c r="K14" s="34" t="str">
        <f>IFERROR('Break Even Analysis'!Q13*VLOOKUP('Helper sheet'!$B14,'Break Even Analysis'!$B$36:$F$45,5,0),"")</f>
        <v/>
      </c>
      <c r="L14" s="34" t="str">
        <f>IFERROR('Break Even Analysis'!R13*VLOOKUP('Helper sheet'!$B14,'Break Even Analysis'!$B$36:$F$45,5,0),"")</f>
        <v/>
      </c>
      <c r="M14" s="34" t="str">
        <f>IFERROR('Break Even Analysis'!S13*VLOOKUP('Helper sheet'!$B14,'Break Even Analysis'!$B$36:$F$45,5,0),"")</f>
        <v/>
      </c>
      <c r="N14" s="34" t="str">
        <f>IFERROR('Break Even Analysis'!T13*VLOOKUP('Helper sheet'!$B14,'Break Even Analysis'!$B$36:$F$45,5,0),"")</f>
        <v/>
      </c>
      <c r="O14" s="34" t="str">
        <f>IFERROR('Break Even Analysis'!U13*VLOOKUP('Helper sheet'!$B14,'Break Even Analysis'!$B$36:$F$45,5,0),"")</f>
        <v/>
      </c>
      <c r="P14" s="34" t="str">
        <f>IFERROR('Break Even Analysis'!V13*VLOOKUP('Helper sheet'!$B14,'Break Even Analysis'!$B$36:$F$45,5,0),"")</f>
        <v/>
      </c>
      <c r="Q14" s="34" t="str">
        <f>IFERROR('Break Even Analysis'!W13*VLOOKUP('Helper sheet'!$B14,'Break Even Analysis'!$B$36:$F$45,5,0),"")</f>
        <v/>
      </c>
      <c r="R14" s="35" t="str">
        <f>IFERROR('Break Even Analysis'!X13*VLOOKUP('Helper sheet'!$B14,'Break Even Analysis'!$B$36:$F$45,5,0),"")</f>
        <v/>
      </c>
      <c r="S14" s="37"/>
      <c r="T14" s="37" t="str">
        <f>IF(B14="","",SUM(D14:R14))</f>
        <v/>
      </c>
    </row>
    <row r="15" spans="2:20" x14ac:dyDescent="0.2">
      <c r="B15" s="28" t="s">
        <v>32</v>
      </c>
      <c r="C15" s="28"/>
      <c r="D15" s="32">
        <f>SUM(D5:D14)</f>
        <v>1496945.6099999999</v>
      </c>
      <c r="E15" s="32">
        <f t="shared" ref="E15:R15" si="0">SUM(E5:E14)</f>
        <v>1529000.0999999999</v>
      </c>
      <c r="F15" s="32">
        <f t="shared" si="0"/>
        <v>1320552.6199999999</v>
      </c>
      <c r="G15" s="32">
        <f t="shared" si="0"/>
        <v>1149232.0999999999</v>
      </c>
      <c r="H15" s="32">
        <f t="shared" si="0"/>
        <v>1475745.95</v>
      </c>
      <c r="I15" s="32">
        <f t="shared" si="0"/>
        <v>1127475.6599999999</v>
      </c>
      <c r="J15" s="32">
        <f t="shared" si="0"/>
        <v>1422396.7</v>
      </c>
      <c r="K15" s="32">
        <f t="shared" si="0"/>
        <v>1203518.6400000001</v>
      </c>
      <c r="L15" s="32">
        <f t="shared" si="0"/>
        <v>1379062.3</v>
      </c>
      <c r="M15" s="32">
        <f t="shared" si="0"/>
        <v>1291121.0799999998</v>
      </c>
      <c r="N15" s="32">
        <f t="shared" si="0"/>
        <v>1313327.8699999999</v>
      </c>
      <c r="O15" s="32">
        <f t="shared" si="0"/>
        <v>1103612.04</v>
      </c>
      <c r="P15" s="32">
        <f t="shared" si="0"/>
        <v>1182736.17</v>
      </c>
      <c r="Q15" s="32">
        <f t="shared" si="0"/>
        <v>1391975.13</v>
      </c>
      <c r="R15" s="32">
        <f t="shared" si="0"/>
        <v>1190042.8500000001</v>
      </c>
    </row>
    <row r="16" spans="2:20" x14ac:dyDescent="0.2">
      <c r="B16" s="1" t="s">
        <v>30</v>
      </c>
      <c r="C16" s="36"/>
      <c r="D16" s="36">
        <f>IFERROR('Break Even Analysis'!$F$32,"")</f>
        <v>950000</v>
      </c>
      <c r="E16" s="36">
        <f>IFERROR('Break Even Analysis'!$F$32,"")</f>
        <v>950000</v>
      </c>
      <c r="F16" s="36">
        <f>IFERROR('Break Even Analysis'!$F$32,"")</f>
        <v>950000</v>
      </c>
      <c r="G16" s="36">
        <f>IFERROR('Break Even Analysis'!$F$32,"")</f>
        <v>950000</v>
      </c>
      <c r="H16" s="36">
        <f>IFERROR('Break Even Analysis'!$F$32,"")</f>
        <v>950000</v>
      </c>
      <c r="I16" s="36">
        <f>IFERROR('Break Even Analysis'!$F$32,"")</f>
        <v>950000</v>
      </c>
      <c r="J16" s="36">
        <f>IFERROR('Break Even Analysis'!$F$32,"")</f>
        <v>950000</v>
      </c>
      <c r="K16" s="36">
        <f>IFERROR('Break Even Analysis'!$F$32,"")</f>
        <v>950000</v>
      </c>
      <c r="L16" s="36">
        <f>IFERROR('Break Even Analysis'!$F$32,"")</f>
        <v>950000</v>
      </c>
      <c r="M16" s="36">
        <f>IFERROR('Break Even Analysis'!$F$32,"")</f>
        <v>950000</v>
      </c>
      <c r="N16" s="36">
        <f>IFERROR('Break Even Analysis'!$F$32,"")</f>
        <v>950000</v>
      </c>
      <c r="O16" s="36">
        <f>IFERROR('Break Even Analysis'!$F$32,"")</f>
        <v>950000</v>
      </c>
      <c r="P16" s="36">
        <f>IFERROR('Break Even Analysis'!$F$32,"")</f>
        <v>950000</v>
      </c>
      <c r="Q16" s="36">
        <f>IFERROR('Break Even Analysis'!$F$32,"")</f>
        <v>950000</v>
      </c>
      <c r="R16" s="36">
        <f>IFERROR('Break Even Analysis'!$F$32,"")</f>
        <v>950000</v>
      </c>
    </row>
    <row r="17" spans="2:18" x14ac:dyDescent="0.2">
      <c r="B17" s="1" t="s">
        <v>31</v>
      </c>
      <c r="C17" s="36">
        <f>IFERROR('Break Even Analysis'!F16*-1,"")</f>
        <v>-3998000</v>
      </c>
      <c r="D17" s="37">
        <f>C17-D16+D15</f>
        <v>-3451054.39</v>
      </c>
      <c r="E17" s="37">
        <f t="shared" ref="E17:R17" si="1">D17-E16+E15</f>
        <v>-2872054.290000001</v>
      </c>
      <c r="F17" s="37">
        <f t="shared" si="1"/>
        <v>-2501501.6700000009</v>
      </c>
      <c r="G17" s="37">
        <f t="shared" si="1"/>
        <v>-2302269.5700000012</v>
      </c>
      <c r="H17" s="37">
        <f t="shared" si="1"/>
        <v>-1776523.6200000013</v>
      </c>
      <c r="I17" s="37">
        <f t="shared" si="1"/>
        <v>-1599047.9600000011</v>
      </c>
      <c r="J17" s="37">
        <f t="shared" si="1"/>
        <v>-1126651.2600000009</v>
      </c>
      <c r="K17" s="37">
        <f t="shared" si="1"/>
        <v>-873132.62000000081</v>
      </c>
      <c r="L17" s="37">
        <f t="shared" si="1"/>
        <v>-444070.32000000076</v>
      </c>
      <c r="M17" s="37">
        <f t="shared" si="1"/>
        <v>-102949.24000000092</v>
      </c>
      <c r="N17" s="37">
        <f t="shared" si="1"/>
        <v>260378.62999999896</v>
      </c>
      <c r="O17" s="37">
        <f t="shared" si="1"/>
        <v>413990.66999999899</v>
      </c>
      <c r="P17" s="37">
        <f t="shared" si="1"/>
        <v>646726.83999999892</v>
      </c>
      <c r="Q17" s="37">
        <f t="shared" si="1"/>
        <v>1088701.9699999988</v>
      </c>
      <c r="R17" s="37">
        <f t="shared" si="1"/>
        <v>1328744.8199999989</v>
      </c>
    </row>
    <row r="20" spans="2:18" x14ac:dyDescent="0.2">
      <c r="C20" s="50"/>
    </row>
    <row r="21" spans="2:18" x14ac:dyDescent="0.2">
      <c r="C21" s="50"/>
    </row>
    <row r="22" spans="2:18" x14ac:dyDescent="0.2">
      <c r="C22" s="50"/>
    </row>
    <row r="23" spans="2:18" x14ac:dyDescent="0.2">
      <c r="C23" s="50"/>
    </row>
    <row r="24" spans="2:18" x14ac:dyDescent="0.2">
      <c r="C24" s="50"/>
    </row>
    <row r="25" spans="2:18" x14ac:dyDescent="0.2">
      <c r="C25" s="50"/>
    </row>
    <row r="26" spans="2:18" x14ac:dyDescent="0.2">
      <c r="C26" s="50"/>
    </row>
    <row r="27" spans="2:18" x14ac:dyDescent="0.2">
      <c r="C27" s="50"/>
    </row>
    <row r="28" spans="2:18" x14ac:dyDescent="0.2">
      <c r="C28" s="50"/>
    </row>
    <row r="29" spans="2:18" x14ac:dyDescent="0.2">
      <c r="C29" s="5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Introduction</vt:lpstr>
      <vt:lpstr>Break Even Analysis</vt:lpstr>
      <vt:lpstr>Helper 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kareem mostafa</dc:creator>
  <cp:lastModifiedBy>QSK1184</cp:lastModifiedBy>
  <cp:lastPrinted>2020-10-05T15:36:58Z</cp:lastPrinted>
  <dcterms:created xsi:type="dcterms:W3CDTF">2015-06-05T18:17:20Z</dcterms:created>
  <dcterms:modified xsi:type="dcterms:W3CDTF">2024-09-20T12:14:42Z</dcterms:modified>
</cp:coreProperties>
</file>