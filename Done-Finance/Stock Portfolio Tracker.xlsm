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omments1.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D:\yash_jain_vesu\Future_Vision\books\advance_excel\NEW-FILES-PROJECTS\100+ Premium Excel Templates\Finance\"/>
    </mc:Choice>
  </mc:AlternateContent>
  <xr:revisionPtr revIDLastSave="0" documentId="13_ncr:1_{D490AE0A-373A-4740-AD75-4CF9FF38E280}" xr6:coauthVersionLast="47" xr6:coauthVersionMax="47" xr10:uidLastSave="{00000000-0000-0000-0000-000000000000}"/>
  <bookViews>
    <workbookView xWindow="-120" yWindow="-120" windowWidth="29040" windowHeight="15840" xr2:uid="{73097E03-4C65-4EA6-ABDF-EA362E770085}"/>
  </bookViews>
  <sheets>
    <sheet name="Introduction" sheetId="6" r:id="rId1"/>
    <sheet name="Stock Tracker" sheetId="11" r:id="rId2"/>
    <sheet name="Database" sheetId="7" r:id="rId3"/>
    <sheet name="Sheet1" sheetId="12" state="hidden" r:id="rId4"/>
  </sheets>
  <definedNames>
    <definedName name="_aaa1" hidden="1">{#N/A,#N/A,FALSE,"Antony Financials";#N/A,#N/A,FALSE,"Cowboy Financials";#N/A,#N/A,FALSE,"Combined";#N/A,#N/A,FALSE,"Valuematrix";#N/A,#N/A,FALSE,"DCFAntony";#N/A,#N/A,FALSE,"DCFCowboy";#N/A,#N/A,FALSE,"DCFCombined"}</definedName>
    <definedName name="_xlnm._FilterDatabase" localSheetId="1" hidden="1">'Stock Tracker'!$B$23:$P$112</definedName>
    <definedName name="_GSRATES_1" hidden="1">"H2002123120021231CADUSD1000001"</definedName>
    <definedName name="_GSRATES_10" hidden="1">"CF3000012002093020020101"</definedName>
    <definedName name="_GSRATES_11" hidden="1">"CF300001Invalid 20030930"</definedName>
    <definedName name="_GSRATES_12" hidden="1">"CT30000120030930        "</definedName>
    <definedName name="_GSRATES_13" hidden="1">"CT30000120030930        "</definedName>
    <definedName name="_GSRATES_2" hidden="1">"CT30000120030630        "</definedName>
    <definedName name="_GSRATES_3" hidden="1">"CF3000012003063020030101"</definedName>
    <definedName name="_GSRATES_4" hidden="1">"CT3000012003063020030101"</definedName>
    <definedName name="_GSRATES_5" hidden="1">"CF3000012002123120020101"</definedName>
    <definedName name="_GSRATES_6" hidden="1">"CF3000012002063020020101"</definedName>
    <definedName name="_GSRATES_7" hidden="1">"CF3000012003063020030101"</definedName>
    <definedName name="_GSRATES_8" hidden="1">"CF3000012003093020030101"</definedName>
    <definedName name="_GSRATES_9" hidden="1">"CF3000012002123120020101"</definedName>
    <definedName name="_GSRATES_COUNT" hidden="1">7</definedName>
    <definedName name="_GSRATES_COUNT1" hidden="1">13</definedName>
    <definedName name="_GSRATESR_1" hidden="1">#REF!</definedName>
    <definedName name="_GSRATESR_10" hidden="1">#REF!</definedName>
    <definedName name="_GSRATESR_11" hidden="1">#REF!</definedName>
    <definedName name="_GSRATESR_12" hidden="1">#REF!</definedName>
    <definedName name="_GSRATESR_13" hidden="1">#REF!</definedName>
    <definedName name="_GSRATESR_3" hidden="1">#REF!</definedName>
    <definedName name="_GSRATESR_4" hidden="1">#REF!</definedName>
    <definedName name="_GSRATESR_5" hidden="1">#REF!</definedName>
    <definedName name="_GSRATESR_6" hidden="1">#REF!</definedName>
    <definedName name="_GSRATESR_7" hidden="1">#REF!</definedName>
    <definedName name="_GSRATESR_8" hidden="1">#REF!</definedName>
    <definedName name="_GSRATESR_9" hidden="1">#REF!</definedName>
    <definedName name="a" hidden="1">{#N/A,#N/A,TRUE,"10 yr forecast - Balance Sheet";#N/A,#N/A,TRUE,"10 yr forecast - SCFP";#N/A,#N/A,TRUE,"10 yr forecast - P&amp;L&lt;linked&gt; ";#N/A,#N/A,TRUE,"Product Sales Royalty Breakdown";#N/A,#N/A,TRUE,"Collaborative Revenue Breakdown";#N/A,#N/A,TRUE,"Commercial Ops Breakdown";#N/A,#N/A,TRUE,"R&amp;D Breakdown";#N/A,#N/A,TRUE,"SG&amp;A Breakdown";#N/A,#N/A,TRUE,"FTE Summary"}</definedName>
    <definedName name="AAA_DOCTOPS" hidden="1">"AAA_SET"</definedName>
    <definedName name="AAA_duser" hidden="1">"OFF"</definedName>
    <definedName name="AAA_u999998" hidden="1">"nlfoote@970721231427"</definedName>
    <definedName name="AAA_u999999" hidden="1">"nlfoote@970721231348"</definedName>
    <definedName name="AAB_Addin5" hidden="1">"AAB_Description for addin 5,Description for addin 5,Description for addin 5,Description for addin 5,Description for addin 5,Description for addin 5"</definedName>
    <definedName name="AAB_GSPPG" hidden="1">"AAB_Goldman Sachs PPG Chart Utilities 1.0g"</definedName>
    <definedName name="adf" hidden="1">{#N/A,#N/A,FALSE,"CreditStat";#N/A,#N/A,FALSE,"SPbrkup";#N/A,#N/A,FALSE,"MerSPsyn";#N/A,#N/A,FALSE,"MerSPwKCsyn";#N/A,#N/A,FALSE,"MerSPwKCsyn (2)";#N/A,#N/A,FALSE,"CreditStat (2)"}</definedName>
    <definedName name="adfdaf" hidden="1">{"standalone1",#N/A,FALSE,"DCFBase";"standalone2",#N/A,FALSE,"DCFBase"}</definedName>
    <definedName name="asdf" hidden="1">{"mgmt forecast",#N/A,FALSE,"Mgmt Forecast";"dcf table",#N/A,FALSE,"Mgmt Forecast";"sensitivity",#N/A,FALSE,"Mgmt Forecast";"table inputs",#N/A,FALSE,"Mgmt Forecast";"calculations",#N/A,FALSE,"Mgmt Forecast"}</definedName>
    <definedName name="asdfa" hidden="1">{#N/A,#N/A,FALSE,"Antony Financials";#N/A,#N/A,FALSE,"Cowboy Financials";#N/A,#N/A,FALSE,"Combined";#N/A,#N/A,FALSE,"Valuematrix";#N/A,#N/A,FALSE,"DCFAntony";#N/A,#N/A,FALSE,"DCFCowboy";#N/A,#N/A,FALSE,"DCFCombined"}</definedName>
    <definedName name="asdfaa" hidden="1">{#N/A,#N/A,FALSE,"Antony Financials";#N/A,#N/A,FALSE,"Cowboy Financials";#N/A,#N/A,FALSE,"Combined";#N/A,#N/A,FALSE,"Valuematrix";#N/A,#N/A,FALSE,"DCFAntony";#N/A,#N/A,FALSE,"DCFCowboy";#N/A,#N/A,FALSE,"DCFCombined"}</definedName>
    <definedName name="asdfasdf" hidden="1">{#N/A,#N/A,FALSE,"CreditStat";#N/A,#N/A,FALSE,"SPbrkup";#N/A,#N/A,FALSE,"MerSPsyn";#N/A,#N/A,FALSE,"MerSPwKCsyn";#N/A,#N/A,FALSE,"MerSPwKCsyn (2)";#N/A,#N/A,FALSE,"CreditStat (2)"}</definedName>
    <definedName name="asdff" hidden="1">{"standalone1",#N/A,FALSE,"DCFBase";"standalone2",#N/A,FALSE,"DCFBase"}</definedName>
    <definedName name="asdfsad" hidden="1">{#N/A,#N/A,FALSE,"Antony Financials";#N/A,#N/A,FALSE,"Cowboy Financials";#N/A,#N/A,FALSE,"Combined";#N/A,#N/A,FALSE,"Valuematrix";#N/A,#N/A,FALSE,"DCFAntony";#N/A,#N/A,FALSE,"DCFCowboy";#N/A,#N/A,FALSE,"DCFCombined"}</definedName>
    <definedName name="b" hidden="1">{#N/A,#N/A,FALSE,"Antony Financials";#N/A,#N/A,FALSE,"Cowboy Financials";#N/A,#N/A,FALSE,"Combined";#N/A,#N/A,FALSE,"Valuematrix";#N/A,#N/A,FALSE,"DCFAntony";#N/A,#N/A,FALSE,"DCFCowboy";#N/A,#N/A,FALSE,"DCFCombined"}</definedName>
    <definedName name="companies">OFFSET(Database!$G$5,0,0,COUNTA(Database!$G:$G)-1,1)</definedName>
    <definedName name="d" hidden="1">{#N/A,#N/A,FALSE,"BNSF";#N/A,#N/A,FALSE,"KC";#N/A,#N/A,FALSE,"KCws";#N/A,#N/A,FALSE,"MergKC";#N/A,#N/A,FALSE,"CredStwKC";#N/A,#N/A,FALSE,"SP";#N/A,#N/A,FALSE,"SPws";#N/A,#N/A,FALSE,"MergSP";#N/A,#N/A,FALSE,"CredStwSP";#N/A,#N/A,FALSE,"SPbrkup";#N/A,#N/A,FALSE,"SPwBNSFws";#N/A,#N/A,FALSE,"MergSPwBNSF";#N/A,#N/A,FALSE,"CredStSPwBNSF (2)";#N/A,#N/A,FALSE,"SPwKCws (2)";#N/A,#N/A,FALSE,"MergSPwKC (2)";#N/A,#N/A,FALSE,"CredStKCwSP";#N/A,#N/A,FALSE,"ILL";#N/A,#N/A,FALSE,"SPwILLws";#N/A,#N/A,FALSE,"CredStILLwSP";#N/A,#N/A,FALSE,"MergSPwILL";#N/A,#N/A,FALSE,"CredStILLwSP";#N/A,#N/A,FALSE,"Conrail";#N/A,#N/A,FALSE,"CONws";#N/A,#N/A,FALSE,"MergCON";#N/A,#N/A,FALSE,"CredStwCON";#N/A,#N/A,FALSE,"SPwCONws ";#N/A,#N/A,FALSE,"MergSPwCON";#N/A,#N/A,FALSE,"CredStILLwCON";#N/A,#N/A,FALSE,"SPws (2)";#N/A,#N/A,FALSE,"MergSP (2)";#N/A,#N/A,FALSE,"CredStwSP (2)";#N/A,#N/A,FALSE,"CSX";#N/A,#N/A,FALSE,"CSXws";#N/A,#N/A,FALSE,"MergCSX";#N/A,#N/A,FALSE,"CredStwCSX";#N/A,#N/A,FALSE,"Norfolk";#N/A,#N/A,FALSE,"NORws";#N/A,#N/A,FALSE,"MergNOR";#N/A,#N/A,FALSE,"CredStwNOR";#N/A,#N/A,FALSE,"NORwCONws";#N/A,#N/A,FALSE,"MergNORwCON"}</definedName>
    <definedName name="da" hidden="1">{#N/A,#N/A,FALSE,"A&amp;E";#N/A,#N/A,FALSE,"HighTop";#N/A,#N/A,FALSE,"JG";#N/A,#N/A,FALSE,"RI";#N/A,#N/A,FALSE,"woHT";#N/A,#N/A,FALSE,"woHT&amp;JG"}</definedName>
    <definedName name="df" hidden="1">{"'Summary P&amp;L'!$A$1:$M$70","'Summary P&amp;L'!$A$1:$M$70"}</definedName>
    <definedName name="EPMWorkbookOptions_2" hidden="1">"m3FeIocTK7T00g7i155YYzII5xVFTgxBon8IEeL4xiLwgoT687neHX/pG70aRh7dJEB5hTBgSYS4S/wFRhkORAJNCFEijYCzdDW/7jaFj3jStoSLzX9El/54gL4Q7XVoWsi6rEQQeHqMNCnOXt8qRzrJhTnpdjyrYajjmak1fQXrR1cKuC|QKz4CEUZkvQ9clhikMR9lTf/Gcw/A9n9YZnYMuZTheC416kRG507skkOuBwSO7Rg8|xYzXFd2HOH"</definedName>
    <definedName name="EPMWorkbookOptions_3" hidden="1">"jHlyP|GtOQbRSQ7d9K9FzlywTlRW3iBgT/mkPU84ZhmIOeo0tZztdyxIzzUV2WFbWmbCTIuhdRrEldoHVZl|KLzOxh4KGnPvUDoOyprpQr5QmMJsVyxdWKWmnyqVgrAxRlBCXNHVW16khdtpyOykjcQSGzweMDHNwuzEZ8nsqApUWZCeCQOH6DptuExDuRD2Gr2XNaCr9sdDrDxGHz4bsT9UL2FgaK6Hj6tIYW|OR4QbB3KSzlI2yNo9dvcL5YX"</definedName>
    <definedName name="EPMWorkbookOptions_4" hidden="1">"Xq937qUh8ANDfwzvX5pOEZrf7XKslaT5fxiVU5PrBGDaanK8aemHLtOD86JWpLPnKQ4UZVq7czJtk5K1eqZk|2xo6jHzsn7WfeMhtP8alo/9l76VLVc1jQt/9JXOr2lb0Uil|hyg2Y4Z31mlrmHPq2|YwwsPgMY|0u0UlXkWq2aX6Lq6Ul0g8dYpR3j2EV6MCqM1vWxc/F|BqztmFbja3PYMfms2DZ7f/NMVamo6h88VGmnN2y32Uzvh3rmcAdw"</definedName>
    <definedName name="EPMWorkbookOptions_5" hidden="1">"FnJWmXsI2Wl3m2/4|qp8euJdMpgWbElWNNE8/v3RgRmxm/0zIylG/hsc/Ux2cEY6Z0bWjMifRMd0GkfPyftZ7wa99lv|XVM5vfVuyeDOBi0ynkWaVeYeIu02G/bAatpvKNTq6Ql1xWL8|NtvWm3zqn307wMOqNIcoFQ12SBdyjoHkbKu4Dzb7jmRTePu2RLdggmFcGoSMwCSnABI2yKY4QGiy5wmsdEDrM4bbJsj7OoMDZcmi1hcoXcdafzCTW6"</definedName>
    <definedName name="EPMWorkbookOptions_6" hidden="1">"a3g6/IYrRyIMu0Pt1hh37xw/rtMmZnfr/tQEq6O4jAAA="</definedName>
    <definedName name="EPMWorkbookOptions_7" hidden="1">"VkElWzGe4dbysDmw3e4bw0nqBxi31scdUfvlZHPVuLY3NJBpjCzYg+hpH+Go/fu3fdjNPrXaf+7pIr7iNgAA"</definedName>
    <definedName name="f" hidden="1">{"mgmt forecast",#N/A,FALSE,"Mgmt Forecast";"dcf table",#N/A,FALSE,"Mgmt Forecast";"sensitivity",#N/A,FALSE,"Mgmt Forecast";"table inputs",#N/A,FALSE,"Mgmt Forecast";"calculations",#N/A,FALSE,"Mgmt Forecast"}</definedName>
    <definedName name="fafate" hidden="1">{"mgmt forecast",#N/A,FALSE,"Mgmt Forecast";"dcf table",#N/A,FALSE,"Mgmt Forecast";"sensitivity",#N/A,FALSE,"Mgmt Forecast";"table inputs",#N/A,FALSE,"Mgmt Forecast";"calculations",#N/A,FALSE,"Mgmt Forecast"}</definedName>
    <definedName name="fff" hidden="1">{"standalone1",#N/A,FALSE,"DCFBase";"standalone2",#N/A,FALSE,"DCFBase"}</definedName>
    <definedName name="g" hidden="1">{#N/A,#N/A,FALSE,"Antony Financials";#N/A,#N/A,FALSE,"Cowboy Financials";#N/A,#N/A,FALSE,"Combined";#N/A,#N/A,FALSE,"Valuematrix";#N/A,#N/A,FALSE,"DCFAntony";#N/A,#N/A,FALSE,"DCFCowboy";#N/A,#N/A,FALSE,"DCFCombined"}</definedName>
    <definedName name="h" hidden="1">{#N/A,#N/A,FALSE,"CreditStat";#N/A,#N/A,FALSE,"SPbrkup";#N/A,#N/A,FALSE,"MerSPsyn";#N/A,#N/A,FALSE,"MerSPwKCsyn";#N/A,#N/A,FALSE,"MerSPwKCsyn (2)";#N/A,#N/A,FALSE,"CreditStat (2)"}</definedName>
    <definedName name="HTML_CodePage" hidden="1">1252</definedName>
    <definedName name="HTML_Control" hidden="1">{"'Summary P&amp;L'!$A$1:$M$70","'Summary P&amp;L'!$A$1:$M$70"}</definedName>
    <definedName name="HTML_Description" hidden="1">""</definedName>
    <definedName name="HTML_Email" hidden="1">""</definedName>
    <definedName name="HTML_Header" hidden="1">"Summary P&amp;L"</definedName>
    <definedName name="HTML_LastUpdate" hidden="1">"9/03/01"</definedName>
    <definedName name="HTML_LineAfter" hidden="1">FALSE</definedName>
    <definedName name="HTML_LineBefore" hidden="1">FALSE</definedName>
    <definedName name="HTML_Name" hidden="1">"Hans Verheul"</definedName>
    <definedName name="HTML_OBDlg2" hidden="1">TRUE</definedName>
    <definedName name="HTML_OBDlg4" hidden="1">TRUE</definedName>
    <definedName name="HTML_OS" hidden="1">0</definedName>
    <definedName name="HTML_PathFile" hidden="1">"G:\Finlog\html\FINANCE.htm"</definedName>
    <definedName name="HTML_Title" hidden="1">"INCOME STATEMENT FEBRUARY 2001"</definedName>
    <definedName name="iui" hidden="1">{#N/A,#N/A,FALSE,"A&amp;E";#N/A,#N/A,FALSE,"HighTop";#N/A,#N/A,FALSE,"JG";#N/A,#N/A,FALSE,"RI";#N/A,#N/A,FALSE,"woHT";#N/A,#N/A,FALSE,"woHT&amp;JG"}</definedName>
    <definedName name="j" hidden="1">{"standalone1",#N/A,FALSE,"DCFBase";"standalone2",#N/A,FALSE,"DCFBase"}</definedName>
    <definedName name="k" hidden="1">{#N/A,#N/A,FALSE,"Antony Financials";#N/A,#N/A,FALSE,"Cowboy Financials";#N/A,#N/A,FALSE,"Combined";#N/A,#N/A,FALSE,"Valuematrix";#N/A,#N/A,FALSE,"DCFAntony";#N/A,#N/A,FALSE,"DCFCowboy";#N/A,#N/A,FALSE,"DCFCombined"}</definedName>
    <definedName name="kyd.Dim.01." hidden="1">"currency"</definedName>
    <definedName name="kyd.Dim.02." hidden="1">"currency"</definedName>
    <definedName name="kyd.ElementType.01." hidden="1">3</definedName>
    <definedName name="kyd.ElementType.02." hidden="1">3</definedName>
    <definedName name="kyd.MemoSortHide." hidden="1">FALSE</definedName>
    <definedName name="kyd.NumLevels.01." hidden="1">999</definedName>
    <definedName name="kyd.NumLevels.02." hidden="1">999</definedName>
    <definedName name="kyd.ParentName.01." hidden="1">"AUD"</definedName>
    <definedName name="kyd.ParentName.02." hidden="1">"AUD"</definedName>
    <definedName name="kyd.PreScreenData." hidden="1">FALSE</definedName>
    <definedName name="kyd.PrintMemo." hidden="1">FALSE</definedName>
    <definedName name="kyd.PrintParent.01." hidden="1">TRUE</definedName>
    <definedName name="kyd.PrintParent.02." hidden="1">TRUE</definedName>
    <definedName name="kyd.PrintStdWhen." hidden="1">3</definedName>
    <definedName name="kyd.SaveAsFile." hidden="1">FALSE</definedName>
    <definedName name="kyd.SaveMemo." hidden="1">FALSE</definedName>
    <definedName name="kyd.SelectString.01." hidden="1">"*"</definedName>
    <definedName name="kyd.SelectString.02." hidden="1">"*"</definedName>
    <definedName name="kyd.StdSortHide." hidden="1">FALSE</definedName>
    <definedName name="kyd.StopRow." hidden="1">16384</definedName>
    <definedName name="kyd.WriteMemWhenOptn." hidden="1">3</definedName>
    <definedName name="l" hidden="1">{"mgmt forecast",#N/A,FALSE,"Mgmt Forecast";"dcf table",#N/A,FALSE,"Mgmt Forecast";"sensitivity",#N/A,FALSE,"Mgmt Forecast";"table inputs",#N/A,FALSE,"Mgmt Forecast";"calculations",#N/A,FALSE,"Mgmt Forecast"}</definedName>
    <definedName name="m" hidden="1">{"standalone1",#N/A,FALSE,"DCFBase";"standalone2",#N/A,FALSE,"DCFBase"}</definedName>
    <definedName name="MR" hidden="1">{#N/A,#N/A,FALSE,"sales ytd";#N/A,#N/A,FALSE,"investments";#N/A,#N/A,FALSE,"bus. synergies 1997";#N/A,#N/A,FALSE,"synergies outlook"}</definedName>
    <definedName name="n" hidden="1">{#N/A,#N/A,FALSE,"BNSF";#N/A,#N/A,FALSE,"KC";#N/A,#N/A,FALSE,"KCws";#N/A,#N/A,FALSE,"MergKC";#N/A,#N/A,FALSE,"CredStwKC";#N/A,#N/A,FALSE,"SP";#N/A,#N/A,FALSE,"SPws";#N/A,#N/A,FALSE,"MergSP";#N/A,#N/A,FALSE,"CredStwSP";#N/A,#N/A,FALSE,"SPbrkup";#N/A,#N/A,FALSE,"SPwBNSFws";#N/A,#N/A,FALSE,"MergSPwBNSF";#N/A,#N/A,FALSE,"CredStSPwBNSF (2)";#N/A,#N/A,FALSE,"SPwKCws (2)";#N/A,#N/A,FALSE,"MergSPwKC (2)";#N/A,#N/A,FALSE,"CredStKCwSP";#N/A,#N/A,FALSE,"ILL";#N/A,#N/A,FALSE,"SPwILLws";#N/A,#N/A,FALSE,"CredStILLwSP";#N/A,#N/A,FALSE,"MergSPwILL";#N/A,#N/A,FALSE,"CredStILLwSP";#N/A,#N/A,FALSE,"Conrail";#N/A,#N/A,FALSE,"CONws";#N/A,#N/A,FALSE,"MergCON";#N/A,#N/A,FALSE,"CredStwCON";#N/A,#N/A,FALSE,"SPwCONws ";#N/A,#N/A,FALSE,"MergSPwCON";#N/A,#N/A,FALSE,"CredStILLwCON";#N/A,#N/A,FALSE,"SPws (2)";#N/A,#N/A,FALSE,"MergSP (2)";#N/A,#N/A,FALSE,"CredStwSP (2)";#N/A,#N/A,FALSE,"CSX";#N/A,#N/A,FALSE,"CSXws";#N/A,#N/A,FALSE,"MergCSX";#N/A,#N/A,FALSE,"CredStwCSX";#N/A,#N/A,FALSE,"Norfolk";#N/A,#N/A,FALSE,"NORws";#N/A,#N/A,FALSE,"MergNOR";#N/A,#N/A,FALSE,"CredStwNOR";#N/A,#N/A,FALSE,"NORwCONws";#N/A,#N/A,FALSE,"MergNORwCON"}</definedName>
    <definedName name="q" hidden="1">{#N/A,#N/A,FALSE,"Antony Financials";#N/A,#N/A,FALSE,"Cowboy Financials";#N/A,#N/A,FALSE,"Combined";#N/A,#N/A,FALSE,"Valuematrix";#N/A,#N/A,FALSE,"DCFAntony";#N/A,#N/A,FALSE,"DCFCowboy";#N/A,#N/A,FALSE,"DCFCombined"}</definedName>
    <definedName name="rr" hidden="1">{#N/A,#N/A,FALSE,"Antony Financials";#N/A,#N/A,FALSE,"Cowboy Financials";#N/A,#N/A,FALSE,"Combined";#N/A,#N/A,FALSE,"Valuematrix";#N/A,#N/A,FALSE,"DCFAntony";#N/A,#N/A,FALSE,"DCFCowboy";#N/A,#N/A,FALSE,"DCFCombined"}</definedName>
    <definedName name="SAPBEXhrIndnt" hidden="1">"Wide"</definedName>
    <definedName name="SAPsysID" hidden="1">"708C5W7SBKP804JT78WJ0JNKI"</definedName>
    <definedName name="SAPwbID" hidden="1">"ARS"</definedName>
    <definedName name="sd" hidden="1">{#N/A,#N/A,TRUE,"10 yr forecast - Balance Sheet";#N/A,#N/A,TRUE,"10 yr forecast - SCFP";#N/A,#N/A,TRUE,"10 yr forecast - P&amp;L&lt;linked&gt; ";#N/A,#N/A,TRUE,"Product Sales Royalty Breakdown";#N/A,#N/A,TRUE,"Collaborative Revenue Breakdown";#N/A,#N/A,TRUE,"Commercial Ops Breakdown";#N/A,#N/A,TRUE,"R&amp;D Breakdown";#N/A,#N/A,TRUE,"SG&amp;A Breakdown";#N/A,#N/A,TRUE,"FTE Summary"}</definedName>
    <definedName name="sdfasefr" hidden="1">{#N/A,#N/A,FALSE,"Antony Financials";#N/A,#N/A,FALSE,"Cowboy Financials";#N/A,#N/A,FALSE,"Combined";#N/A,#N/A,FALSE,"Valuematrix";#N/A,#N/A,FALSE,"DCFAntony";#N/A,#N/A,FALSE,"DCFCowboy";#N/A,#N/A,FALSE,"DCFCombined"}</definedName>
    <definedName name="sectors">OFFSET(Database!$I$5,0,0,COUNTA(Database!$I:$I)-1,1)</definedName>
    <definedName name="Slicer_Company_Name">#N/A</definedName>
    <definedName name="Slicer_Months">#N/A</definedName>
    <definedName name="Slicer_Sector">#N/A</definedName>
    <definedName name="Slicer_Ticker_Symbol">#N/A</definedName>
    <definedName name="Stocks">OFFSET(Database!$B$5,0,0,COUNTA(Database!$B:$B)-1,1)</definedName>
    <definedName name="t" hidden="1">{#N/A,#N/A,FALSE,"A&amp;E";#N/A,#N/A,FALSE,"HighTop";#N/A,#N/A,FALSE,"JG";#N/A,#N/A,FALSE,"RI";#N/A,#N/A,FALSE,"woHT";#N/A,#N/A,FALSE,"woHT&amp;JG"}</definedName>
    <definedName name="ttt" hidden="1">{#N/A,#N/A,FALSE,"CreditStat";#N/A,#N/A,FALSE,"SPbrkup";#N/A,#N/A,FALSE,"MerSPsyn";#N/A,#N/A,FALSE,"MerSPwKCsyn";#N/A,#N/A,FALSE,"MerSPwKCsyn (2)";#N/A,#N/A,FALSE,"CreditStat (2)"}</definedName>
    <definedName name="v" hidden="1">{"standalone1",#N/A,FALSE,"DCFBase";"standalone2",#N/A,FALSE,"DCFBase"}</definedName>
    <definedName name="vv" hidden="1">{#N/A,#N/A,FALSE,"CreditStat";#N/A,#N/A,FALSE,"SPbrkup";#N/A,#N/A,FALSE,"MerSPsyn";#N/A,#N/A,FALSE,"MerSPwKCsyn";#N/A,#N/A,FALSE,"MerSPwKCsyn (2)";#N/A,#N/A,FALSE,"CreditStat (2)"}</definedName>
    <definedName name="vvv" hidden="1">{#N/A,#N/A,FALSE,"Antony Financials";#N/A,#N/A,FALSE,"Cowboy Financials";#N/A,#N/A,FALSE,"Combined";#N/A,#N/A,FALSE,"Valuematrix";#N/A,#N/A,FALSE,"DCFAntony";#N/A,#N/A,FALSE,"DCFCowboy";#N/A,#N/A,FALSE,"DCFCombined"}</definedName>
    <definedName name="w" hidden="1">{#N/A,#N/A,FALSE,"CreditStat";#N/A,#N/A,FALSE,"SPbrkup";#N/A,#N/A,FALSE,"MerSPsyn";#N/A,#N/A,FALSE,"MerSPwKCsyn";#N/A,#N/A,FALSE,"MerSPwKCsyn (2)";#N/A,#N/A,FALSE,"CreditStat (2)"}</definedName>
    <definedName name="wrn.dcf." hidden="1">{"mgmt forecast",#N/A,FALSE,"Mgmt Forecast";"dcf table",#N/A,FALSE,"Mgmt Forecast";"sensitivity",#N/A,FALSE,"Mgmt Forecast";"table inputs",#N/A,FALSE,"Mgmt Forecast";"calculations",#N/A,FALSE,"Mgmt Forecast"}</definedName>
    <definedName name="wrn.Everything." hidden="1">{#N/A,#N/A,FALSE,"BNSF";#N/A,#N/A,FALSE,"KC";#N/A,#N/A,FALSE,"KCws";#N/A,#N/A,FALSE,"MergKC";#N/A,#N/A,FALSE,"CredStwKC";#N/A,#N/A,FALSE,"SP";#N/A,#N/A,FALSE,"SPws";#N/A,#N/A,FALSE,"MergSP";#N/A,#N/A,FALSE,"CredStwSP";#N/A,#N/A,FALSE,"SPbrkup";#N/A,#N/A,FALSE,"SPwBNSFws";#N/A,#N/A,FALSE,"MergSPwBNSF";#N/A,#N/A,FALSE,"CredStSPwBNSF (2)";#N/A,#N/A,FALSE,"SPwKCws (2)";#N/A,#N/A,FALSE,"MergSPwKC (2)";#N/A,#N/A,FALSE,"CredStKCwSP";#N/A,#N/A,FALSE,"ILL";#N/A,#N/A,FALSE,"SPwILLws";#N/A,#N/A,FALSE,"CredStILLwSP";#N/A,#N/A,FALSE,"MergSPwILL";#N/A,#N/A,FALSE,"CredStILLwSP";#N/A,#N/A,FALSE,"Conrail";#N/A,#N/A,FALSE,"CONws";#N/A,#N/A,FALSE,"MergCON";#N/A,#N/A,FALSE,"CredStwCON";#N/A,#N/A,FALSE,"SPwCONws ";#N/A,#N/A,FALSE,"MergSPwCON";#N/A,#N/A,FALSE,"CredStILLwCON";#N/A,#N/A,FALSE,"SPws (2)";#N/A,#N/A,FALSE,"MergSP (2)";#N/A,#N/A,FALSE,"CredStwSP (2)";#N/A,#N/A,FALSE,"CSX";#N/A,#N/A,FALSE,"CSXws";#N/A,#N/A,FALSE,"MergCSX";#N/A,#N/A,FALSE,"CredStwCSX";#N/A,#N/A,FALSE,"Norfolk";#N/A,#N/A,FALSE,"NORws";#N/A,#N/A,FALSE,"MergNOR";#N/A,#N/A,FALSE,"CredStwNOR";#N/A,#N/A,FALSE,"NORwCONws";#N/A,#N/A,FALSE,"MergNORwCON"}</definedName>
    <definedName name="wrn.print._.standalone." hidden="1">{"standalone1",#N/A,FALSE,"DCFBase";"standalone2",#N/A,FALSE,"DCFBase"}</definedName>
    <definedName name="wrn.SKSCS1." hidden="1">{#N/A,#N/A,FALSE,"Antony Financials";#N/A,#N/A,FALSE,"Cowboy Financials";#N/A,#N/A,FALSE,"Combined";#N/A,#N/A,FALSE,"Valuematrix";#N/A,#N/A,FALSE,"DCFAntony";#N/A,#N/A,FALSE,"DCFCowboy";#N/A,#N/A,FALSE,"DCFCombined"}</definedName>
    <definedName name="wrn.SummaryPgs." hidden="1">{#N/A,#N/A,FALSE,"CreditStat";#N/A,#N/A,FALSE,"SPbrkup";#N/A,#N/A,FALSE,"MerSPsyn";#N/A,#N/A,FALSE,"MerSPwKCsyn";#N/A,#N/A,FALSE,"MerSPwKCsyn (2)";#N/A,#N/A,FALSE,"CreditStat (2)"}</definedName>
    <definedName name="wrn.Top._.Level._.Summaries." hidden="1">{#N/A,#N/A,TRUE,"10 yr forecast - Balance Sheet";#N/A,#N/A,TRUE,"10 yr forecast - SCFP";#N/A,#N/A,TRUE,"10 yr forecast - P&amp;L&lt;linked&gt; ";#N/A,#N/A,TRUE,"Product Sales Royalty Breakdown";#N/A,#N/A,TRUE,"Collaborative Revenue Breakdown";#N/A,#N/A,TRUE,"Commercial Ops Breakdown";#N/A,#N/A,TRUE,"R&amp;D Breakdown";#N/A,#N/A,TRUE,"SG&amp;A Breakdown";#N/A,#N/A,TRUE,"FTE Summary"}</definedName>
    <definedName name="wrn.Tweety." hidden="1">{#N/A,#N/A,FALSE,"A&amp;E";#N/A,#N/A,FALSE,"HighTop";#N/A,#N/A,FALSE,"JG";#N/A,#N/A,FALSE,"RI";#N/A,#N/A,FALSE,"woHT";#N/A,#N/A,FALSE,"woHT&amp;JG"}</definedName>
    <definedName name="wrn.vortrag." hidden="1">{#N/A,#N/A,FALSE,"sales ytd";#N/A,#N/A,FALSE,"investments";#N/A,#N/A,FALSE,"bus. synergies 1997";#N/A,#N/A,FALSE,"synergies outlook"}</definedName>
    <definedName name="zzz" hidden="1">{#N/A,#N/A,TRUE,"10 yr forecast - Balance Sheet";#N/A,#N/A,TRUE,"10 yr forecast - SCFP";#N/A,#N/A,TRUE,"10 yr forecast - P&amp;L&lt;linked&gt; ";#N/A,#N/A,TRUE,"Product Sales Royalty Breakdown";#N/A,#N/A,TRUE,"Collaborative Revenue Breakdown";#N/A,#N/A,TRUE,"Commercial Ops Breakdown";#N/A,#N/A,TRUE,"R&amp;D Breakdown";#N/A,#N/A,TRUE,"SG&amp;A Breakdown";#N/A,#N/A,TRUE,"FTE Summary"}</definedName>
  </definedNames>
  <calcPr calcId="191029"/>
  <pivotCaches>
    <pivotCache cacheId="0" r:id="rId5"/>
  </pivotCaches>
  <extLst>
    <ext xmlns:x14="http://schemas.microsoft.com/office/spreadsheetml/2009/9/main" uri="{BBE1A952-AA13-448e-AADC-164F8A28A991}">
      <x14:slicerCaches>
        <x14:slicerCache r:id="rId6"/>
        <x14:slicerCache r:id="rId7"/>
        <x14:slicerCache r:id="rId8"/>
        <x14:slicerCache r:id="rId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R300" i="12" l="1"/>
  <c r="R299" i="12"/>
  <c r="R298" i="12"/>
  <c r="R297" i="12"/>
  <c r="R296" i="12"/>
  <c r="R295" i="12"/>
  <c r="R294" i="12"/>
  <c r="R293" i="12"/>
  <c r="R292" i="12"/>
  <c r="R291" i="12"/>
  <c r="R290" i="12"/>
  <c r="R289" i="12"/>
  <c r="R288" i="12"/>
  <c r="R287" i="12"/>
  <c r="R286" i="12"/>
  <c r="R285" i="12"/>
  <c r="R284" i="12"/>
  <c r="R283" i="12"/>
  <c r="R282" i="12"/>
  <c r="R281" i="12"/>
  <c r="R280" i="12"/>
  <c r="R279" i="12"/>
  <c r="R278" i="12"/>
  <c r="R277" i="12"/>
  <c r="R276" i="12"/>
  <c r="R275" i="12"/>
  <c r="R274" i="12"/>
  <c r="R273" i="12"/>
  <c r="R272" i="12"/>
  <c r="R271" i="12"/>
  <c r="R270" i="12"/>
  <c r="R269" i="12"/>
  <c r="R268" i="12"/>
  <c r="R267" i="12"/>
  <c r="R266" i="12"/>
  <c r="R265" i="12"/>
  <c r="R264" i="12"/>
  <c r="R263" i="12"/>
  <c r="R262" i="12"/>
  <c r="R261" i="12"/>
  <c r="R260" i="12"/>
  <c r="R259" i="12"/>
  <c r="R258" i="12"/>
  <c r="R257" i="12"/>
  <c r="R256" i="12"/>
  <c r="R255" i="12"/>
  <c r="R254" i="12"/>
  <c r="R253" i="12"/>
  <c r="R252" i="12"/>
  <c r="R251" i="12"/>
  <c r="R250" i="12"/>
  <c r="R249" i="12"/>
  <c r="R248" i="12"/>
  <c r="R247" i="12"/>
  <c r="R246" i="12"/>
  <c r="R245" i="12"/>
  <c r="R244" i="12"/>
  <c r="R243" i="12"/>
  <c r="R242" i="12"/>
  <c r="R241" i="12"/>
  <c r="R240" i="12"/>
  <c r="R239" i="12"/>
  <c r="R238" i="12"/>
  <c r="R237" i="12"/>
  <c r="R236" i="12"/>
  <c r="R235" i="12"/>
  <c r="R234" i="12"/>
  <c r="R233" i="12"/>
  <c r="R232" i="12"/>
  <c r="R231" i="12"/>
  <c r="R230" i="12"/>
  <c r="R229" i="12"/>
  <c r="R228" i="12"/>
  <c r="R227" i="12"/>
  <c r="R226" i="12"/>
  <c r="R225" i="12"/>
  <c r="R224" i="12"/>
  <c r="R223" i="12"/>
  <c r="R222" i="12"/>
  <c r="R221" i="12"/>
  <c r="R220" i="12"/>
  <c r="R219" i="12"/>
  <c r="R218" i="12"/>
  <c r="R217" i="12"/>
  <c r="R216" i="12"/>
  <c r="R215" i="12"/>
  <c r="R214" i="12"/>
  <c r="R213" i="12"/>
  <c r="R212" i="12"/>
  <c r="R211" i="12"/>
  <c r="R210" i="12"/>
  <c r="R209" i="12"/>
  <c r="R208" i="12"/>
  <c r="R207" i="12"/>
  <c r="R206" i="12"/>
  <c r="R205" i="12"/>
  <c r="R204" i="12"/>
  <c r="R203" i="12"/>
  <c r="R202" i="12"/>
  <c r="R201" i="12"/>
  <c r="R200" i="12"/>
  <c r="R199" i="12"/>
  <c r="R198" i="12"/>
  <c r="R197" i="12"/>
  <c r="R196" i="12"/>
  <c r="R195" i="12"/>
  <c r="R194" i="12"/>
  <c r="R193" i="12"/>
  <c r="R192" i="12"/>
  <c r="R191" i="12"/>
  <c r="R190" i="12"/>
  <c r="R189" i="12"/>
  <c r="R188" i="12"/>
  <c r="R187" i="12"/>
  <c r="R186" i="12"/>
  <c r="R185" i="12"/>
  <c r="R184" i="12"/>
  <c r="R183" i="12"/>
  <c r="R182" i="12"/>
  <c r="R181" i="12"/>
  <c r="R180" i="12"/>
  <c r="R179" i="12"/>
  <c r="R178" i="12"/>
  <c r="R177" i="12"/>
  <c r="R176" i="12"/>
  <c r="R175" i="12"/>
  <c r="R174" i="12"/>
  <c r="R173" i="12"/>
  <c r="R172" i="12"/>
  <c r="R171" i="12"/>
  <c r="R170" i="12"/>
  <c r="R169" i="12"/>
  <c r="R168" i="12"/>
  <c r="R167" i="12"/>
  <c r="R166" i="12"/>
  <c r="R165" i="12"/>
  <c r="R164" i="12"/>
  <c r="R163" i="12"/>
  <c r="R162" i="12"/>
  <c r="R161" i="12"/>
  <c r="R160" i="12"/>
  <c r="R159" i="12"/>
  <c r="R158" i="12"/>
  <c r="R157" i="12"/>
  <c r="R156" i="12"/>
  <c r="R155" i="12"/>
  <c r="R154" i="12"/>
  <c r="R153" i="12"/>
  <c r="R152" i="12"/>
  <c r="R151" i="12"/>
  <c r="R150" i="12"/>
  <c r="R149" i="12"/>
  <c r="R148" i="12"/>
  <c r="R147" i="12"/>
  <c r="R146" i="12"/>
  <c r="R145" i="12"/>
  <c r="R144" i="12"/>
  <c r="R143" i="12"/>
  <c r="R142" i="12"/>
  <c r="R141" i="12"/>
  <c r="R140" i="12"/>
  <c r="R139" i="12"/>
  <c r="R138" i="12"/>
  <c r="R137" i="12"/>
  <c r="R136" i="12"/>
  <c r="R135" i="12"/>
  <c r="R134" i="12"/>
  <c r="R133" i="12"/>
  <c r="R132" i="12"/>
  <c r="R131" i="12"/>
  <c r="R130" i="12"/>
  <c r="R129" i="12"/>
  <c r="R128" i="12"/>
  <c r="R127" i="12"/>
  <c r="R126" i="12"/>
  <c r="R125" i="12"/>
  <c r="R124" i="12"/>
  <c r="R123" i="12"/>
  <c r="R122" i="12"/>
  <c r="R121" i="12"/>
  <c r="R120" i="12"/>
  <c r="R119" i="12"/>
  <c r="R118" i="12"/>
  <c r="R117" i="12"/>
  <c r="R116" i="12"/>
  <c r="R115" i="12"/>
  <c r="R114" i="12"/>
  <c r="R113" i="12"/>
  <c r="R112" i="12"/>
  <c r="R111" i="12"/>
  <c r="R110" i="12"/>
  <c r="R109" i="12"/>
  <c r="R108" i="12"/>
  <c r="R107" i="12"/>
  <c r="R106" i="12"/>
  <c r="R105" i="12"/>
  <c r="R104" i="12"/>
  <c r="R103" i="12"/>
  <c r="R102" i="12"/>
  <c r="R101" i="12"/>
  <c r="R100" i="12"/>
  <c r="R99" i="12"/>
  <c r="R98" i="12"/>
  <c r="R97" i="12"/>
  <c r="R96" i="12"/>
  <c r="R95" i="12"/>
  <c r="R94" i="12"/>
  <c r="R93" i="12"/>
  <c r="R92" i="12"/>
  <c r="R91" i="12"/>
  <c r="R90" i="12"/>
  <c r="R89" i="12"/>
  <c r="R88" i="12"/>
  <c r="R87" i="12"/>
  <c r="R86" i="12"/>
  <c r="R85" i="12"/>
  <c r="R84" i="12"/>
  <c r="R83" i="12"/>
  <c r="R82" i="12"/>
  <c r="R81" i="12"/>
  <c r="R80" i="12"/>
  <c r="R79" i="12"/>
  <c r="R78" i="12"/>
  <c r="R77" i="12"/>
  <c r="R76" i="12"/>
  <c r="R75" i="12"/>
  <c r="R74" i="12"/>
  <c r="R73" i="12"/>
  <c r="R72" i="12"/>
  <c r="R71" i="12"/>
  <c r="R70" i="12"/>
  <c r="R69" i="12"/>
  <c r="R68" i="12"/>
  <c r="R67" i="12"/>
  <c r="R66" i="12"/>
  <c r="R65" i="12"/>
  <c r="R64" i="12"/>
  <c r="R63" i="12"/>
  <c r="R62" i="12"/>
  <c r="R61" i="12"/>
  <c r="R60" i="12"/>
  <c r="R59" i="12"/>
  <c r="R58" i="12"/>
  <c r="R57" i="12"/>
  <c r="R56" i="12"/>
  <c r="R55" i="12"/>
  <c r="R54" i="12"/>
  <c r="R53" i="12"/>
  <c r="R52" i="12"/>
  <c r="R51" i="12"/>
  <c r="R50" i="12"/>
  <c r="R49" i="12"/>
  <c r="R48" i="12"/>
  <c r="R47" i="12"/>
  <c r="R46" i="12"/>
  <c r="R45" i="12"/>
  <c r="R44" i="12"/>
  <c r="R43" i="12"/>
  <c r="R42" i="12"/>
  <c r="R41" i="12"/>
  <c r="R40" i="12"/>
  <c r="R39" i="12"/>
  <c r="R38" i="12"/>
  <c r="R37" i="12"/>
  <c r="R36" i="12"/>
  <c r="R35" i="12"/>
  <c r="R34" i="12"/>
  <c r="R33" i="12"/>
  <c r="R32" i="12"/>
  <c r="R31" i="12"/>
  <c r="R30" i="12"/>
  <c r="R29" i="12"/>
  <c r="R28" i="12"/>
  <c r="R27" i="12"/>
  <c r="R26" i="12"/>
  <c r="R25" i="12"/>
  <c r="R24" i="12"/>
  <c r="R23" i="12"/>
  <c r="R22" i="12"/>
  <c r="R21" i="12"/>
  <c r="R20" i="12"/>
  <c r="R19" i="12"/>
  <c r="R18" i="12"/>
  <c r="R17" i="12"/>
  <c r="R16" i="12"/>
  <c r="R15" i="12"/>
  <c r="R14" i="12"/>
  <c r="R13" i="12"/>
  <c r="R12" i="12"/>
  <c r="R11" i="12"/>
  <c r="R10" i="12"/>
  <c r="R9" i="12"/>
  <c r="R8" i="12"/>
  <c r="R7" i="12"/>
  <c r="R6" i="12"/>
  <c r="R5" i="12"/>
  <c r="R4" i="12"/>
  <c r="P5" i="12"/>
  <c r="P6" i="12"/>
  <c r="P7" i="12"/>
  <c r="P8" i="12"/>
  <c r="P9" i="12"/>
  <c r="P10" i="12"/>
  <c r="P11" i="12"/>
  <c r="P12" i="12"/>
  <c r="P13" i="12"/>
  <c r="P14" i="12"/>
  <c r="P15" i="12"/>
  <c r="P16" i="12"/>
  <c r="P17" i="12"/>
  <c r="P18" i="12"/>
  <c r="P19" i="12"/>
  <c r="P20" i="12"/>
  <c r="P21" i="12"/>
  <c r="P22" i="12"/>
  <c r="P23" i="12"/>
  <c r="P24" i="12"/>
  <c r="P25" i="12"/>
  <c r="P26" i="12"/>
  <c r="P27" i="12"/>
  <c r="P28" i="12"/>
  <c r="P29" i="12"/>
  <c r="P30" i="12"/>
  <c r="P31" i="12"/>
  <c r="P32" i="12"/>
  <c r="P33" i="12"/>
  <c r="P34" i="12"/>
  <c r="P35" i="12"/>
  <c r="P36" i="12"/>
  <c r="P37" i="12"/>
  <c r="P38" i="12"/>
  <c r="P39" i="12"/>
  <c r="P40" i="12"/>
  <c r="P41" i="12"/>
  <c r="P42" i="12"/>
  <c r="P43" i="12"/>
  <c r="P44" i="12"/>
  <c r="P45" i="12"/>
  <c r="P46" i="12"/>
  <c r="P47" i="12"/>
  <c r="P48" i="12"/>
  <c r="P49" i="12"/>
  <c r="P50" i="12"/>
  <c r="P51" i="12"/>
  <c r="P52" i="12"/>
  <c r="P53" i="12"/>
  <c r="P54" i="12"/>
  <c r="P55" i="12"/>
  <c r="P56" i="12"/>
  <c r="P57" i="12"/>
  <c r="P58" i="12"/>
  <c r="P59" i="12"/>
  <c r="P60" i="12"/>
  <c r="P61" i="12"/>
  <c r="P62" i="12"/>
  <c r="P63" i="12"/>
  <c r="P64" i="12"/>
  <c r="P65" i="12"/>
  <c r="P66" i="12"/>
  <c r="P67" i="12"/>
  <c r="P68" i="12"/>
  <c r="P69" i="12"/>
  <c r="P70" i="12"/>
  <c r="P71" i="12"/>
  <c r="P72" i="12"/>
  <c r="P73" i="12"/>
  <c r="P74" i="12"/>
  <c r="P75" i="12"/>
  <c r="P76" i="12"/>
  <c r="P77" i="12"/>
  <c r="P78" i="12"/>
  <c r="P79" i="12"/>
  <c r="P80" i="12"/>
  <c r="P81" i="12"/>
  <c r="P82" i="12"/>
  <c r="P83" i="12"/>
  <c r="P84" i="12"/>
  <c r="P85" i="12"/>
  <c r="P86" i="12"/>
  <c r="P87" i="12"/>
  <c r="P88" i="12"/>
  <c r="P89" i="12"/>
  <c r="P90" i="12"/>
  <c r="P91" i="12"/>
  <c r="P92" i="12"/>
  <c r="P93" i="12"/>
  <c r="P94" i="12"/>
  <c r="P95" i="12"/>
  <c r="P96" i="12"/>
  <c r="P97" i="12"/>
  <c r="P98" i="12"/>
  <c r="P99" i="12"/>
  <c r="P100" i="12"/>
  <c r="P101" i="12"/>
  <c r="P102" i="12"/>
  <c r="P103" i="12"/>
  <c r="P104" i="12"/>
  <c r="P105" i="12"/>
  <c r="P106" i="12"/>
  <c r="P107" i="12"/>
  <c r="P108" i="12"/>
  <c r="P109" i="12"/>
  <c r="P110" i="12"/>
  <c r="P111" i="12"/>
  <c r="P112" i="12"/>
  <c r="P113" i="12"/>
  <c r="P114" i="12"/>
  <c r="P115" i="12"/>
  <c r="P116" i="12"/>
  <c r="P117" i="12"/>
  <c r="P118" i="12"/>
  <c r="P119" i="12"/>
  <c r="P120" i="12"/>
  <c r="P121" i="12"/>
  <c r="P122" i="12"/>
  <c r="P123" i="12"/>
  <c r="P124" i="12"/>
  <c r="P125" i="12"/>
  <c r="P126" i="12"/>
  <c r="P127" i="12"/>
  <c r="P128" i="12"/>
  <c r="P129" i="12"/>
  <c r="P130" i="12"/>
  <c r="P131" i="12"/>
  <c r="P132" i="12"/>
  <c r="P133" i="12"/>
  <c r="P134" i="12"/>
  <c r="P135" i="12"/>
  <c r="P136" i="12"/>
  <c r="P137" i="12"/>
  <c r="P138" i="12"/>
  <c r="P139" i="12"/>
  <c r="P140" i="12"/>
  <c r="P141" i="12"/>
  <c r="P142" i="12"/>
  <c r="P143" i="12"/>
  <c r="P144" i="12"/>
  <c r="P145" i="12"/>
  <c r="P146" i="12"/>
  <c r="P147" i="12"/>
  <c r="P148" i="12"/>
  <c r="P149" i="12"/>
  <c r="P150" i="12"/>
  <c r="P151" i="12"/>
  <c r="P152" i="12"/>
  <c r="P153" i="12"/>
  <c r="P154" i="12"/>
  <c r="P155" i="12"/>
  <c r="P156" i="12"/>
  <c r="P157" i="12"/>
  <c r="P158" i="12"/>
  <c r="P159" i="12"/>
  <c r="P160" i="12"/>
  <c r="P161" i="12"/>
  <c r="P162" i="12"/>
  <c r="P163" i="12"/>
  <c r="P164" i="12"/>
  <c r="P165" i="12"/>
  <c r="P166" i="12"/>
  <c r="P167" i="12"/>
  <c r="P168" i="12"/>
  <c r="P169" i="12"/>
  <c r="P170" i="12"/>
  <c r="P171" i="12"/>
  <c r="P172" i="12"/>
  <c r="P173" i="12"/>
  <c r="P174" i="12"/>
  <c r="P175" i="12"/>
  <c r="P176" i="12"/>
  <c r="P177" i="12"/>
  <c r="P178" i="12"/>
  <c r="P179" i="12"/>
  <c r="P180" i="12"/>
  <c r="P181" i="12"/>
  <c r="P182" i="12"/>
  <c r="P183" i="12"/>
  <c r="P184" i="12"/>
  <c r="P185" i="12"/>
  <c r="P186" i="12"/>
  <c r="P187" i="12"/>
  <c r="P188" i="12"/>
  <c r="P189" i="12"/>
  <c r="P190" i="12"/>
  <c r="P191" i="12"/>
  <c r="P192" i="12"/>
  <c r="P193" i="12"/>
  <c r="P194" i="12"/>
  <c r="P195" i="12"/>
  <c r="P196" i="12"/>
  <c r="P197" i="12"/>
  <c r="P198" i="12"/>
  <c r="P199" i="12"/>
  <c r="P200" i="12"/>
  <c r="P201" i="12"/>
  <c r="P202" i="12"/>
  <c r="P203" i="12"/>
  <c r="P204" i="12"/>
  <c r="P205" i="12"/>
  <c r="P206" i="12"/>
  <c r="P207" i="12"/>
  <c r="P208" i="12"/>
  <c r="P209" i="12"/>
  <c r="P210" i="12"/>
  <c r="P211" i="12"/>
  <c r="P212" i="12"/>
  <c r="P213" i="12"/>
  <c r="P214" i="12"/>
  <c r="P215" i="12"/>
  <c r="P216" i="12"/>
  <c r="P217" i="12"/>
  <c r="P218" i="12"/>
  <c r="P219" i="12"/>
  <c r="P220" i="12"/>
  <c r="P221" i="12"/>
  <c r="P222" i="12"/>
  <c r="P223" i="12"/>
  <c r="P224" i="12"/>
  <c r="P225" i="12"/>
  <c r="P226" i="12"/>
  <c r="P227" i="12"/>
  <c r="P228" i="12"/>
  <c r="P229" i="12"/>
  <c r="P230" i="12"/>
  <c r="P231" i="12"/>
  <c r="P232" i="12"/>
  <c r="P233" i="12"/>
  <c r="P234" i="12"/>
  <c r="P235" i="12"/>
  <c r="P236" i="12"/>
  <c r="P237" i="12"/>
  <c r="P238" i="12"/>
  <c r="P239" i="12"/>
  <c r="P240" i="12"/>
  <c r="P241" i="12"/>
  <c r="P242" i="12"/>
  <c r="P243" i="12"/>
  <c r="P244" i="12"/>
  <c r="P245" i="12"/>
  <c r="P246" i="12"/>
  <c r="P247" i="12"/>
  <c r="P248" i="12"/>
  <c r="P249" i="12"/>
  <c r="P250" i="12"/>
  <c r="P251" i="12"/>
  <c r="P252" i="12"/>
  <c r="P253" i="12"/>
  <c r="P254" i="12"/>
  <c r="P255" i="12"/>
  <c r="P256" i="12"/>
  <c r="P257" i="12"/>
  <c r="P258" i="12"/>
  <c r="P259" i="12"/>
  <c r="P260" i="12"/>
  <c r="P261" i="12"/>
  <c r="P262" i="12"/>
  <c r="P263" i="12"/>
  <c r="P264" i="12"/>
  <c r="P265" i="12"/>
  <c r="P266" i="12"/>
  <c r="P267" i="12"/>
  <c r="P268" i="12"/>
  <c r="P269" i="12"/>
  <c r="P270" i="12"/>
  <c r="P271" i="12"/>
  <c r="P272" i="12"/>
  <c r="P273" i="12"/>
  <c r="P274" i="12"/>
  <c r="P275" i="12"/>
  <c r="P276" i="12"/>
  <c r="P277" i="12"/>
  <c r="P278" i="12"/>
  <c r="P279" i="12"/>
  <c r="P280" i="12"/>
  <c r="P281" i="12"/>
  <c r="P282" i="12"/>
  <c r="P283" i="12"/>
  <c r="P284" i="12"/>
  <c r="P285" i="12"/>
  <c r="P286" i="12"/>
  <c r="P287" i="12"/>
  <c r="P288" i="12"/>
  <c r="P289" i="12"/>
  <c r="P290" i="12"/>
  <c r="P291" i="12"/>
  <c r="P292" i="12"/>
  <c r="P293" i="12"/>
  <c r="P294" i="12"/>
  <c r="P295" i="12"/>
  <c r="P296" i="12"/>
  <c r="P297" i="12"/>
  <c r="P298" i="12"/>
  <c r="P299" i="12"/>
  <c r="P300" i="12"/>
  <c r="P4" i="12"/>
  <c r="M30" i="11"/>
  <c r="M38" i="11"/>
  <c r="M46" i="11"/>
  <c r="M70" i="11"/>
  <c r="M94" i="11"/>
  <c r="M102" i="11"/>
  <c r="M110" i="11"/>
  <c r="M86" i="11"/>
  <c r="G30" i="11"/>
  <c r="G38" i="11"/>
  <c r="G46" i="11"/>
  <c r="G54" i="11"/>
  <c r="G62" i="11"/>
  <c r="G70" i="11"/>
  <c r="G78" i="11"/>
  <c r="G86" i="11"/>
  <c r="G94" i="11"/>
  <c r="G102" i="11"/>
  <c r="G110" i="11"/>
  <c r="A1101" i="11"/>
  <c r="A1102" i="11"/>
  <c r="A1103" i="11"/>
  <c r="A1104" i="11"/>
  <c r="A1105" i="11"/>
  <c r="A1106" i="11"/>
  <c r="A1107" i="11"/>
  <c r="A1108" i="11"/>
  <c r="A1109" i="11"/>
  <c r="A1110" i="11"/>
  <c r="A1111" i="11"/>
  <c r="A1112" i="11"/>
  <c r="A1113" i="11"/>
  <c r="A1114" i="11"/>
  <c r="A1115" i="11"/>
  <c r="A1116" i="11"/>
  <c r="A1117" i="11"/>
  <c r="A1118" i="11"/>
  <c r="A1119" i="11"/>
  <c r="A1120" i="11"/>
  <c r="A1121" i="11"/>
  <c r="A1122" i="11"/>
  <c r="A1123" i="11"/>
  <c r="A1124" i="11"/>
  <c r="A1125" i="11"/>
  <c r="A1126" i="11"/>
  <c r="A1127" i="11"/>
  <c r="A1128" i="11"/>
  <c r="A1129" i="11"/>
  <c r="A1130" i="11"/>
  <c r="A1131" i="11"/>
  <c r="A1132" i="11"/>
  <c r="A1133" i="11"/>
  <c r="A1134" i="11"/>
  <c r="A1135" i="11"/>
  <c r="A1136" i="11"/>
  <c r="A1137" i="11"/>
  <c r="A1138" i="11"/>
  <c r="A1139" i="11"/>
  <c r="A1140" i="11"/>
  <c r="A1141" i="11"/>
  <c r="A1142" i="11"/>
  <c r="A1143" i="11"/>
  <c r="A1144" i="11"/>
  <c r="A1145" i="11"/>
  <c r="A1146" i="11"/>
  <c r="A1147" i="11"/>
  <c r="A1148" i="11"/>
  <c r="A1149" i="11"/>
  <c r="A1150" i="11"/>
  <c r="A1151" i="11"/>
  <c r="A1152" i="11"/>
  <c r="A1153" i="11"/>
  <c r="A1154" i="11"/>
  <c r="A1155" i="11"/>
  <c r="A1156" i="11"/>
  <c r="A1157" i="11"/>
  <c r="A1158" i="11"/>
  <c r="A1159" i="11"/>
  <c r="A1160" i="11"/>
  <c r="A1161" i="11"/>
  <c r="A1162" i="11"/>
  <c r="A1163" i="11"/>
  <c r="A1164" i="11"/>
  <c r="A1165" i="11"/>
  <c r="A1166" i="11"/>
  <c r="A1167" i="11"/>
  <c r="A1168" i="11"/>
  <c r="A1169" i="11"/>
  <c r="A1170" i="11"/>
  <c r="A1171" i="11"/>
  <c r="A1172" i="11"/>
  <c r="A1173" i="11"/>
  <c r="A1174" i="11"/>
  <c r="A1175" i="11"/>
  <c r="A1176" i="11"/>
  <c r="A1177" i="11"/>
  <c r="A1178" i="11"/>
  <c r="A1179" i="11"/>
  <c r="A1180" i="11"/>
  <c r="A1181" i="11"/>
  <c r="A1182" i="11"/>
  <c r="A1183" i="11"/>
  <c r="A1184" i="11"/>
  <c r="A1185" i="11"/>
  <c r="A1186" i="11"/>
  <c r="A1187" i="11"/>
  <c r="A1188" i="11"/>
  <c r="A1189" i="11"/>
  <c r="A1190" i="11"/>
  <c r="A1191" i="11"/>
  <c r="A1192" i="11"/>
  <c r="A1193" i="11"/>
  <c r="A1194" i="11"/>
  <c r="A1195" i="11"/>
  <c r="A1196" i="11"/>
  <c r="A1197" i="11"/>
  <c r="A1198" i="11"/>
  <c r="A1199" i="11"/>
  <c r="A1200" i="11"/>
  <c r="A1201" i="11"/>
  <c r="A1202" i="11"/>
  <c r="A1203" i="11"/>
  <c r="A1204" i="11"/>
  <c r="A1205" i="11"/>
  <c r="A1206" i="11"/>
  <c r="A1207" i="11"/>
  <c r="A1208" i="11"/>
  <c r="A1209" i="11"/>
  <c r="A1210" i="11"/>
  <c r="A1211" i="11"/>
  <c r="A1212" i="11"/>
  <c r="A1213" i="11"/>
  <c r="A1214" i="11"/>
  <c r="A1215" i="11"/>
  <c r="A1216" i="11"/>
  <c r="A1217" i="11"/>
  <c r="A1218" i="11"/>
  <c r="A1219" i="11"/>
  <c r="A1220" i="11"/>
  <c r="A1221" i="11"/>
  <c r="A1222" i="11"/>
  <c r="A1223" i="11"/>
  <c r="A1224" i="11"/>
  <c r="A1225" i="11"/>
  <c r="A1226" i="11"/>
  <c r="A1227" i="11"/>
  <c r="A1228" i="11"/>
  <c r="A1229" i="11"/>
  <c r="A1230" i="11"/>
  <c r="A1231" i="11"/>
  <c r="A1232" i="11"/>
  <c r="A1233" i="11"/>
  <c r="A1234" i="11"/>
  <c r="A1235" i="11"/>
  <c r="A1236" i="11"/>
  <c r="A1237" i="11"/>
  <c r="A1238" i="11"/>
  <c r="A1239" i="11"/>
  <c r="A1240" i="11"/>
  <c r="A1241" i="11"/>
  <c r="A1242" i="11"/>
  <c r="A1243" i="11"/>
  <c r="A1244" i="11"/>
  <c r="A1245" i="11"/>
  <c r="A1246" i="11"/>
  <c r="A1247" i="11"/>
  <c r="A1248" i="11"/>
  <c r="A1249" i="11"/>
  <c r="A1250" i="11"/>
  <c r="A1251" i="11"/>
  <c r="A1252" i="11"/>
  <c r="A1253" i="11"/>
  <c r="A1254" i="11"/>
  <c r="A1255" i="11"/>
  <c r="A1256" i="11"/>
  <c r="A1257" i="11"/>
  <c r="A1258" i="11"/>
  <c r="A1259" i="11"/>
  <c r="A1260" i="11"/>
  <c r="A1261" i="11"/>
  <c r="A1262" i="11"/>
  <c r="A1263" i="11"/>
  <c r="A1264" i="11"/>
  <c r="A1265" i="11"/>
  <c r="A1266" i="11"/>
  <c r="A1267" i="11"/>
  <c r="A1268" i="11"/>
  <c r="A1269" i="11"/>
  <c r="A1270" i="11"/>
  <c r="A1271" i="11"/>
  <c r="A1272" i="11"/>
  <c r="A1273" i="11"/>
  <c r="A1274" i="11"/>
  <c r="A1275" i="11"/>
  <c r="A1276" i="11"/>
  <c r="A1277" i="11"/>
  <c r="A1278" i="11"/>
  <c r="A1279" i="11"/>
  <c r="A1280" i="11"/>
  <c r="A1281" i="11"/>
  <c r="A1282" i="11"/>
  <c r="A1283" i="11"/>
  <c r="A1284" i="11"/>
  <c r="A1285" i="11"/>
  <c r="A1286" i="11"/>
  <c r="A1287" i="11"/>
  <c r="A1288" i="11"/>
  <c r="A1289" i="11"/>
  <c r="A1290" i="11"/>
  <c r="A1291" i="11"/>
  <c r="A1292" i="11"/>
  <c r="A1293" i="11"/>
  <c r="A1294" i="11"/>
  <c r="A1295" i="11"/>
  <c r="A1296" i="11"/>
  <c r="A1297" i="11"/>
  <c r="A1298" i="11"/>
  <c r="A1299" i="11"/>
  <c r="A1300" i="11"/>
  <c r="A1301" i="11"/>
  <c r="A1302" i="11"/>
  <c r="A1303" i="11"/>
  <c r="A1304" i="11"/>
  <c r="A1305" i="11"/>
  <c r="A1306" i="11"/>
  <c r="A1307" i="11"/>
  <c r="A1308" i="11"/>
  <c r="A1309" i="11"/>
  <c r="A1310" i="11"/>
  <c r="A1311" i="11"/>
  <c r="A1312" i="11"/>
  <c r="A1313" i="11"/>
  <c r="A1314" i="11"/>
  <c r="A1315" i="11"/>
  <c r="A1316" i="11"/>
  <c r="A1317" i="11"/>
  <c r="A1318" i="11"/>
  <c r="A1319" i="11"/>
  <c r="A1320" i="11"/>
  <c r="A1321" i="11"/>
  <c r="A1322" i="11"/>
  <c r="A1323" i="11"/>
  <c r="A1324" i="11"/>
  <c r="A1325" i="11"/>
  <c r="A1326" i="11"/>
  <c r="A1327" i="11"/>
  <c r="A1328" i="11"/>
  <c r="A1329" i="11"/>
  <c r="A1330" i="11"/>
  <c r="A1331" i="11"/>
  <c r="A1332" i="11"/>
  <c r="A1333" i="11"/>
  <c r="A1334" i="11"/>
  <c r="A1335" i="11"/>
  <c r="A1336" i="11"/>
  <c r="A1337" i="11"/>
  <c r="A1338" i="11"/>
  <c r="A1339" i="11"/>
  <c r="A1340" i="11"/>
  <c r="A1341" i="11"/>
  <c r="A1342" i="11"/>
  <c r="A1343" i="11"/>
  <c r="A1344" i="11"/>
  <c r="A1345" i="11"/>
  <c r="A1346" i="11"/>
  <c r="A1347" i="11"/>
  <c r="A1348" i="11"/>
  <c r="A1349" i="11"/>
  <c r="A1350" i="11"/>
  <c r="A1351" i="11"/>
  <c r="A1352" i="11"/>
  <c r="A1353" i="11"/>
  <c r="A1354" i="11"/>
  <c r="A1355" i="11"/>
  <c r="A1356" i="11"/>
  <c r="A1357" i="11"/>
  <c r="A1358" i="11"/>
  <c r="A1359" i="11"/>
  <c r="A1360" i="11"/>
  <c r="A1361" i="11"/>
  <c r="A1362" i="11"/>
  <c r="A1363" i="11"/>
  <c r="A1364" i="11"/>
  <c r="A1365" i="11"/>
  <c r="A1366" i="11"/>
  <c r="A1367" i="11"/>
  <c r="A1368" i="11"/>
  <c r="A1369" i="11"/>
  <c r="A1370" i="11"/>
  <c r="A1371" i="11"/>
  <c r="A1372" i="11"/>
  <c r="A1373" i="11"/>
  <c r="A1374" i="11"/>
  <c r="A1375" i="11"/>
  <c r="A1376" i="11"/>
  <c r="A1377" i="11"/>
  <c r="A1378" i="11"/>
  <c r="A1379" i="11"/>
  <c r="A1380" i="11"/>
  <c r="A1381" i="11"/>
  <c r="A1382" i="11"/>
  <c r="A1383" i="11"/>
  <c r="A1384" i="11"/>
  <c r="A1385" i="11"/>
  <c r="A1386" i="11"/>
  <c r="A1387" i="11"/>
  <c r="A1388" i="11"/>
  <c r="A1389" i="11"/>
  <c r="A1390" i="11"/>
  <c r="A1391" i="11"/>
  <c r="A1392" i="11"/>
  <c r="A1393" i="11"/>
  <c r="A1394" i="11"/>
  <c r="A1395" i="11"/>
  <c r="A1396" i="11"/>
  <c r="A1397" i="11"/>
  <c r="A1398" i="11"/>
  <c r="A1399" i="11"/>
  <c r="A1400" i="11"/>
  <c r="A1401" i="11"/>
  <c r="A1402" i="11"/>
  <c r="A1403" i="11"/>
  <c r="A1404" i="11"/>
  <c r="A1405" i="11"/>
  <c r="A1406" i="11"/>
  <c r="A1407" i="11"/>
  <c r="A1408" i="11"/>
  <c r="A1409" i="11"/>
  <c r="A1410" i="11"/>
  <c r="A1411" i="11"/>
  <c r="A1412" i="11"/>
  <c r="A1413" i="11"/>
  <c r="A1414" i="11"/>
  <c r="A1415" i="11"/>
  <c r="A1416" i="11"/>
  <c r="A1417" i="11"/>
  <c r="A1418" i="11"/>
  <c r="A1419" i="11"/>
  <c r="A1420" i="11"/>
  <c r="A1421" i="11"/>
  <c r="A1422" i="11"/>
  <c r="A1423" i="11"/>
  <c r="A1424" i="11"/>
  <c r="A1425" i="11"/>
  <c r="A1426" i="11"/>
  <c r="A1427" i="11"/>
  <c r="A1428" i="11"/>
  <c r="A1429" i="11"/>
  <c r="A1430" i="11"/>
  <c r="A1431" i="11"/>
  <c r="A1432" i="11"/>
  <c r="A1433" i="11"/>
  <c r="A1434" i="11"/>
  <c r="A1435" i="11"/>
  <c r="A1436" i="11"/>
  <c r="A1437" i="11"/>
  <c r="A1438" i="11"/>
  <c r="A1439" i="11"/>
  <c r="A1440" i="11"/>
  <c r="A1441" i="11"/>
  <c r="A1442" i="11"/>
  <c r="A1443" i="11"/>
  <c r="A1444" i="11"/>
  <c r="A1445" i="11"/>
  <c r="A1446" i="11"/>
  <c r="A1447" i="11"/>
  <c r="A1448" i="11"/>
  <c r="A1449" i="11"/>
  <c r="A1450" i="11"/>
  <c r="A1451" i="11"/>
  <c r="A1452" i="11"/>
  <c r="A1453" i="11"/>
  <c r="A1454" i="11"/>
  <c r="A1455" i="11"/>
  <c r="A1456" i="11"/>
  <c r="A1457" i="11"/>
  <c r="A1458" i="11"/>
  <c r="A1459" i="11"/>
  <c r="A1460" i="11"/>
  <c r="A1461" i="11"/>
  <c r="A1462" i="11"/>
  <c r="A1463" i="11"/>
  <c r="A1464" i="11"/>
  <c r="A1465" i="11"/>
  <c r="A1466" i="11"/>
  <c r="A1467" i="11"/>
  <c r="A1468" i="11"/>
  <c r="A1469" i="11"/>
  <c r="A1470" i="11"/>
  <c r="A1471" i="11"/>
  <c r="A1472" i="11"/>
  <c r="A1473" i="11"/>
  <c r="A1474" i="11"/>
  <c r="A1475" i="11"/>
  <c r="A1476" i="11"/>
  <c r="A1477" i="11"/>
  <c r="A1478" i="11"/>
  <c r="A1479" i="11"/>
  <c r="A1480" i="11"/>
  <c r="A1481" i="11"/>
  <c r="A1482" i="11"/>
  <c r="A1483" i="11"/>
  <c r="A1484" i="11"/>
  <c r="A1485" i="11"/>
  <c r="A1486" i="11"/>
  <c r="A1487" i="11"/>
  <c r="A1488" i="11"/>
  <c r="A1489" i="11"/>
  <c r="A1490" i="11"/>
  <c r="A1491" i="11"/>
  <c r="A1492" i="11"/>
  <c r="A1493" i="11"/>
  <c r="A1494" i="11"/>
  <c r="A1495" i="11"/>
  <c r="A1496" i="11"/>
  <c r="A1497" i="11"/>
  <c r="A1498" i="11"/>
  <c r="A1499" i="11"/>
  <c r="A1500" i="11"/>
  <c r="A1501" i="11"/>
  <c r="A1502" i="11"/>
  <c r="A1503" i="11"/>
  <c r="A1504" i="11"/>
  <c r="A1505" i="11"/>
  <c r="A1506" i="11"/>
  <c r="A1507" i="11"/>
  <c r="A1508" i="11"/>
  <c r="A1509" i="11"/>
  <c r="A1510" i="11"/>
  <c r="A1511" i="11"/>
  <c r="A1512" i="11"/>
  <c r="A1513" i="11"/>
  <c r="A1514" i="11"/>
  <c r="A1515" i="11"/>
  <c r="A1516" i="11"/>
  <c r="A1517" i="11"/>
  <c r="A1518" i="11"/>
  <c r="A1519" i="11"/>
  <c r="A1520" i="11"/>
  <c r="A1521" i="11"/>
  <c r="A1522" i="11"/>
  <c r="A1523" i="11"/>
  <c r="A1524" i="11"/>
  <c r="A1525" i="11"/>
  <c r="A1526" i="11"/>
  <c r="A1527" i="11"/>
  <c r="A1528" i="11"/>
  <c r="A1529" i="11"/>
  <c r="A1530" i="11"/>
  <c r="A1531" i="11"/>
  <c r="A1532" i="11"/>
  <c r="A1533" i="11"/>
  <c r="A1534" i="11"/>
  <c r="A1535" i="11"/>
  <c r="A1536" i="11"/>
  <c r="A1537" i="11"/>
  <c r="A1538" i="11"/>
  <c r="A1539" i="11"/>
  <c r="A1540" i="11"/>
  <c r="A1541" i="11"/>
  <c r="A1542" i="11"/>
  <c r="A1543" i="11"/>
  <c r="A1544" i="11"/>
  <c r="A1545" i="11"/>
  <c r="A1546" i="11"/>
  <c r="A1547" i="11"/>
  <c r="A1548" i="11"/>
  <c r="A1549" i="11"/>
  <c r="A1550" i="11"/>
  <c r="A1551" i="11"/>
  <c r="A1552" i="11"/>
  <c r="A1553" i="11"/>
  <c r="A1554" i="11"/>
  <c r="A1555" i="11"/>
  <c r="A1556" i="11"/>
  <c r="A1557" i="11"/>
  <c r="A1558" i="11"/>
  <c r="A1559" i="11"/>
  <c r="A1560" i="11"/>
  <c r="A1561" i="11"/>
  <c r="A1562" i="11"/>
  <c r="A1563" i="11"/>
  <c r="A1564" i="11"/>
  <c r="A1565" i="11"/>
  <c r="A1566" i="11"/>
  <c r="A1567" i="11"/>
  <c r="A1568" i="11"/>
  <c r="A1569" i="11"/>
  <c r="A1570" i="11"/>
  <c r="A1571" i="11"/>
  <c r="A1572" i="11"/>
  <c r="A1573" i="11"/>
  <c r="A1574" i="11"/>
  <c r="A1575" i="11"/>
  <c r="A1576" i="11"/>
  <c r="A1577" i="11"/>
  <c r="A1578" i="11"/>
  <c r="A1579" i="11"/>
  <c r="A1580" i="11"/>
  <c r="A1581" i="11"/>
  <c r="A1582" i="11"/>
  <c r="A1583" i="11"/>
  <c r="A1584" i="11"/>
  <c r="A1585" i="11"/>
  <c r="A1586" i="11"/>
  <c r="A1587" i="11"/>
  <c r="A1588" i="11"/>
  <c r="A1589" i="11"/>
  <c r="A1590" i="11"/>
  <c r="A1591" i="11"/>
  <c r="A1592" i="11"/>
  <c r="A1593" i="11"/>
  <c r="A1594" i="11"/>
  <c r="A1595" i="11"/>
  <c r="A1596" i="11"/>
  <c r="A1597" i="11"/>
  <c r="A1598" i="11"/>
  <c r="A1599" i="11"/>
  <c r="A1600" i="11"/>
  <c r="A1601" i="11"/>
  <c r="A1602" i="11"/>
  <c r="A1603" i="11"/>
  <c r="A1604" i="11"/>
  <c r="A1605" i="11"/>
  <c r="A1606" i="11"/>
  <c r="A1607" i="11"/>
  <c r="A1608" i="11"/>
  <c r="A1609" i="11"/>
  <c r="A1610" i="11"/>
  <c r="A1611" i="11"/>
  <c r="A1612" i="11"/>
  <c r="A1613" i="11"/>
  <c r="A1614" i="11"/>
  <c r="A1615" i="11"/>
  <c r="A1616" i="11"/>
  <c r="A1617" i="11"/>
  <c r="A1618" i="11"/>
  <c r="A1619" i="11"/>
  <c r="A1620" i="11"/>
  <c r="A1621" i="11"/>
  <c r="A1622" i="11"/>
  <c r="A1623" i="11"/>
  <c r="A1624" i="11"/>
  <c r="A1625" i="11"/>
  <c r="A1626" i="11"/>
  <c r="A1627" i="11"/>
  <c r="A1628" i="11"/>
  <c r="A1629" i="11"/>
  <c r="A1630" i="11"/>
  <c r="A1631" i="11"/>
  <c r="A1632" i="11"/>
  <c r="A1633" i="11"/>
  <c r="A1634" i="11"/>
  <c r="A1635" i="11"/>
  <c r="A1636" i="11"/>
  <c r="A1637" i="11"/>
  <c r="A1638" i="11"/>
  <c r="A1639" i="11"/>
  <c r="A1640" i="11"/>
  <c r="A1641" i="11"/>
  <c r="A1642" i="11"/>
  <c r="A1643" i="11"/>
  <c r="A1644" i="11"/>
  <c r="A1645" i="11"/>
  <c r="A1646" i="11"/>
  <c r="A1647" i="11"/>
  <c r="A1648" i="11"/>
  <c r="A1649" i="11"/>
  <c r="A1650" i="11"/>
  <c r="A1651" i="11"/>
  <c r="A1652" i="11"/>
  <c r="A1653" i="11"/>
  <c r="A1654" i="11"/>
  <c r="A1655" i="11"/>
  <c r="A1656" i="11"/>
  <c r="A1657" i="11"/>
  <c r="A1658" i="11"/>
  <c r="A1659" i="11"/>
  <c r="A1660" i="11"/>
  <c r="A1661" i="11"/>
  <c r="A1662" i="11"/>
  <c r="A1663" i="11"/>
  <c r="A1664" i="11"/>
  <c r="A1665" i="11"/>
  <c r="A1666" i="11"/>
  <c r="A1667" i="11"/>
  <c r="A1668" i="11"/>
  <c r="A1669" i="11"/>
  <c r="A1670" i="11"/>
  <c r="A1671" i="11"/>
  <c r="A1672" i="11"/>
  <c r="A1673" i="11"/>
  <c r="A1674" i="11"/>
  <c r="A1675" i="11"/>
  <c r="A1676" i="11"/>
  <c r="A1677" i="11"/>
  <c r="A1678" i="11"/>
  <c r="A1679" i="11"/>
  <c r="A1680" i="11"/>
  <c r="A1681" i="11"/>
  <c r="A1682" i="11"/>
  <c r="A1683" i="11"/>
  <c r="A1684" i="11"/>
  <c r="A1685" i="11"/>
  <c r="A1686" i="11"/>
  <c r="A1687" i="11"/>
  <c r="A1688" i="11"/>
  <c r="A1689" i="11"/>
  <c r="A1690" i="11"/>
  <c r="A1691" i="11"/>
  <c r="A1692" i="11"/>
  <c r="A1693" i="11"/>
  <c r="A1694" i="11"/>
  <c r="A1695" i="11"/>
  <c r="A1696" i="11"/>
  <c r="A1697" i="11"/>
  <c r="A1698" i="11"/>
  <c r="A1699" i="11"/>
  <c r="A1700" i="11"/>
  <c r="A1701" i="11"/>
  <c r="A1702" i="11"/>
  <c r="A1703" i="11"/>
  <c r="A1704" i="11"/>
  <c r="A1705" i="11"/>
  <c r="A1706" i="11"/>
  <c r="A1707" i="11"/>
  <c r="A1708" i="11"/>
  <c r="A1709" i="11"/>
  <c r="A1710" i="11"/>
  <c r="A1711" i="11"/>
  <c r="A1712" i="11"/>
  <c r="A1713" i="11"/>
  <c r="A1714" i="11"/>
  <c r="A1715" i="11"/>
  <c r="A1716" i="11"/>
  <c r="A1717" i="11"/>
  <c r="A1718" i="11"/>
  <c r="A1719" i="11"/>
  <c r="A1720" i="11"/>
  <c r="A1721" i="11"/>
  <c r="A1722" i="11"/>
  <c r="A1723" i="11"/>
  <c r="A1724" i="11"/>
  <c r="A1725" i="11"/>
  <c r="A1726" i="11"/>
  <c r="A1727" i="11"/>
  <c r="A1728" i="11"/>
  <c r="A1729" i="11"/>
  <c r="A1730" i="11"/>
  <c r="A1731" i="11"/>
  <c r="A1732" i="11"/>
  <c r="A1733" i="11"/>
  <c r="A1734" i="11"/>
  <c r="A1735" i="11"/>
  <c r="A1736" i="11"/>
  <c r="A1737" i="11"/>
  <c r="A1738" i="11"/>
  <c r="A1739" i="11"/>
  <c r="A1740" i="11"/>
  <c r="A1741" i="11"/>
  <c r="A1742" i="11"/>
  <c r="A1743" i="11"/>
  <c r="A1744" i="11"/>
  <c r="A1745" i="11"/>
  <c r="A1746" i="11"/>
  <c r="A1747" i="11"/>
  <c r="A1748" i="11"/>
  <c r="A1749" i="11"/>
  <c r="A1750" i="11"/>
  <c r="A1751" i="11"/>
  <c r="A1752" i="11"/>
  <c r="A1753" i="11"/>
  <c r="A1754" i="11"/>
  <c r="A1755" i="11"/>
  <c r="A1756" i="11"/>
  <c r="A1757" i="11"/>
  <c r="A1758" i="11"/>
  <c r="A1759" i="11"/>
  <c r="A1760" i="11"/>
  <c r="A1761" i="11"/>
  <c r="A1762" i="11"/>
  <c r="A1763" i="11"/>
  <c r="A1764" i="11"/>
  <c r="A1765" i="11"/>
  <c r="A1766" i="11"/>
  <c r="A1767" i="11"/>
  <c r="A1768" i="11"/>
  <c r="A1769" i="11"/>
  <c r="A1770" i="11"/>
  <c r="A1771" i="11"/>
  <c r="A1772" i="11"/>
  <c r="A1773" i="11"/>
  <c r="A1774" i="11"/>
  <c r="A1775" i="11"/>
  <c r="A1776" i="11"/>
  <c r="A1777" i="11"/>
  <c r="A1778" i="11"/>
  <c r="A1779" i="11"/>
  <c r="A1780" i="11"/>
  <c r="A1781" i="11"/>
  <c r="A1782" i="11"/>
  <c r="A1783" i="11"/>
  <c r="A1784" i="11"/>
  <c r="A1785" i="11"/>
  <c r="A1786" i="11"/>
  <c r="A1787" i="11"/>
  <c r="A1788" i="11"/>
  <c r="A1789" i="11"/>
  <c r="A1790" i="11"/>
  <c r="A1791" i="11"/>
  <c r="A1792" i="11"/>
  <c r="A1793" i="11"/>
  <c r="A1794" i="11"/>
  <c r="A1795" i="11"/>
  <c r="A1796" i="11"/>
  <c r="A1797" i="11"/>
  <c r="A1798" i="11"/>
  <c r="A1799" i="11"/>
  <c r="A1800" i="11"/>
  <c r="A1801" i="11"/>
  <c r="A1802" i="11"/>
  <c r="A1803" i="11"/>
  <c r="A1804" i="11"/>
  <c r="A1805" i="11"/>
  <c r="A1806" i="11"/>
  <c r="A1807" i="11"/>
  <c r="A1808" i="11"/>
  <c r="A1809" i="11"/>
  <c r="A1810" i="11"/>
  <c r="A1811" i="11"/>
  <c r="A1812" i="11"/>
  <c r="A1813" i="11"/>
  <c r="A1814" i="11"/>
  <c r="A1815" i="11"/>
  <c r="A1816" i="11"/>
  <c r="A1817" i="11"/>
  <c r="A1818" i="11"/>
  <c r="A1819" i="11"/>
  <c r="A1820" i="11"/>
  <c r="A1821" i="11"/>
  <c r="A1822" i="11"/>
  <c r="A1823" i="11"/>
  <c r="A1824" i="11"/>
  <c r="A1825" i="11"/>
  <c r="A1826" i="11"/>
  <c r="A1827" i="11"/>
  <c r="A1828" i="11"/>
  <c r="A1829" i="11"/>
  <c r="A1830" i="11"/>
  <c r="A1831" i="11"/>
  <c r="A1832" i="11"/>
  <c r="A1833" i="11"/>
  <c r="A1834" i="11"/>
  <c r="A1835" i="11"/>
  <c r="A1836" i="11"/>
  <c r="A1837" i="11"/>
  <c r="A1838" i="11"/>
  <c r="A1839" i="11"/>
  <c r="A1840" i="11"/>
  <c r="A1841" i="11"/>
  <c r="A1842" i="11"/>
  <c r="A1843" i="11"/>
  <c r="A1844" i="11"/>
  <c r="A1845" i="11"/>
  <c r="A1846" i="11"/>
  <c r="A1847" i="11"/>
  <c r="A1848" i="11"/>
  <c r="A1849" i="11"/>
  <c r="A1850" i="11"/>
  <c r="A1851" i="11"/>
  <c r="A1852" i="11"/>
  <c r="A1853" i="11"/>
  <c r="A1854" i="11"/>
  <c r="A1855" i="11"/>
  <c r="A1856" i="11"/>
  <c r="A1857" i="11"/>
  <c r="A1858" i="11"/>
  <c r="A1859" i="11"/>
  <c r="A1860" i="11"/>
  <c r="A1861" i="11"/>
  <c r="A1862" i="11"/>
  <c r="A1863" i="11"/>
  <c r="A1864" i="11"/>
  <c r="A1865" i="11"/>
  <c r="A1866" i="11"/>
  <c r="A1867" i="11"/>
  <c r="A1868" i="11"/>
  <c r="A1869" i="11"/>
  <c r="A1870" i="11"/>
  <c r="A1871" i="11"/>
  <c r="A1872" i="11"/>
  <c r="A1873" i="11"/>
  <c r="A1874" i="11"/>
  <c r="A1875" i="11"/>
  <c r="A1876" i="11"/>
  <c r="A1877" i="11"/>
  <c r="A1878" i="11"/>
  <c r="A1879" i="11"/>
  <c r="A1880" i="11"/>
  <c r="A1881" i="11"/>
  <c r="A1882" i="11"/>
  <c r="A1883" i="11"/>
  <c r="A1884" i="11"/>
  <c r="A1885" i="11"/>
  <c r="A1886" i="11"/>
  <c r="A1887" i="11"/>
  <c r="A1888" i="11"/>
  <c r="A1889" i="11"/>
  <c r="A1890" i="11"/>
  <c r="A1891" i="11"/>
  <c r="A1892" i="11"/>
  <c r="A1893" i="11"/>
  <c r="A1894" i="11"/>
  <c r="A1895" i="11"/>
  <c r="A1896" i="11"/>
  <c r="A1897" i="11"/>
  <c r="A1898" i="11"/>
  <c r="A1899" i="11"/>
  <c r="A1900" i="11"/>
  <c r="A1901" i="11"/>
  <c r="A1902" i="11"/>
  <c r="A1903" i="11"/>
  <c r="A1904" i="11"/>
  <c r="A1905" i="11"/>
  <c r="A1906" i="11"/>
  <c r="A1907" i="11"/>
  <c r="A1908" i="11"/>
  <c r="A1909" i="11"/>
  <c r="A1910" i="11"/>
  <c r="A1911" i="11"/>
  <c r="A1912" i="11"/>
  <c r="A1913" i="11"/>
  <c r="A1914" i="11"/>
  <c r="A1915" i="11"/>
  <c r="A1916" i="11"/>
  <c r="A1917" i="11"/>
  <c r="A1918" i="11"/>
  <c r="A1919" i="11"/>
  <c r="A1920" i="11"/>
  <c r="A1921" i="11"/>
  <c r="A1922" i="11"/>
  <c r="A1923" i="11"/>
  <c r="A1924" i="11"/>
  <c r="A1925" i="11"/>
  <c r="A1926" i="11"/>
  <c r="A1927" i="11"/>
  <c r="A1928" i="11"/>
  <c r="A1929" i="11"/>
  <c r="A1930" i="11"/>
  <c r="A1931" i="11"/>
  <c r="A1932" i="11"/>
  <c r="A1933" i="11"/>
  <c r="A1934" i="11"/>
  <c r="A1935" i="11"/>
  <c r="A1936" i="11"/>
  <c r="A1937" i="11"/>
  <c r="A1938" i="11"/>
  <c r="A1939" i="11"/>
  <c r="A1940" i="11"/>
  <c r="A1941" i="11"/>
  <c r="A1942" i="11"/>
  <c r="A1943" i="11"/>
  <c r="A1944" i="11"/>
  <c r="A1945" i="11"/>
  <c r="A1946" i="11"/>
  <c r="A1947" i="11"/>
  <c r="A1948" i="11"/>
  <c r="A1949" i="11"/>
  <c r="A1950" i="11"/>
  <c r="A1951" i="11"/>
  <c r="A1952" i="11"/>
  <c r="A1953" i="11"/>
  <c r="A1954" i="11"/>
  <c r="A1955" i="11"/>
  <c r="A1956" i="11"/>
  <c r="A1957" i="11"/>
  <c r="A1958" i="11"/>
  <c r="A1959" i="11"/>
  <c r="A1960" i="11"/>
  <c r="A1961" i="11"/>
  <c r="A1962" i="11"/>
  <c r="A1963" i="11"/>
  <c r="A1964" i="11"/>
  <c r="A1965" i="11"/>
  <c r="A1966" i="11"/>
  <c r="A1967" i="11"/>
  <c r="A1968" i="11"/>
  <c r="A1969" i="11"/>
  <c r="A1970" i="11"/>
  <c r="A1971" i="11"/>
  <c r="A1972" i="11"/>
  <c r="A1973" i="11"/>
  <c r="A1974" i="11"/>
  <c r="A1975" i="11"/>
  <c r="A1976" i="11"/>
  <c r="A1977" i="11"/>
  <c r="A1978" i="11"/>
  <c r="A1979" i="11"/>
  <c r="A1980" i="11"/>
  <c r="A1981" i="11"/>
  <c r="A1982" i="11"/>
  <c r="A1983" i="11"/>
  <c r="A1984" i="11"/>
  <c r="A1985" i="11"/>
  <c r="A1986" i="11"/>
  <c r="A1987" i="11"/>
  <c r="A1988" i="11"/>
  <c r="A1989" i="11"/>
  <c r="A1990" i="11"/>
  <c r="A1991" i="11"/>
  <c r="A1992" i="11"/>
  <c r="A1993" i="11"/>
  <c r="A1994" i="11"/>
  <c r="A1995" i="11"/>
  <c r="A1996" i="11"/>
  <c r="A1997" i="11"/>
  <c r="A1998" i="11"/>
  <c r="A1999" i="11"/>
  <c r="A2000" i="11"/>
  <c r="A2001" i="11"/>
  <c r="A2002" i="11"/>
  <c r="A2003" i="11"/>
  <c r="A2004" i="11"/>
  <c r="A2005" i="11"/>
  <c r="A2006" i="11"/>
  <c r="A2007" i="11"/>
  <c r="A2008" i="11"/>
  <c r="A2009" i="11"/>
  <c r="A2010" i="11"/>
  <c r="A2011" i="11"/>
  <c r="A2012" i="11"/>
  <c r="A2013" i="11"/>
  <c r="A2014" i="11"/>
  <c r="A2015" i="11"/>
  <c r="A2016" i="11"/>
  <c r="A2017" i="11"/>
  <c r="A2018" i="11"/>
  <c r="A2019" i="11"/>
  <c r="A2020" i="11"/>
  <c r="A2021" i="11"/>
  <c r="A41" i="11"/>
  <c r="A42" i="11"/>
  <c r="A43" i="11"/>
  <c r="A44" i="11"/>
  <c r="A45" i="11"/>
  <c r="A46" i="11"/>
  <c r="A47" i="11"/>
  <c r="A48" i="11"/>
  <c r="A49" i="11"/>
  <c r="A50" i="11"/>
  <c r="A51" i="11"/>
  <c r="A52" i="11"/>
  <c r="A53" i="11"/>
  <c r="A54" i="11"/>
  <c r="A55" i="11"/>
  <c r="A56" i="11"/>
  <c r="A57" i="11"/>
  <c r="A58" i="11"/>
  <c r="A59" i="11"/>
  <c r="A60" i="11"/>
  <c r="A61" i="11"/>
  <c r="A62" i="11"/>
  <c r="A63" i="11"/>
  <c r="A64" i="11"/>
  <c r="A65" i="11"/>
  <c r="A66" i="11"/>
  <c r="A67" i="11"/>
  <c r="A68" i="11"/>
  <c r="A69" i="11"/>
  <c r="A70" i="11"/>
  <c r="A71" i="11"/>
  <c r="A72" i="11"/>
  <c r="A73" i="11"/>
  <c r="A74" i="11"/>
  <c r="A75" i="11"/>
  <c r="A76" i="11"/>
  <c r="A77" i="11"/>
  <c r="A78" i="11"/>
  <c r="A79" i="11"/>
  <c r="A80" i="11"/>
  <c r="A81" i="11"/>
  <c r="A82" i="11"/>
  <c r="A83" i="11"/>
  <c r="A84" i="11"/>
  <c r="A85" i="11"/>
  <c r="A86" i="11"/>
  <c r="A87" i="11"/>
  <c r="A88" i="11"/>
  <c r="A89" i="11"/>
  <c r="A90" i="11"/>
  <c r="A91" i="11"/>
  <c r="A92" i="11"/>
  <c r="A93" i="11"/>
  <c r="A94" i="11"/>
  <c r="A95" i="11"/>
  <c r="A96" i="11"/>
  <c r="A97" i="11"/>
  <c r="A98" i="11"/>
  <c r="A99" i="11"/>
  <c r="A100" i="11"/>
  <c r="A101" i="11"/>
  <c r="A102" i="11"/>
  <c r="A103" i="11"/>
  <c r="A104" i="11"/>
  <c r="A105" i="11"/>
  <c r="A106" i="11"/>
  <c r="A107" i="11"/>
  <c r="A108" i="11"/>
  <c r="A109" i="11"/>
  <c r="A110" i="11"/>
  <c r="A111" i="11"/>
  <c r="A112" i="11"/>
  <c r="A113" i="11"/>
  <c r="A114" i="11"/>
  <c r="A115" i="11"/>
  <c r="A116" i="11"/>
  <c r="A117" i="11"/>
  <c r="A118" i="11"/>
  <c r="A119" i="11"/>
  <c r="A120" i="11"/>
  <c r="A121" i="11"/>
  <c r="A122" i="11"/>
  <c r="A123" i="11"/>
  <c r="A124" i="11"/>
  <c r="A125" i="11"/>
  <c r="A126" i="11"/>
  <c r="A127" i="11"/>
  <c r="A128" i="11"/>
  <c r="A129" i="11"/>
  <c r="A130" i="11"/>
  <c r="A131" i="11"/>
  <c r="A132" i="11"/>
  <c r="A133" i="11"/>
  <c r="A134" i="11"/>
  <c r="A135" i="11"/>
  <c r="A136" i="11"/>
  <c r="A137" i="11"/>
  <c r="A138" i="11"/>
  <c r="A139" i="11"/>
  <c r="A140" i="11"/>
  <c r="A141" i="11"/>
  <c r="A142" i="11"/>
  <c r="A143" i="11"/>
  <c r="A144" i="11"/>
  <c r="A145" i="11"/>
  <c r="A146" i="11"/>
  <c r="A147" i="11"/>
  <c r="A148" i="11"/>
  <c r="A149" i="11"/>
  <c r="A150" i="11"/>
  <c r="A151" i="11"/>
  <c r="A152" i="11"/>
  <c r="A153" i="11"/>
  <c r="A154" i="11"/>
  <c r="A155" i="11"/>
  <c r="A156" i="11"/>
  <c r="A157" i="11"/>
  <c r="A158" i="11"/>
  <c r="A159" i="11"/>
  <c r="A160" i="11"/>
  <c r="A161" i="11"/>
  <c r="A162" i="11"/>
  <c r="A163" i="11"/>
  <c r="A164" i="11"/>
  <c r="A165" i="11"/>
  <c r="A166" i="11"/>
  <c r="A167" i="11"/>
  <c r="A168" i="11"/>
  <c r="A169" i="11"/>
  <c r="A170" i="11"/>
  <c r="A171" i="11"/>
  <c r="A172" i="11"/>
  <c r="A173" i="11"/>
  <c r="A174" i="11"/>
  <c r="A175" i="11"/>
  <c r="A176" i="11"/>
  <c r="A177" i="11"/>
  <c r="A178" i="11"/>
  <c r="A179" i="11"/>
  <c r="A180" i="11"/>
  <c r="A181" i="11"/>
  <c r="A182" i="11"/>
  <c r="A183" i="11"/>
  <c r="A184" i="11"/>
  <c r="A185" i="11"/>
  <c r="A186" i="11"/>
  <c r="A187" i="11"/>
  <c r="A188" i="11"/>
  <c r="A189" i="11"/>
  <c r="A190" i="11"/>
  <c r="A191" i="11"/>
  <c r="A192" i="11"/>
  <c r="A193" i="11"/>
  <c r="A194" i="11"/>
  <c r="A195" i="11"/>
  <c r="A196" i="11"/>
  <c r="A197" i="11"/>
  <c r="A198" i="11"/>
  <c r="A199" i="11"/>
  <c r="A200" i="11"/>
  <c r="A201" i="11"/>
  <c r="A202" i="11"/>
  <c r="A203" i="11"/>
  <c r="A204" i="11"/>
  <c r="A205" i="11"/>
  <c r="A206" i="11"/>
  <c r="A207" i="11"/>
  <c r="A208" i="11"/>
  <c r="A209" i="11"/>
  <c r="A210" i="11"/>
  <c r="A211" i="11"/>
  <c r="A212" i="11"/>
  <c r="A213" i="11"/>
  <c r="A214" i="11"/>
  <c r="A215" i="11"/>
  <c r="A216" i="11"/>
  <c r="A217" i="11"/>
  <c r="A218" i="11"/>
  <c r="A219" i="11"/>
  <c r="A220" i="11"/>
  <c r="A221" i="11"/>
  <c r="A222" i="11"/>
  <c r="A223" i="11"/>
  <c r="A224" i="11"/>
  <c r="A225" i="11"/>
  <c r="A226" i="11"/>
  <c r="A227" i="11"/>
  <c r="A228" i="11"/>
  <c r="A229" i="11"/>
  <c r="A230" i="11"/>
  <c r="A231" i="11"/>
  <c r="A232" i="11"/>
  <c r="A233" i="11"/>
  <c r="A234" i="11"/>
  <c r="A235" i="11"/>
  <c r="A236" i="11"/>
  <c r="A237" i="11"/>
  <c r="A238" i="11"/>
  <c r="A239" i="11"/>
  <c r="A240" i="11"/>
  <c r="A241" i="11"/>
  <c r="A242" i="11"/>
  <c r="A243" i="11"/>
  <c r="A244" i="11"/>
  <c r="A245" i="11"/>
  <c r="A246" i="11"/>
  <c r="A247" i="11"/>
  <c r="A248" i="11"/>
  <c r="A249" i="11"/>
  <c r="A250" i="11"/>
  <c r="A251" i="11"/>
  <c r="A252" i="11"/>
  <c r="A253" i="11"/>
  <c r="A254" i="11"/>
  <c r="A255" i="11"/>
  <c r="A256" i="11"/>
  <c r="A257" i="11"/>
  <c r="A258" i="11"/>
  <c r="A259" i="11"/>
  <c r="A260" i="11"/>
  <c r="A261" i="11"/>
  <c r="A262" i="11"/>
  <c r="A263" i="11"/>
  <c r="A264" i="11"/>
  <c r="A265" i="11"/>
  <c r="A266" i="11"/>
  <c r="A267" i="11"/>
  <c r="A268" i="11"/>
  <c r="A269" i="11"/>
  <c r="A270" i="11"/>
  <c r="A271" i="11"/>
  <c r="A272" i="11"/>
  <c r="A273" i="11"/>
  <c r="A274" i="11"/>
  <c r="A275" i="11"/>
  <c r="A276" i="11"/>
  <c r="A277" i="11"/>
  <c r="A278" i="11"/>
  <c r="A279" i="11"/>
  <c r="A280" i="11"/>
  <c r="A281" i="11"/>
  <c r="A282" i="11"/>
  <c r="A283" i="11"/>
  <c r="A284" i="11"/>
  <c r="A285" i="11"/>
  <c r="A286" i="11"/>
  <c r="A287" i="11"/>
  <c r="A288" i="11"/>
  <c r="A289" i="11"/>
  <c r="A290" i="11"/>
  <c r="A291" i="11"/>
  <c r="A292" i="11"/>
  <c r="A293" i="11"/>
  <c r="A294" i="11"/>
  <c r="A295" i="11"/>
  <c r="A296" i="11"/>
  <c r="A297" i="11"/>
  <c r="A298" i="11"/>
  <c r="A299" i="11"/>
  <c r="A300" i="11"/>
  <c r="A301" i="11"/>
  <c r="A302" i="11"/>
  <c r="A303" i="11"/>
  <c r="A304" i="11"/>
  <c r="A305" i="11"/>
  <c r="A306" i="11"/>
  <c r="A307" i="11"/>
  <c r="A308" i="11"/>
  <c r="A309" i="11"/>
  <c r="A310" i="11"/>
  <c r="A311" i="11"/>
  <c r="A312" i="11"/>
  <c r="A313" i="11"/>
  <c r="A314" i="11"/>
  <c r="A315" i="11"/>
  <c r="A316" i="11"/>
  <c r="A317" i="11"/>
  <c r="A318" i="11"/>
  <c r="A319" i="11"/>
  <c r="A320" i="11"/>
  <c r="A321" i="11"/>
  <c r="A322" i="11"/>
  <c r="A323" i="11"/>
  <c r="A324" i="11"/>
  <c r="A325" i="11"/>
  <c r="A326" i="11"/>
  <c r="A327" i="11"/>
  <c r="A328" i="11"/>
  <c r="A329" i="11"/>
  <c r="A330" i="11"/>
  <c r="A331" i="11"/>
  <c r="A332" i="11"/>
  <c r="A333" i="11"/>
  <c r="A334" i="11"/>
  <c r="A335" i="11"/>
  <c r="A336" i="11"/>
  <c r="A337" i="11"/>
  <c r="A338" i="11"/>
  <c r="A339" i="11"/>
  <c r="A340" i="11"/>
  <c r="A341" i="11"/>
  <c r="A342" i="11"/>
  <c r="A343" i="11"/>
  <c r="A344" i="11"/>
  <c r="A345" i="11"/>
  <c r="A346" i="11"/>
  <c r="A347" i="11"/>
  <c r="A348" i="11"/>
  <c r="A349" i="11"/>
  <c r="A350" i="11"/>
  <c r="A351" i="11"/>
  <c r="A352" i="11"/>
  <c r="A353" i="11"/>
  <c r="A354" i="11"/>
  <c r="A355" i="11"/>
  <c r="A356" i="11"/>
  <c r="A357" i="11"/>
  <c r="A358" i="11"/>
  <c r="A359" i="11"/>
  <c r="A360" i="11"/>
  <c r="A361" i="11"/>
  <c r="A362" i="11"/>
  <c r="A363" i="11"/>
  <c r="A364" i="11"/>
  <c r="A365" i="11"/>
  <c r="A366" i="11"/>
  <c r="A367" i="11"/>
  <c r="A368" i="11"/>
  <c r="A369" i="11"/>
  <c r="A370" i="11"/>
  <c r="A371" i="11"/>
  <c r="A372" i="11"/>
  <c r="A373" i="11"/>
  <c r="A374" i="11"/>
  <c r="A375" i="11"/>
  <c r="A376" i="11"/>
  <c r="A377" i="11"/>
  <c r="A378" i="11"/>
  <c r="A379" i="11"/>
  <c r="A380" i="11"/>
  <c r="A381" i="11"/>
  <c r="A382" i="11"/>
  <c r="A383" i="11"/>
  <c r="A384" i="11"/>
  <c r="A385" i="11"/>
  <c r="A386" i="11"/>
  <c r="A387" i="11"/>
  <c r="A388" i="11"/>
  <c r="A389" i="11"/>
  <c r="A390" i="11"/>
  <c r="A391" i="11"/>
  <c r="A392" i="11"/>
  <c r="A393" i="11"/>
  <c r="A394" i="11"/>
  <c r="A395" i="11"/>
  <c r="A396" i="11"/>
  <c r="A397" i="11"/>
  <c r="A398" i="11"/>
  <c r="A399" i="11"/>
  <c r="A400" i="11"/>
  <c r="A401" i="11"/>
  <c r="A402" i="11"/>
  <c r="A403" i="11"/>
  <c r="A404" i="11"/>
  <c r="A405" i="11"/>
  <c r="A406" i="11"/>
  <c r="A407" i="11"/>
  <c r="A408" i="11"/>
  <c r="A409" i="11"/>
  <c r="A410" i="11"/>
  <c r="A411" i="11"/>
  <c r="A412" i="11"/>
  <c r="A413" i="11"/>
  <c r="A414" i="11"/>
  <c r="A415" i="11"/>
  <c r="A416" i="11"/>
  <c r="A417" i="11"/>
  <c r="A418" i="11"/>
  <c r="A419" i="11"/>
  <c r="A420" i="11"/>
  <c r="A421" i="11"/>
  <c r="A422" i="11"/>
  <c r="A423" i="11"/>
  <c r="A424" i="11"/>
  <c r="A425" i="11"/>
  <c r="A426" i="11"/>
  <c r="A427" i="11"/>
  <c r="A428" i="11"/>
  <c r="A429" i="11"/>
  <c r="A430" i="11"/>
  <c r="A431" i="11"/>
  <c r="A432" i="11"/>
  <c r="A433" i="11"/>
  <c r="A434" i="11"/>
  <c r="A435" i="11"/>
  <c r="A436" i="11"/>
  <c r="A437" i="11"/>
  <c r="A438" i="11"/>
  <c r="A439" i="11"/>
  <c r="A440" i="11"/>
  <c r="A441" i="11"/>
  <c r="A442" i="11"/>
  <c r="A443" i="11"/>
  <c r="A444" i="11"/>
  <c r="A445" i="11"/>
  <c r="A446" i="11"/>
  <c r="A447" i="11"/>
  <c r="A448" i="11"/>
  <c r="A449" i="11"/>
  <c r="A450" i="11"/>
  <c r="A451" i="11"/>
  <c r="A452" i="11"/>
  <c r="A453" i="11"/>
  <c r="A454" i="11"/>
  <c r="A455" i="11"/>
  <c r="A456" i="11"/>
  <c r="A457" i="11"/>
  <c r="A458" i="11"/>
  <c r="A459" i="11"/>
  <c r="A460" i="11"/>
  <c r="A461" i="11"/>
  <c r="A462" i="11"/>
  <c r="A463" i="11"/>
  <c r="A464" i="11"/>
  <c r="A465" i="11"/>
  <c r="A466" i="11"/>
  <c r="A467" i="11"/>
  <c r="A468" i="11"/>
  <c r="A469" i="11"/>
  <c r="A470" i="11"/>
  <c r="A471" i="11"/>
  <c r="A472" i="11"/>
  <c r="A473" i="11"/>
  <c r="A474" i="11"/>
  <c r="A475" i="11"/>
  <c r="A476" i="11"/>
  <c r="A477" i="11"/>
  <c r="A478" i="11"/>
  <c r="A479" i="11"/>
  <c r="A480" i="11"/>
  <c r="A481" i="11"/>
  <c r="A482" i="11"/>
  <c r="A483" i="11"/>
  <c r="A484" i="11"/>
  <c r="A485" i="11"/>
  <c r="A486" i="11"/>
  <c r="A487" i="11"/>
  <c r="A488" i="11"/>
  <c r="A489" i="11"/>
  <c r="A490" i="11"/>
  <c r="A491" i="11"/>
  <c r="A492" i="11"/>
  <c r="A493" i="11"/>
  <c r="A494" i="11"/>
  <c r="A495" i="11"/>
  <c r="A496" i="11"/>
  <c r="A497" i="11"/>
  <c r="A498" i="11"/>
  <c r="A499" i="11"/>
  <c r="A500" i="11"/>
  <c r="A501" i="11"/>
  <c r="A502" i="11"/>
  <c r="A503" i="11"/>
  <c r="A504" i="11"/>
  <c r="A505" i="11"/>
  <c r="A506" i="11"/>
  <c r="A507" i="11"/>
  <c r="A508" i="11"/>
  <c r="A509" i="11"/>
  <c r="A510" i="11"/>
  <c r="A511" i="11"/>
  <c r="A512" i="11"/>
  <c r="A513" i="11"/>
  <c r="A514" i="11"/>
  <c r="A515" i="11"/>
  <c r="A516" i="11"/>
  <c r="A517" i="11"/>
  <c r="A518" i="11"/>
  <c r="A519" i="11"/>
  <c r="A520" i="11"/>
  <c r="A521" i="11"/>
  <c r="A522" i="11"/>
  <c r="A523" i="11"/>
  <c r="A524" i="11"/>
  <c r="A525" i="11"/>
  <c r="A526" i="11"/>
  <c r="A527" i="11"/>
  <c r="A528" i="11"/>
  <c r="A529" i="11"/>
  <c r="A530" i="11"/>
  <c r="A531" i="11"/>
  <c r="A532" i="11"/>
  <c r="A533" i="11"/>
  <c r="A534" i="11"/>
  <c r="A535" i="11"/>
  <c r="A536" i="11"/>
  <c r="A537" i="11"/>
  <c r="A538" i="11"/>
  <c r="A539" i="11"/>
  <c r="A540" i="11"/>
  <c r="A541" i="11"/>
  <c r="A542" i="11"/>
  <c r="A543" i="11"/>
  <c r="A544" i="11"/>
  <c r="A545" i="11"/>
  <c r="A546" i="11"/>
  <c r="A547" i="11"/>
  <c r="A548" i="11"/>
  <c r="A549" i="11"/>
  <c r="A550" i="11"/>
  <c r="A551" i="11"/>
  <c r="A552" i="11"/>
  <c r="A553" i="11"/>
  <c r="A554" i="11"/>
  <c r="A555" i="11"/>
  <c r="A556" i="11"/>
  <c r="A557" i="11"/>
  <c r="A558" i="11"/>
  <c r="A559" i="11"/>
  <c r="A560" i="11"/>
  <c r="A561" i="11"/>
  <c r="A562" i="11"/>
  <c r="A563" i="11"/>
  <c r="A564" i="11"/>
  <c r="A565" i="11"/>
  <c r="A566" i="11"/>
  <c r="A567" i="11"/>
  <c r="A568" i="11"/>
  <c r="A569" i="11"/>
  <c r="A570" i="11"/>
  <c r="A571" i="11"/>
  <c r="A572" i="11"/>
  <c r="A573" i="11"/>
  <c r="A574" i="11"/>
  <c r="A575" i="11"/>
  <c r="A576" i="11"/>
  <c r="A577" i="11"/>
  <c r="A578" i="11"/>
  <c r="A579" i="11"/>
  <c r="A580" i="11"/>
  <c r="A581" i="11"/>
  <c r="A582" i="11"/>
  <c r="A583" i="11"/>
  <c r="A584" i="11"/>
  <c r="A585" i="11"/>
  <c r="A586" i="11"/>
  <c r="A587" i="11"/>
  <c r="A588" i="11"/>
  <c r="A589" i="11"/>
  <c r="A590" i="11"/>
  <c r="A591" i="11"/>
  <c r="A592" i="11"/>
  <c r="A593" i="11"/>
  <c r="A594" i="11"/>
  <c r="A595" i="11"/>
  <c r="A596" i="11"/>
  <c r="A597" i="11"/>
  <c r="A598" i="11"/>
  <c r="A599" i="11"/>
  <c r="A600" i="11"/>
  <c r="A601" i="11"/>
  <c r="A602" i="11"/>
  <c r="A603" i="11"/>
  <c r="A604" i="11"/>
  <c r="A605" i="11"/>
  <c r="A606" i="11"/>
  <c r="A607" i="11"/>
  <c r="A608" i="11"/>
  <c r="A609" i="11"/>
  <c r="A610" i="11"/>
  <c r="A611" i="11"/>
  <c r="A612" i="11"/>
  <c r="A613" i="11"/>
  <c r="A614" i="11"/>
  <c r="A615" i="11"/>
  <c r="A616" i="11"/>
  <c r="A617" i="11"/>
  <c r="A618" i="11"/>
  <c r="A619" i="11"/>
  <c r="A620" i="11"/>
  <c r="A621" i="11"/>
  <c r="A622" i="11"/>
  <c r="A623" i="11"/>
  <c r="A624" i="11"/>
  <c r="A625" i="11"/>
  <c r="A626" i="11"/>
  <c r="A627" i="11"/>
  <c r="A628" i="11"/>
  <c r="A629" i="11"/>
  <c r="A630" i="11"/>
  <c r="A631" i="11"/>
  <c r="A632" i="11"/>
  <c r="A633" i="11"/>
  <c r="A634" i="11"/>
  <c r="A635" i="11"/>
  <c r="A636" i="11"/>
  <c r="A637" i="11"/>
  <c r="A638" i="11"/>
  <c r="A639" i="11"/>
  <c r="A640" i="11"/>
  <c r="A641" i="11"/>
  <c r="A642" i="11"/>
  <c r="A643" i="11"/>
  <c r="A644" i="11"/>
  <c r="A645" i="11"/>
  <c r="A646" i="11"/>
  <c r="A647" i="11"/>
  <c r="A648" i="11"/>
  <c r="A649" i="11"/>
  <c r="A650" i="11"/>
  <c r="A651" i="11"/>
  <c r="A652" i="11"/>
  <c r="A653" i="11"/>
  <c r="A654" i="11"/>
  <c r="A655" i="11"/>
  <c r="A656" i="11"/>
  <c r="A657" i="11"/>
  <c r="A658" i="11"/>
  <c r="A659" i="11"/>
  <c r="A660" i="11"/>
  <c r="A661" i="11"/>
  <c r="A662" i="11"/>
  <c r="A663" i="11"/>
  <c r="A664" i="11"/>
  <c r="A665" i="11"/>
  <c r="A666" i="11"/>
  <c r="A667" i="11"/>
  <c r="A668" i="11"/>
  <c r="A669" i="11"/>
  <c r="A670" i="11"/>
  <c r="A671" i="11"/>
  <c r="A672" i="11"/>
  <c r="A673" i="11"/>
  <c r="A674" i="11"/>
  <c r="A675" i="11"/>
  <c r="A676" i="11"/>
  <c r="A677" i="11"/>
  <c r="A678" i="11"/>
  <c r="A679" i="11"/>
  <c r="A680" i="11"/>
  <c r="A681" i="11"/>
  <c r="A682" i="11"/>
  <c r="A683" i="11"/>
  <c r="A684" i="11"/>
  <c r="A685" i="11"/>
  <c r="A686" i="11"/>
  <c r="A687" i="11"/>
  <c r="A688" i="11"/>
  <c r="A689" i="11"/>
  <c r="A690" i="11"/>
  <c r="A691" i="11"/>
  <c r="A692" i="11"/>
  <c r="A693" i="11"/>
  <c r="A694" i="11"/>
  <c r="A695" i="11"/>
  <c r="A696" i="11"/>
  <c r="A697" i="11"/>
  <c r="A698" i="11"/>
  <c r="A699" i="11"/>
  <c r="A700" i="11"/>
  <c r="A701" i="11"/>
  <c r="A702" i="11"/>
  <c r="A703" i="11"/>
  <c r="A704" i="11"/>
  <c r="A705" i="11"/>
  <c r="A706" i="11"/>
  <c r="A707" i="11"/>
  <c r="A708" i="11"/>
  <c r="A709" i="11"/>
  <c r="A710" i="11"/>
  <c r="A711" i="11"/>
  <c r="A712" i="11"/>
  <c r="A713" i="11"/>
  <c r="A714" i="11"/>
  <c r="A715" i="11"/>
  <c r="A716" i="11"/>
  <c r="A717" i="11"/>
  <c r="A718" i="11"/>
  <c r="A719" i="11"/>
  <c r="A720" i="11"/>
  <c r="A721" i="11"/>
  <c r="A722" i="11"/>
  <c r="A723" i="11"/>
  <c r="A724" i="11"/>
  <c r="A725" i="11"/>
  <c r="A726" i="11"/>
  <c r="A727" i="11"/>
  <c r="A728" i="11"/>
  <c r="A729" i="11"/>
  <c r="A730" i="11"/>
  <c r="A731" i="11"/>
  <c r="A732" i="11"/>
  <c r="A733" i="11"/>
  <c r="A734" i="11"/>
  <c r="A735" i="11"/>
  <c r="A736" i="11"/>
  <c r="A737" i="11"/>
  <c r="A738" i="11"/>
  <c r="A739" i="11"/>
  <c r="A740" i="11"/>
  <c r="A741" i="11"/>
  <c r="A742" i="11"/>
  <c r="A743" i="11"/>
  <c r="A744" i="11"/>
  <c r="A745" i="11"/>
  <c r="A746" i="11"/>
  <c r="A747" i="11"/>
  <c r="A748" i="11"/>
  <c r="A749" i="11"/>
  <c r="A750" i="11"/>
  <c r="A751" i="11"/>
  <c r="A752" i="11"/>
  <c r="A753" i="11"/>
  <c r="A754" i="11"/>
  <c r="A755" i="11"/>
  <c r="A756" i="11"/>
  <c r="A757" i="11"/>
  <c r="A758" i="11"/>
  <c r="A759" i="11"/>
  <c r="A760" i="11"/>
  <c r="A761" i="11"/>
  <c r="A762" i="11"/>
  <c r="A763" i="11"/>
  <c r="A764" i="11"/>
  <c r="A765" i="11"/>
  <c r="A766" i="11"/>
  <c r="A767" i="11"/>
  <c r="A768" i="11"/>
  <c r="A769" i="11"/>
  <c r="A770" i="11"/>
  <c r="A771" i="11"/>
  <c r="A772" i="11"/>
  <c r="A773" i="11"/>
  <c r="A774" i="11"/>
  <c r="A775" i="11"/>
  <c r="A776" i="11"/>
  <c r="A777" i="11"/>
  <c r="A778" i="11"/>
  <c r="A779" i="11"/>
  <c r="A780" i="11"/>
  <c r="A781" i="11"/>
  <c r="A782" i="11"/>
  <c r="A783" i="11"/>
  <c r="A784" i="11"/>
  <c r="A785" i="11"/>
  <c r="A786" i="11"/>
  <c r="A787" i="11"/>
  <c r="A788" i="11"/>
  <c r="A789" i="11"/>
  <c r="A790" i="11"/>
  <c r="A791" i="11"/>
  <c r="A792" i="11"/>
  <c r="A793" i="11"/>
  <c r="A794" i="11"/>
  <c r="A795" i="11"/>
  <c r="A796" i="11"/>
  <c r="A797" i="11"/>
  <c r="A798" i="11"/>
  <c r="A799" i="11"/>
  <c r="A800" i="11"/>
  <c r="A801" i="11"/>
  <c r="A802" i="11"/>
  <c r="A803" i="11"/>
  <c r="A804" i="11"/>
  <c r="A805" i="11"/>
  <c r="A806" i="11"/>
  <c r="A807" i="11"/>
  <c r="A808" i="11"/>
  <c r="A809" i="11"/>
  <c r="A810" i="11"/>
  <c r="A811" i="11"/>
  <c r="A812" i="11"/>
  <c r="A813" i="11"/>
  <c r="A814" i="11"/>
  <c r="A815" i="11"/>
  <c r="A816" i="11"/>
  <c r="A817" i="11"/>
  <c r="A818" i="11"/>
  <c r="A819" i="11"/>
  <c r="A820" i="11"/>
  <c r="A821" i="11"/>
  <c r="A822" i="11"/>
  <c r="A823" i="11"/>
  <c r="A824" i="11"/>
  <c r="A825" i="11"/>
  <c r="A826" i="11"/>
  <c r="A827" i="11"/>
  <c r="A828" i="11"/>
  <c r="A829" i="11"/>
  <c r="A830" i="11"/>
  <c r="A831" i="11"/>
  <c r="A832" i="11"/>
  <c r="A833" i="11"/>
  <c r="A834" i="11"/>
  <c r="A835" i="11"/>
  <c r="A836" i="11"/>
  <c r="A837" i="11"/>
  <c r="A838" i="11"/>
  <c r="A839" i="11"/>
  <c r="A840" i="11"/>
  <c r="A841" i="11"/>
  <c r="A842" i="11"/>
  <c r="A843" i="11"/>
  <c r="A844" i="11"/>
  <c r="A845" i="11"/>
  <c r="A846" i="11"/>
  <c r="A847" i="11"/>
  <c r="A848" i="11"/>
  <c r="A849" i="11"/>
  <c r="A850" i="11"/>
  <c r="A851" i="11"/>
  <c r="A852" i="11"/>
  <c r="A853" i="11"/>
  <c r="A854" i="11"/>
  <c r="A855" i="11"/>
  <c r="A856" i="11"/>
  <c r="A857" i="11"/>
  <c r="A858" i="11"/>
  <c r="A859" i="11"/>
  <c r="A860" i="11"/>
  <c r="A861" i="11"/>
  <c r="A862" i="11"/>
  <c r="A863" i="11"/>
  <c r="A864" i="11"/>
  <c r="A865" i="11"/>
  <c r="A866" i="11"/>
  <c r="A867" i="11"/>
  <c r="A868" i="11"/>
  <c r="A869" i="11"/>
  <c r="A870" i="11"/>
  <c r="A871" i="11"/>
  <c r="A872" i="11"/>
  <c r="A873" i="11"/>
  <c r="A874" i="11"/>
  <c r="A875" i="11"/>
  <c r="A876" i="11"/>
  <c r="A877" i="11"/>
  <c r="A878" i="11"/>
  <c r="A879" i="11"/>
  <c r="A880" i="11"/>
  <c r="A881" i="11"/>
  <c r="A882" i="11"/>
  <c r="A883" i="11"/>
  <c r="A884" i="11"/>
  <c r="A885" i="11"/>
  <c r="A886" i="11"/>
  <c r="A887" i="11"/>
  <c r="A888" i="11"/>
  <c r="A889" i="11"/>
  <c r="A890" i="11"/>
  <c r="A891" i="11"/>
  <c r="A892" i="11"/>
  <c r="A893" i="11"/>
  <c r="A894" i="11"/>
  <c r="A895" i="11"/>
  <c r="A896" i="11"/>
  <c r="A897" i="11"/>
  <c r="A898" i="11"/>
  <c r="A899" i="11"/>
  <c r="A900" i="11"/>
  <c r="A901" i="11"/>
  <c r="A902" i="11"/>
  <c r="A903" i="11"/>
  <c r="A904" i="11"/>
  <c r="A905" i="11"/>
  <c r="A906" i="11"/>
  <c r="A907" i="11"/>
  <c r="A908" i="11"/>
  <c r="A909" i="11"/>
  <c r="A910" i="11"/>
  <c r="A911" i="11"/>
  <c r="A912" i="11"/>
  <c r="A913" i="11"/>
  <c r="A914" i="11"/>
  <c r="A915" i="11"/>
  <c r="A916" i="11"/>
  <c r="A917" i="11"/>
  <c r="A918" i="11"/>
  <c r="A919" i="11"/>
  <c r="A920" i="11"/>
  <c r="A921" i="11"/>
  <c r="A922" i="11"/>
  <c r="A923" i="11"/>
  <c r="A924" i="11"/>
  <c r="A925" i="11"/>
  <c r="A926" i="11"/>
  <c r="A927" i="11"/>
  <c r="A928" i="11"/>
  <c r="A929" i="11"/>
  <c r="A930" i="11"/>
  <c r="A931" i="11"/>
  <c r="A932" i="11"/>
  <c r="A933" i="11"/>
  <c r="A934" i="11"/>
  <c r="A935" i="11"/>
  <c r="A936" i="11"/>
  <c r="A937" i="11"/>
  <c r="A938" i="11"/>
  <c r="A939" i="11"/>
  <c r="A940" i="11"/>
  <c r="A941" i="11"/>
  <c r="A942" i="11"/>
  <c r="A943" i="11"/>
  <c r="A944" i="11"/>
  <c r="A945" i="11"/>
  <c r="A946" i="11"/>
  <c r="A947" i="11"/>
  <c r="A948" i="11"/>
  <c r="A949" i="11"/>
  <c r="A950" i="11"/>
  <c r="A951" i="11"/>
  <c r="A952" i="11"/>
  <c r="A953" i="11"/>
  <c r="A954" i="11"/>
  <c r="A955" i="11"/>
  <c r="A956" i="11"/>
  <c r="A957" i="11"/>
  <c r="A958" i="11"/>
  <c r="A959" i="11"/>
  <c r="A960" i="11"/>
  <c r="A961" i="11"/>
  <c r="A962" i="11"/>
  <c r="A963" i="11"/>
  <c r="A964" i="11"/>
  <c r="A965" i="11"/>
  <c r="A966" i="11"/>
  <c r="A967" i="11"/>
  <c r="A968" i="11"/>
  <c r="A969" i="11"/>
  <c r="A970" i="11"/>
  <c r="A971" i="11"/>
  <c r="A972" i="11"/>
  <c r="A973" i="11"/>
  <c r="A974" i="11"/>
  <c r="A975" i="11"/>
  <c r="A976" i="11"/>
  <c r="A977" i="11"/>
  <c r="A978" i="11"/>
  <c r="A979" i="11"/>
  <c r="A980" i="11"/>
  <c r="A981" i="11"/>
  <c r="A982" i="11"/>
  <c r="A983" i="11"/>
  <c r="A984" i="11"/>
  <c r="A985" i="11"/>
  <c r="A986" i="11"/>
  <c r="A987" i="11"/>
  <c r="A988" i="11"/>
  <c r="A989" i="11"/>
  <c r="A990" i="11"/>
  <c r="A991" i="11"/>
  <c r="A992" i="11"/>
  <c r="A993" i="11"/>
  <c r="A994" i="11"/>
  <c r="A995" i="11"/>
  <c r="A996" i="11"/>
  <c r="A997" i="11"/>
  <c r="A998" i="11"/>
  <c r="A999" i="11"/>
  <c r="A1000" i="11"/>
  <c r="A1001" i="11"/>
  <c r="A1002" i="11"/>
  <c r="A1003" i="11"/>
  <c r="A1004" i="11"/>
  <c r="A1005" i="11"/>
  <c r="A1006" i="11"/>
  <c r="A1007" i="11"/>
  <c r="A1008" i="11"/>
  <c r="A1009" i="11"/>
  <c r="A1010" i="11"/>
  <c r="A1011" i="11"/>
  <c r="A1012" i="11"/>
  <c r="A1013" i="11"/>
  <c r="A1014" i="11"/>
  <c r="A1015" i="11"/>
  <c r="A1016" i="11"/>
  <c r="A1017" i="11"/>
  <c r="A1018" i="11"/>
  <c r="A1019" i="11"/>
  <c r="A1020" i="11"/>
  <c r="A1021" i="11"/>
  <c r="A1022" i="11"/>
  <c r="A1023" i="11"/>
  <c r="A1024" i="11"/>
  <c r="A1025" i="11"/>
  <c r="A1026" i="11"/>
  <c r="A1027" i="11"/>
  <c r="A1028" i="11"/>
  <c r="A1029" i="11"/>
  <c r="A1030" i="11"/>
  <c r="A1031" i="11"/>
  <c r="A1032" i="11"/>
  <c r="A1033" i="11"/>
  <c r="A1034" i="11"/>
  <c r="A1035" i="11"/>
  <c r="A1036" i="11"/>
  <c r="A1037" i="11"/>
  <c r="A1038" i="11"/>
  <c r="A1039" i="11"/>
  <c r="A1040" i="11"/>
  <c r="A1041" i="11"/>
  <c r="A1042" i="11"/>
  <c r="A1043" i="11"/>
  <c r="A1044" i="11"/>
  <c r="A1045" i="11"/>
  <c r="A1046" i="11"/>
  <c r="A1047" i="11"/>
  <c r="A1048" i="11"/>
  <c r="A1049" i="11"/>
  <c r="A1050" i="11"/>
  <c r="A1051" i="11"/>
  <c r="A1052" i="11"/>
  <c r="A1053" i="11"/>
  <c r="A1054" i="11"/>
  <c r="A1055" i="11"/>
  <c r="A1056" i="11"/>
  <c r="A1057" i="11"/>
  <c r="A1058" i="11"/>
  <c r="A1059" i="11"/>
  <c r="A1060" i="11"/>
  <c r="A1061" i="11"/>
  <c r="A1062" i="11"/>
  <c r="A1063" i="11"/>
  <c r="A1064" i="11"/>
  <c r="A1065" i="11"/>
  <c r="A1066" i="11"/>
  <c r="A1067" i="11"/>
  <c r="A1068" i="11"/>
  <c r="A1069" i="11"/>
  <c r="A1070" i="11"/>
  <c r="A1071" i="11"/>
  <c r="A1072" i="11"/>
  <c r="A1073" i="11"/>
  <c r="A1074" i="11"/>
  <c r="A1075" i="11"/>
  <c r="A1076" i="11"/>
  <c r="A1077" i="11"/>
  <c r="A1078" i="11"/>
  <c r="A1079" i="11"/>
  <c r="A1080" i="11"/>
  <c r="A1081" i="11"/>
  <c r="A1082" i="11"/>
  <c r="A1083" i="11"/>
  <c r="A1084" i="11"/>
  <c r="A1085" i="11"/>
  <c r="A1086" i="11"/>
  <c r="A1087" i="11"/>
  <c r="A1088" i="11"/>
  <c r="A1089" i="11"/>
  <c r="A1090" i="11"/>
  <c r="A1091" i="11"/>
  <c r="A1092" i="11"/>
  <c r="A1093" i="11"/>
  <c r="A1094" i="11"/>
  <c r="A1095" i="11"/>
  <c r="A1096" i="11"/>
  <c r="A1097" i="11"/>
  <c r="A1098" i="11"/>
  <c r="A1099" i="11"/>
  <c r="A1100" i="11"/>
  <c r="D41" i="11"/>
  <c r="D42" i="11"/>
  <c r="D43" i="11"/>
  <c r="D44" i="11"/>
  <c r="D45" i="11"/>
  <c r="D46" i="11"/>
  <c r="D47" i="11"/>
  <c r="D48" i="11"/>
  <c r="D49" i="11"/>
  <c r="D50" i="11"/>
  <c r="D51" i="11"/>
  <c r="D52" i="11"/>
  <c r="D53" i="11"/>
  <c r="D54" i="11"/>
  <c r="D55" i="11"/>
  <c r="D56" i="11"/>
  <c r="D57" i="11"/>
  <c r="D58" i="11"/>
  <c r="D59" i="11"/>
  <c r="D60" i="11"/>
  <c r="D61" i="11"/>
  <c r="D62" i="11"/>
  <c r="D63" i="11"/>
  <c r="D64" i="11"/>
  <c r="D65" i="11"/>
  <c r="D66" i="11"/>
  <c r="D67" i="11"/>
  <c r="D68" i="11"/>
  <c r="D69" i="11"/>
  <c r="D70" i="11"/>
  <c r="D71" i="11"/>
  <c r="D72" i="11"/>
  <c r="D73" i="11"/>
  <c r="D74" i="11"/>
  <c r="D75" i="11"/>
  <c r="D76" i="11"/>
  <c r="D77" i="11"/>
  <c r="D78" i="11"/>
  <c r="D79" i="11"/>
  <c r="D80" i="11"/>
  <c r="D81" i="11"/>
  <c r="D82" i="11"/>
  <c r="D83" i="11"/>
  <c r="D84" i="11"/>
  <c r="D85" i="11"/>
  <c r="D86" i="11"/>
  <c r="D87" i="11"/>
  <c r="D88" i="11"/>
  <c r="D89" i="11"/>
  <c r="D90" i="11"/>
  <c r="D91" i="11"/>
  <c r="D92" i="11"/>
  <c r="D93" i="11"/>
  <c r="D94" i="11"/>
  <c r="D95" i="11"/>
  <c r="D96" i="11"/>
  <c r="D97" i="11"/>
  <c r="D98" i="11"/>
  <c r="D99" i="11"/>
  <c r="D100" i="11"/>
  <c r="D101" i="11"/>
  <c r="D102" i="11"/>
  <c r="D103" i="11"/>
  <c r="D104" i="11"/>
  <c r="D105" i="11"/>
  <c r="D106" i="11"/>
  <c r="D107" i="11"/>
  <c r="D108" i="11"/>
  <c r="D109" i="11"/>
  <c r="D110" i="11"/>
  <c r="D111" i="11"/>
  <c r="D112" i="11"/>
  <c r="E41" i="11"/>
  <c r="E42" i="11"/>
  <c r="E43" i="11"/>
  <c r="E44" i="11"/>
  <c r="E45" i="11"/>
  <c r="E46" i="11"/>
  <c r="E47" i="11"/>
  <c r="E48" i="11"/>
  <c r="E49" i="11"/>
  <c r="E50" i="11"/>
  <c r="E51" i="11"/>
  <c r="E52" i="11"/>
  <c r="E53" i="11"/>
  <c r="E54" i="11"/>
  <c r="E55" i="11"/>
  <c r="E56" i="11"/>
  <c r="E57" i="11"/>
  <c r="E58" i="11"/>
  <c r="E59" i="11"/>
  <c r="E60" i="11"/>
  <c r="E61" i="11"/>
  <c r="E62" i="11"/>
  <c r="E63" i="11"/>
  <c r="E64" i="11"/>
  <c r="E65" i="11"/>
  <c r="E66" i="11"/>
  <c r="E67" i="11"/>
  <c r="E68" i="11"/>
  <c r="E69" i="11"/>
  <c r="E70" i="11"/>
  <c r="E71" i="11"/>
  <c r="E72" i="11"/>
  <c r="E73" i="11"/>
  <c r="E74" i="11"/>
  <c r="E75" i="11"/>
  <c r="E76" i="11"/>
  <c r="E77" i="11"/>
  <c r="E78" i="11"/>
  <c r="E79" i="11"/>
  <c r="E80" i="11"/>
  <c r="E81" i="11"/>
  <c r="E82" i="11"/>
  <c r="E83" i="11"/>
  <c r="E84" i="11"/>
  <c r="E85" i="11"/>
  <c r="E86" i="11"/>
  <c r="E87" i="11"/>
  <c r="E88" i="11"/>
  <c r="E89" i="11"/>
  <c r="E90" i="11"/>
  <c r="E91" i="11"/>
  <c r="E92" i="11"/>
  <c r="E93" i="11"/>
  <c r="E94" i="11"/>
  <c r="E95" i="11"/>
  <c r="E96" i="11"/>
  <c r="E97" i="11"/>
  <c r="E98" i="11"/>
  <c r="E99" i="11"/>
  <c r="E100" i="11"/>
  <c r="E101" i="11"/>
  <c r="E102" i="11"/>
  <c r="E103" i="11"/>
  <c r="E104" i="11"/>
  <c r="E105" i="11"/>
  <c r="E106" i="11"/>
  <c r="E107" i="11"/>
  <c r="E108" i="11"/>
  <c r="E109" i="11"/>
  <c r="E110" i="11"/>
  <c r="E111" i="11"/>
  <c r="E112" i="11"/>
  <c r="G41" i="11"/>
  <c r="G42" i="11"/>
  <c r="G43" i="11"/>
  <c r="G44" i="11"/>
  <c r="G45" i="11"/>
  <c r="G47" i="11"/>
  <c r="G48" i="11"/>
  <c r="G49" i="11"/>
  <c r="G50" i="11"/>
  <c r="G51" i="11"/>
  <c r="G52" i="11"/>
  <c r="G53" i="11"/>
  <c r="G55" i="11"/>
  <c r="G56" i="11"/>
  <c r="G57" i="11"/>
  <c r="G58" i="11"/>
  <c r="G59" i="11"/>
  <c r="G60" i="11"/>
  <c r="G61" i="11"/>
  <c r="G63" i="11"/>
  <c r="G64" i="11"/>
  <c r="G65" i="11"/>
  <c r="G66" i="11"/>
  <c r="G67" i="11"/>
  <c r="G68" i="11"/>
  <c r="G69" i="11"/>
  <c r="G71" i="11"/>
  <c r="G72" i="11"/>
  <c r="G73" i="11"/>
  <c r="G74" i="11"/>
  <c r="G75" i="11"/>
  <c r="G76" i="11"/>
  <c r="G77" i="11"/>
  <c r="G79" i="11"/>
  <c r="G80" i="11"/>
  <c r="G81" i="11"/>
  <c r="G82" i="11"/>
  <c r="G83" i="11"/>
  <c r="G84" i="11"/>
  <c r="G85" i="11"/>
  <c r="G87" i="11"/>
  <c r="G88" i="11"/>
  <c r="G89" i="11"/>
  <c r="G90" i="11"/>
  <c r="G91" i="11"/>
  <c r="G92" i="11"/>
  <c r="G93" i="11"/>
  <c r="G95" i="11"/>
  <c r="G96" i="11"/>
  <c r="G97" i="11"/>
  <c r="G98" i="11"/>
  <c r="G99" i="11"/>
  <c r="G100" i="11"/>
  <c r="G101" i="11"/>
  <c r="G103" i="11"/>
  <c r="G104" i="11"/>
  <c r="G105" i="11"/>
  <c r="G106" i="11"/>
  <c r="G107" i="11"/>
  <c r="G108" i="11"/>
  <c r="G109" i="11"/>
  <c r="G111" i="11"/>
  <c r="G112" i="11"/>
  <c r="I41" i="11"/>
  <c r="L41" i="11" s="1"/>
  <c r="I42" i="11"/>
  <c r="L42" i="11" s="1"/>
  <c r="I43" i="11"/>
  <c r="L43" i="11" s="1"/>
  <c r="I44" i="11"/>
  <c r="L44" i="11" s="1"/>
  <c r="I45" i="11"/>
  <c r="L45" i="11" s="1"/>
  <c r="I46" i="11"/>
  <c r="L46" i="11" s="1"/>
  <c r="I47" i="11"/>
  <c r="L47" i="11" s="1"/>
  <c r="I48" i="11"/>
  <c r="L48" i="11" s="1"/>
  <c r="I49" i="11"/>
  <c r="L49" i="11" s="1"/>
  <c r="I50" i="11"/>
  <c r="L50" i="11" s="1"/>
  <c r="I51" i="11"/>
  <c r="L51" i="11" s="1"/>
  <c r="I52" i="11"/>
  <c r="L52" i="11" s="1"/>
  <c r="I53" i="11"/>
  <c r="L53" i="11" s="1"/>
  <c r="I54" i="11"/>
  <c r="L54" i="11" s="1"/>
  <c r="I55" i="11"/>
  <c r="L55" i="11" s="1"/>
  <c r="I56" i="11"/>
  <c r="L56" i="11" s="1"/>
  <c r="I57" i="11"/>
  <c r="L57" i="11" s="1"/>
  <c r="I58" i="11"/>
  <c r="L58" i="11" s="1"/>
  <c r="I59" i="11"/>
  <c r="L59" i="11" s="1"/>
  <c r="I60" i="11"/>
  <c r="L60" i="11" s="1"/>
  <c r="I61" i="11"/>
  <c r="L61" i="11" s="1"/>
  <c r="I62" i="11"/>
  <c r="L62" i="11" s="1"/>
  <c r="I63" i="11"/>
  <c r="L63" i="11" s="1"/>
  <c r="I64" i="11"/>
  <c r="L64" i="11" s="1"/>
  <c r="I65" i="11"/>
  <c r="L65" i="11" s="1"/>
  <c r="I66" i="11"/>
  <c r="L66" i="11" s="1"/>
  <c r="I67" i="11"/>
  <c r="L67" i="11" s="1"/>
  <c r="I68" i="11"/>
  <c r="L68" i="11" s="1"/>
  <c r="I69" i="11"/>
  <c r="L69" i="11" s="1"/>
  <c r="I70" i="11"/>
  <c r="L70" i="11" s="1"/>
  <c r="I71" i="11"/>
  <c r="L71" i="11" s="1"/>
  <c r="I72" i="11"/>
  <c r="L72" i="11" s="1"/>
  <c r="I73" i="11"/>
  <c r="L73" i="11" s="1"/>
  <c r="I74" i="11"/>
  <c r="L74" i="11" s="1"/>
  <c r="I75" i="11"/>
  <c r="L75" i="11" s="1"/>
  <c r="I76" i="11"/>
  <c r="L76" i="11" s="1"/>
  <c r="I77" i="11"/>
  <c r="L77" i="11" s="1"/>
  <c r="I78" i="11"/>
  <c r="L78" i="11" s="1"/>
  <c r="I79" i="11"/>
  <c r="L79" i="11" s="1"/>
  <c r="I80" i="11"/>
  <c r="L80" i="11" s="1"/>
  <c r="I81" i="11"/>
  <c r="L81" i="11" s="1"/>
  <c r="I82" i="11"/>
  <c r="L82" i="11" s="1"/>
  <c r="I83" i="11"/>
  <c r="L83" i="11" s="1"/>
  <c r="I84" i="11"/>
  <c r="L84" i="11" s="1"/>
  <c r="I85" i="11"/>
  <c r="L85" i="11" s="1"/>
  <c r="I86" i="11"/>
  <c r="L86" i="11" s="1"/>
  <c r="I87" i="11"/>
  <c r="L87" i="11" s="1"/>
  <c r="I88" i="11"/>
  <c r="L88" i="11" s="1"/>
  <c r="I89" i="11"/>
  <c r="L89" i="11" s="1"/>
  <c r="I90" i="11"/>
  <c r="L90" i="11" s="1"/>
  <c r="I91" i="11"/>
  <c r="L91" i="11" s="1"/>
  <c r="I92" i="11"/>
  <c r="L92" i="11" s="1"/>
  <c r="I93" i="11"/>
  <c r="L93" i="11" s="1"/>
  <c r="I94" i="11"/>
  <c r="L94" i="11" s="1"/>
  <c r="I95" i="11"/>
  <c r="L95" i="11" s="1"/>
  <c r="I96" i="11"/>
  <c r="L96" i="11" s="1"/>
  <c r="I97" i="11"/>
  <c r="L97" i="11" s="1"/>
  <c r="I98" i="11"/>
  <c r="L98" i="11" s="1"/>
  <c r="I99" i="11"/>
  <c r="L99" i="11" s="1"/>
  <c r="I100" i="11"/>
  <c r="L100" i="11" s="1"/>
  <c r="I101" i="11"/>
  <c r="L101" i="11" s="1"/>
  <c r="I102" i="11"/>
  <c r="L102" i="11" s="1"/>
  <c r="I103" i="11"/>
  <c r="L103" i="11" s="1"/>
  <c r="I104" i="11"/>
  <c r="L104" i="11" s="1"/>
  <c r="I105" i="11"/>
  <c r="L105" i="11" s="1"/>
  <c r="I106" i="11"/>
  <c r="L106" i="11" s="1"/>
  <c r="I107" i="11"/>
  <c r="L107" i="11" s="1"/>
  <c r="I108" i="11"/>
  <c r="L108" i="11" s="1"/>
  <c r="I109" i="11"/>
  <c r="L109" i="11" s="1"/>
  <c r="I110" i="11"/>
  <c r="L110" i="11" s="1"/>
  <c r="I111" i="11"/>
  <c r="L111" i="11" s="1"/>
  <c r="I112" i="11"/>
  <c r="L112" i="11" s="1"/>
  <c r="J41" i="11"/>
  <c r="J42" i="11"/>
  <c r="J43" i="11"/>
  <c r="J44" i="11"/>
  <c r="J45" i="11"/>
  <c r="J46" i="11"/>
  <c r="J47" i="11"/>
  <c r="J52" i="11"/>
  <c r="J56" i="11"/>
  <c r="J64" i="11"/>
  <c r="J68" i="11"/>
  <c r="J76" i="11"/>
  <c r="J84" i="11"/>
  <c r="J92" i="11"/>
  <c r="J100" i="11"/>
  <c r="M41" i="11"/>
  <c r="M42" i="11"/>
  <c r="M43" i="11"/>
  <c r="M44" i="11"/>
  <c r="M47" i="11"/>
  <c r="M48" i="11"/>
  <c r="M49" i="11"/>
  <c r="M50" i="11"/>
  <c r="M51" i="11"/>
  <c r="M52" i="11"/>
  <c r="M55" i="11"/>
  <c r="M56" i="11"/>
  <c r="M57" i="11"/>
  <c r="M58" i="11"/>
  <c r="M59" i="11"/>
  <c r="M60" i="11"/>
  <c r="M63" i="11"/>
  <c r="M64" i="11"/>
  <c r="M65" i="11"/>
  <c r="M66" i="11"/>
  <c r="M67" i="11"/>
  <c r="M68" i="11"/>
  <c r="M71" i="11"/>
  <c r="M72" i="11"/>
  <c r="M73" i="11"/>
  <c r="M74" i="11"/>
  <c r="M75" i="11"/>
  <c r="M76" i="11"/>
  <c r="M79" i="11"/>
  <c r="M80" i="11"/>
  <c r="M81" i="11"/>
  <c r="M82" i="11"/>
  <c r="M83" i="11"/>
  <c r="M84" i="11"/>
  <c r="M87" i="11"/>
  <c r="M88" i="11"/>
  <c r="M89" i="11"/>
  <c r="M90" i="11"/>
  <c r="M91" i="11"/>
  <c r="M92" i="11"/>
  <c r="M95" i="11"/>
  <c r="M96" i="11"/>
  <c r="M97" i="11"/>
  <c r="M98" i="11"/>
  <c r="M99" i="11"/>
  <c r="M100" i="11"/>
  <c r="M103" i="11"/>
  <c r="M104" i="11"/>
  <c r="M105" i="11"/>
  <c r="M106" i="11"/>
  <c r="M107" i="11"/>
  <c r="M108" i="11"/>
  <c r="M111" i="11"/>
  <c r="M112" i="11"/>
  <c r="D40" i="11"/>
  <c r="E40" i="11"/>
  <c r="G40" i="11"/>
  <c r="I40" i="11"/>
  <c r="M40" i="11"/>
  <c r="D39" i="11"/>
  <c r="E39" i="11"/>
  <c r="G39" i="11"/>
  <c r="I39" i="11"/>
  <c r="L39" i="11" s="1"/>
  <c r="M39" i="11"/>
  <c r="D38" i="11"/>
  <c r="E38" i="11"/>
  <c r="I38" i="11"/>
  <c r="D37" i="11"/>
  <c r="E37" i="11"/>
  <c r="G37" i="11"/>
  <c r="I37" i="11"/>
  <c r="L37" i="11" s="1"/>
  <c r="M37" i="11"/>
  <c r="D36" i="11"/>
  <c r="E36" i="11"/>
  <c r="G36" i="11"/>
  <c r="I36" i="11"/>
  <c r="M36" i="11"/>
  <c r="D35" i="11"/>
  <c r="E35" i="11"/>
  <c r="G35" i="11"/>
  <c r="I35" i="11"/>
  <c r="M35" i="11"/>
  <c r="D34" i="11"/>
  <c r="E34" i="11"/>
  <c r="G34" i="11"/>
  <c r="I34" i="11"/>
  <c r="M34" i="11"/>
  <c r="D33" i="11"/>
  <c r="E33" i="11"/>
  <c r="G33" i="11"/>
  <c r="I33" i="11"/>
  <c r="M33" i="11"/>
  <c r="D32" i="11"/>
  <c r="E32" i="11"/>
  <c r="G32" i="11"/>
  <c r="I32" i="11"/>
  <c r="M32" i="11"/>
  <c r="D31" i="11"/>
  <c r="E31" i="11"/>
  <c r="G31" i="11"/>
  <c r="I31" i="11"/>
  <c r="L31" i="11" s="1"/>
  <c r="M31" i="11"/>
  <c r="D30" i="11"/>
  <c r="E30" i="11"/>
  <c r="I30" i="11"/>
  <c r="D29" i="11"/>
  <c r="E29" i="11"/>
  <c r="G29" i="11"/>
  <c r="I29" i="11"/>
  <c r="M29" i="11"/>
  <c r="D28" i="11"/>
  <c r="E28" i="11"/>
  <c r="G28" i="11"/>
  <c r="I28" i="11"/>
  <c r="M28" i="11"/>
  <c r="D27" i="11"/>
  <c r="E27" i="11"/>
  <c r="G27" i="11"/>
  <c r="I27" i="11"/>
  <c r="M27" i="11"/>
  <c r="D26" i="11"/>
  <c r="E26" i="11"/>
  <c r="G26" i="11"/>
  <c r="I26" i="11"/>
  <c r="L26" i="11" s="1"/>
  <c r="M26" i="11"/>
  <c r="D25" i="11"/>
  <c r="E25" i="11"/>
  <c r="G25" i="11"/>
  <c r="I25" i="11"/>
  <c r="M25" i="11"/>
  <c r="D24" i="11"/>
  <c r="E24" i="11"/>
  <c r="G24" i="11"/>
  <c r="I24" i="11"/>
  <c r="M24" i="11"/>
  <c r="G23" i="11"/>
  <c r="C11" i="11"/>
  <c r="B17" i="11"/>
  <c r="B11" i="11"/>
  <c r="J60" i="11" l="1"/>
  <c r="J101" i="11"/>
  <c r="J88" i="11"/>
  <c r="O41" i="11"/>
  <c r="J105" i="11"/>
  <c r="O105" i="11" s="1"/>
  <c r="P105" i="11" s="1"/>
  <c r="J109" i="11"/>
  <c r="J108" i="11"/>
  <c r="O108" i="11" s="1"/>
  <c r="P108" i="11" s="1"/>
  <c r="J80" i="11"/>
  <c r="O80" i="11" s="1"/>
  <c r="P80" i="11" s="1"/>
  <c r="J72" i="11"/>
  <c r="O72" i="11" s="1"/>
  <c r="P72" i="11" s="1"/>
  <c r="J97" i="11"/>
  <c r="O97" i="11" s="1"/>
  <c r="P97" i="11" s="1"/>
  <c r="J98" i="11"/>
  <c r="O98" i="11" s="1"/>
  <c r="P98" i="11" s="1"/>
  <c r="J91" i="11"/>
  <c r="O91" i="11" s="1"/>
  <c r="P91" i="11" s="1"/>
  <c r="J83" i="11"/>
  <c r="O83" i="11" s="1"/>
  <c r="P83" i="11" s="1"/>
  <c r="J79" i="11"/>
  <c r="J71" i="11"/>
  <c r="O71" i="11" s="1"/>
  <c r="P71" i="11" s="1"/>
  <c r="J63" i="11"/>
  <c r="O63" i="11" s="1"/>
  <c r="P63" i="11" s="1"/>
  <c r="J55" i="11"/>
  <c r="O55" i="11" s="1"/>
  <c r="P55" i="11" s="1"/>
  <c r="J51" i="11"/>
  <c r="O51" i="11" s="1"/>
  <c r="P51" i="11" s="1"/>
  <c r="J90" i="11"/>
  <c r="O90" i="11" s="1"/>
  <c r="P90" i="11" s="1"/>
  <c r="J82" i="11"/>
  <c r="O82" i="11" s="1"/>
  <c r="P82" i="11" s="1"/>
  <c r="J74" i="11"/>
  <c r="O74" i="11" s="1"/>
  <c r="P74" i="11" s="1"/>
  <c r="J62" i="11"/>
  <c r="J87" i="11"/>
  <c r="O87" i="11" s="1"/>
  <c r="P87" i="11" s="1"/>
  <c r="J75" i="11"/>
  <c r="O75" i="11" s="1"/>
  <c r="P75" i="11" s="1"/>
  <c r="J67" i="11"/>
  <c r="O67" i="11" s="1"/>
  <c r="P67" i="11" s="1"/>
  <c r="J59" i="11"/>
  <c r="O59" i="11" s="1"/>
  <c r="P59" i="11" s="1"/>
  <c r="J94" i="11"/>
  <c r="O94" i="11" s="1"/>
  <c r="P94" i="11" s="1"/>
  <c r="J86" i="11"/>
  <c r="O86" i="11" s="1"/>
  <c r="P86" i="11" s="1"/>
  <c r="J78" i="11"/>
  <c r="J70" i="11"/>
  <c r="J66" i="11"/>
  <c r="O66" i="11" s="1"/>
  <c r="P66" i="11" s="1"/>
  <c r="J58" i="11"/>
  <c r="O58" i="11" s="1"/>
  <c r="P58" i="11" s="1"/>
  <c r="J54" i="11"/>
  <c r="J50" i="11"/>
  <c r="O50" i="11" s="1"/>
  <c r="P50" i="11" s="1"/>
  <c r="J99" i="11"/>
  <c r="J93" i="11"/>
  <c r="J89" i="11"/>
  <c r="O89" i="11" s="1"/>
  <c r="P89" i="11" s="1"/>
  <c r="J85" i="11"/>
  <c r="J81" i="11"/>
  <c r="O81" i="11" s="1"/>
  <c r="P81" i="11" s="1"/>
  <c r="J77" i="11"/>
  <c r="J73" i="11"/>
  <c r="O73" i="11" s="1"/>
  <c r="P73" i="11" s="1"/>
  <c r="J69" i="11"/>
  <c r="J65" i="11"/>
  <c r="O65" i="11" s="1"/>
  <c r="P65" i="11" s="1"/>
  <c r="J61" i="11"/>
  <c r="J57" i="11"/>
  <c r="O57" i="11" s="1"/>
  <c r="P57" i="11" s="1"/>
  <c r="J53" i="11"/>
  <c r="J49" i="11"/>
  <c r="O49" i="11" s="1"/>
  <c r="P49" i="11" s="1"/>
  <c r="J48" i="11"/>
  <c r="O48" i="11" s="1"/>
  <c r="P48" i="11" s="1"/>
  <c r="O92" i="11"/>
  <c r="P92" i="11" s="1"/>
  <c r="J106" i="11"/>
  <c r="O106" i="11" s="1"/>
  <c r="P106" i="11" s="1"/>
  <c r="O76" i="11"/>
  <c r="O44" i="11"/>
  <c r="P44" i="11" s="1"/>
  <c r="J107" i="11"/>
  <c r="O107" i="11" s="1"/>
  <c r="P107" i="11" s="1"/>
  <c r="J103" i="11"/>
  <c r="O103" i="11" s="1"/>
  <c r="P103" i="11" s="1"/>
  <c r="J111" i="11"/>
  <c r="O111" i="11" s="1"/>
  <c r="P111" i="11" s="1"/>
  <c r="J112" i="11"/>
  <c r="O112" i="11" s="1"/>
  <c r="P112" i="11" s="1"/>
  <c r="J104" i="11"/>
  <c r="O104" i="11" s="1"/>
  <c r="P104" i="11" s="1"/>
  <c r="J96" i="11"/>
  <c r="O96" i="11" s="1"/>
  <c r="P96" i="11" s="1"/>
  <c r="J110" i="11"/>
  <c r="O110" i="11" s="1"/>
  <c r="P110" i="11" s="1"/>
  <c r="J102" i="11"/>
  <c r="O102" i="11" s="1"/>
  <c r="P102" i="11" s="1"/>
  <c r="O88" i="11"/>
  <c r="P88" i="11" s="1"/>
  <c r="J29" i="11"/>
  <c r="O29" i="11" s="1"/>
  <c r="L29" i="11"/>
  <c r="J36" i="11"/>
  <c r="O36" i="11" s="1"/>
  <c r="P36" i="11" s="1"/>
  <c r="L36" i="11"/>
  <c r="O100" i="11"/>
  <c r="P100" i="11" s="1"/>
  <c r="O68" i="11"/>
  <c r="P68" i="11" s="1"/>
  <c r="J38" i="11"/>
  <c r="O38" i="11" s="1"/>
  <c r="P38" i="11" s="1"/>
  <c r="L38" i="11"/>
  <c r="O70" i="11"/>
  <c r="P70" i="11" s="1"/>
  <c r="O99" i="11"/>
  <c r="P99" i="11" s="1"/>
  <c r="J28" i="11"/>
  <c r="O28" i="11" s="1"/>
  <c r="L28" i="11"/>
  <c r="J40" i="11"/>
  <c r="O40" i="11" s="1"/>
  <c r="P40" i="11" s="1"/>
  <c r="L40" i="11"/>
  <c r="O46" i="11"/>
  <c r="P46" i="11" s="1"/>
  <c r="O79" i="11"/>
  <c r="P79" i="11" s="1"/>
  <c r="J25" i="11"/>
  <c r="O25" i="11" s="1"/>
  <c r="L25" i="11"/>
  <c r="J30" i="11"/>
  <c r="O30" i="11" s="1"/>
  <c r="L30" i="11"/>
  <c r="J35" i="11"/>
  <c r="O35" i="11" s="1"/>
  <c r="L35" i="11"/>
  <c r="O43" i="11"/>
  <c r="P43" i="11" s="1"/>
  <c r="O47" i="11"/>
  <c r="P47" i="11" s="1"/>
  <c r="J32" i="11"/>
  <c r="O32" i="11" s="1"/>
  <c r="L32" i="11"/>
  <c r="O64" i="11"/>
  <c r="P64" i="11" s="1"/>
  <c r="O52" i="11"/>
  <c r="P52" i="11" s="1"/>
  <c r="O42" i="11"/>
  <c r="P42" i="11" s="1"/>
  <c r="J95" i="11"/>
  <c r="O95" i="11" s="1"/>
  <c r="P95" i="11" s="1"/>
  <c r="J33" i="11"/>
  <c r="O33" i="11" s="1"/>
  <c r="L33" i="11"/>
  <c r="J27" i="11"/>
  <c r="O27" i="11" s="1"/>
  <c r="L27" i="11"/>
  <c r="J24" i="11"/>
  <c r="O24" i="11" s="1"/>
  <c r="L24" i="11"/>
  <c r="J34" i="11"/>
  <c r="O34" i="11" s="1"/>
  <c r="L34" i="11"/>
  <c r="O60" i="11"/>
  <c r="P60" i="11" s="1"/>
  <c r="O84" i="11"/>
  <c r="P84" i="11" s="1"/>
  <c r="O56" i="11"/>
  <c r="P56" i="11" s="1"/>
  <c r="C17" i="11"/>
  <c r="P76" i="11"/>
  <c r="P41" i="11"/>
  <c r="B5" i="11"/>
  <c r="C5" i="11"/>
  <c r="M78" i="11"/>
  <c r="M54" i="11"/>
  <c r="M109" i="11"/>
  <c r="M101" i="11"/>
  <c r="M93" i="11"/>
  <c r="M85" i="11"/>
  <c r="M77" i="11"/>
  <c r="M69" i="11"/>
  <c r="M61" i="11"/>
  <c r="M53" i="11"/>
  <c r="M45" i="11"/>
  <c r="M62" i="11"/>
  <c r="J39" i="11"/>
  <c r="J37" i="11"/>
  <c r="O37" i="11" s="1"/>
  <c r="J31" i="11"/>
  <c r="O31" i="11" s="1"/>
  <c r="J26" i="11"/>
  <c r="O26" i="11" s="1"/>
  <c r="M23" i="11"/>
  <c r="I23" i="11"/>
  <c r="L23" i="11" s="1"/>
  <c r="E23" i="11"/>
  <c r="D23" i="11"/>
  <c r="A24" i="11"/>
  <c r="A25" i="11"/>
  <c r="A26" i="11"/>
  <c r="A27" i="11"/>
  <c r="A28" i="11"/>
  <c r="A29" i="11"/>
  <c r="A30" i="11"/>
  <c r="A31" i="11"/>
  <c r="A32" i="11"/>
  <c r="A33" i="11"/>
  <c r="A34" i="11"/>
  <c r="A35" i="11"/>
  <c r="A36" i="11"/>
  <c r="A37" i="11"/>
  <c r="A38" i="11"/>
  <c r="A39" i="11"/>
  <c r="A40" i="11"/>
  <c r="O77" i="11" l="1"/>
  <c r="P77" i="11" s="1"/>
  <c r="O93" i="11"/>
  <c r="P93" i="11" s="1"/>
  <c r="O45" i="11"/>
  <c r="O109" i="11"/>
  <c r="P109" i="11" s="1"/>
  <c r="O39" i="11"/>
  <c r="P39" i="11" s="1"/>
  <c r="O53" i="11"/>
  <c r="P53" i="11" s="1"/>
  <c r="P37" i="11"/>
  <c r="O101" i="11"/>
  <c r="P101" i="11" s="1"/>
  <c r="O85" i="11"/>
  <c r="P85" i="11" s="1"/>
  <c r="O78" i="11"/>
  <c r="P78" i="11" s="1"/>
  <c r="O69" i="11"/>
  <c r="P69" i="11" s="1"/>
  <c r="O62" i="11"/>
  <c r="P62" i="11" s="1"/>
  <c r="O61" i="11"/>
  <c r="P61" i="11" s="1"/>
  <c r="O54" i="11"/>
  <c r="P54" i="11" s="1"/>
  <c r="N111" i="11"/>
  <c r="N96" i="11"/>
  <c r="N85" i="11"/>
  <c r="N64" i="11"/>
  <c r="P24" i="11"/>
  <c r="N105" i="11"/>
  <c r="N42" i="11"/>
  <c r="N66" i="11"/>
  <c r="N91" i="11"/>
  <c r="N68" i="11"/>
  <c r="N69" i="11"/>
  <c r="N47" i="11"/>
  <c r="N56" i="11"/>
  <c r="N73" i="11"/>
  <c r="N74" i="11"/>
  <c r="N70" i="11"/>
  <c r="N94" i="11"/>
  <c r="P35" i="11"/>
  <c r="N35" i="11"/>
  <c r="P34" i="11"/>
  <c r="P33" i="11"/>
  <c r="P32" i="11"/>
  <c r="N32" i="11"/>
  <c r="P31" i="11"/>
  <c r="P30" i="11"/>
  <c r="P29" i="11"/>
  <c r="N29" i="11"/>
  <c r="P28" i="11"/>
  <c r="N28" i="11"/>
  <c r="P27" i="11"/>
  <c r="N27" i="11"/>
  <c r="P26" i="11"/>
  <c r="P25" i="11"/>
  <c r="N25" i="11"/>
  <c r="J23" i="11"/>
  <c r="O23" i="11" s="1"/>
  <c r="A23" i="11"/>
  <c r="N110" i="11" l="1"/>
  <c r="N78" i="11"/>
  <c r="N54" i="11"/>
  <c r="N82" i="11"/>
  <c r="N81" i="11"/>
  <c r="N34" i="11"/>
  <c r="N57" i="11"/>
  <c r="N103" i="11"/>
  <c r="N83" i="11"/>
  <c r="N95" i="11"/>
  <c r="N71" i="11"/>
  <c r="N49" i="11"/>
  <c r="N80" i="11"/>
  <c r="N59" i="11"/>
  <c r="N75" i="11"/>
  <c r="N84" i="11"/>
  <c r="N90" i="11"/>
  <c r="N41" i="11"/>
  <c r="N104" i="11"/>
  <c r="N101" i="11"/>
  <c r="N79" i="11"/>
  <c r="N37" i="11"/>
  <c r="N46" i="11"/>
  <c r="N76" i="11"/>
  <c r="N62" i="11"/>
  <c r="N40" i="11"/>
  <c r="N89" i="11"/>
  <c r="N87" i="11"/>
  <c r="N61" i="11"/>
  <c r="N63" i="11"/>
  <c r="N33" i="11"/>
  <c r="N107" i="11"/>
  <c r="N99" i="11"/>
  <c r="N86" i="11"/>
  <c r="N97" i="11"/>
  <c r="N100" i="11"/>
  <c r="N112" i="11"/>
  <c r="N106" i="11"/>
  <c r="N45" i="11"/>
  <c r="N52" i="11"/>
  <c r="P45" i="11"/>
  <c r="N51" i="11"/>
  <c r="N39" i="11"/>
  <c r="N55" i="11"/>
  <c r="N38" i="11"/>
  <c r="N108" i="11"/>
  <c r="N109" i="11"/>
  <c r="N65" i="11"/>
  <c r="N44" i="11"/>
  <c r="N31" i="11"/>
  <c r="N26" i="11"/>
  <c r="N30" i="11"/>
  <c r="N88" i="11"/>
  <c r="N67" i="11"/>
  <c r="N36" i="11"/>
  <c r="N53" i="11"/>
  <c r="N77" i="11"/>
  <c r="N48" i="11"/>
  <c r="N24" i="11"/>
  <c r="N72" i="11"/>
  <c r="N50" i="11"/>
  <c r="N58" i="11"/>
  <c r="N98" i="11"/>
  <c r="N43" i="11"/>
  <c r="N60" i="11"/>
  <c r="N92" i="11"/>
  <c r="N93" i="11"/>
  <c r="N102" i="11"/>
  <c r="P23" i="11"/>
  <c r="N2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kareem mostafa</author>
  </authors>
  <commentList>
    <comment ref="D4" authorId="0" shapeId="0" xr:uid="{21B894FD-D4E6-4527-A4C0-39AE793AABCA}">
      <text>
        <r>
          <rPr>
            <sz val="9"/>
            <color indexed="81"/>
            <rFont val="Tahoma"/>
            <family val="2"/>
          </rPr>
          <t xml:space="preserve">Sector List should be updated firstly to reflect this field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12429D1-A27C-4465-B25D-1FCAA1482441}" keepAlive="1" name="Query - Audit" description="Connection to the 'Audit' query in the workbook." type="5" refreshedVersion="6" background="1" saveData="1">
    <dbPr connection="Provider=Microsoft.Mashup.OleDb.1;Data Source=$Workbook$;Location=Audit;Extended Properties=&quot;&quot;" command="SELECT * FROM [Audit]"/>
  </connection>
</connections>
</file>

<file path=xl/sharedStrings.xml><?xml version="1.0" encoding="utf-8"?>
<sst xmlns="http://schemas.openxmlformats.org/spreadsheetml/2006/main" count="392" uniqueCount="128">
  <si>
    <t>Title</t>
  </si>
  <si>
    <t>Navigation</t>
  </si>
  <si>
    <t>Content</t>
  </si>
  <si>
    <t>Customization difficulty (1-3)</t>
  </si>
  <si>
    <t>Explanation of sheets</t>
  </si>
  <si>
    <t>How to customize</t>
  </si>
  <si>
    <t>1)</t>
  </si>
  <si>
    <t>2)</t>
  </si>
  <si>
    <t>3)</t>
  </si>
  <si>
    <t>4)</t>
  </si>
  <si>
    <t>5)</t>
  </si>
  <si>
    <t>6)</t>
  </si>
  <si>
    <t>7)</t>
  </si>
  <si>
    <t>8)</t>
  </si>
  <si>
    <t>9)</t>
  </si>
  <si>
    <t>10)</t>
  </si>
  <si>
    <t>11)</t>
  </si>
  <si>
    <t>12)</t>
  </si>
  <si>
    <t>13)</t>
  </si>
  <si>
    <t>Database</t>
  </si>
  <si>
    <t>XXXXXXXXX</t>
  </si>
  <si>
    <t>XXXXXXXX</t>
  </si>
  <si>
    <t>XXXXXXX</t>
  </si>
  <si>
    <t>List 5</t>
  </si>
  <si>
    <t>List 6</t>
  </si>
  <si>
    <t>List 7</t>
  </si>
  <si>
    <t>Stock Portfolio Tracker</t>
  </si>
  <si>
    <t>Stock</t>
  </si>
  <si>
    <t>Company Name</t>
  </si>
  <si>
    <t>Purchase Date</t>
  </si>
  <si>
    <t>Sector</t>
  </si>
  <si>
    <t>Ticker Symbol</t>
  </si>
  <si>
    <t>Shares</t>
  </si>
  <si>
    <t>Current Price</t>
  </si>
  <si>
    <t>Gross Current Value</t>
  </si>
  <si>
    <t>Gain(Lose) Value</t>
  </si>
  <si>
    <t>Gain(Lose) %</t>
  </si>
  <si>
    <t>Stock Details</t>
  </si>
  <si>
    <t>Companies List</t>
  </si>
  <si>
    <t>Sectors List</t>
  </si>
  <si>
    <t>Company</t>
  </si>
  <si>
    <t>Add Stock Tracking Data</t>
  </si>
  <si>
    <t>Total Value</t>
  </si>
  <si>
    <t>Purchasing Price</t>
  </si>
  <si>
    <t>Month</t>
  </si>
  <si>
    <t>Change In Price</t>
  </si>
  <si>
    <t>Accumulated Gowth Value</t>
  </si>
  <si>
    <t>Srtock ABC</t>
  </si>
  <si>
    <t>Stock CCC</t>
  </si>
  <si>
    <t>Stock CDA</t>
  </si>
  <si>
    <t>Stock DBA</t>
  </si>
  <si>
    <t>Sector 1</t>
  </si>
  <si>
    <t>Sector 2</t>
  </si>
  <si>
    <t>Sector 3</t>
  </si>
  <si>
    <t>Sector 4</t>
  </si>
  <si>
    <t>Stock DDD</t>
  </si>
  <si>
    <t>Stock CBC</t>
  </si>
  <si>
    <t>Stock ACC</t>
  </si>
  <si>
    <t>Stock BBB</t>
  </si>
  <si>
    <t>Stock BCA</t>
  </si>
  <si>
    <t>ABC</t>
  </si>
  <si>
    <t>CCC</t>
  </si>
  <si>
    <t>CDA</t>
  </si>
  <si>
    <t>DBA</t>
  </si>
  <si>
    <t>DDD</t>
  </si>
  <si>
    <t>CBC</t>
  </si>
  <si>
    <t>ACC</t>
  </si>
  <si>
    <t>BBB</t>
  </si>
  <si>
    <t>BCA</t>
  </si>
  <si>
    <t>Company 1</t>
  </si>
  <si>
    <t>Company 2</t>
  </si>
  <si>
    <t>Company 3</t>
  </si>
  <si>
    <t>Row Labels</t>
  </si>
  <si>
    <t>Grand Total</t>
  </si>
  <si>
    <t>Jan</t>
  </si>
  <si>
    <t>Feb</t>
  </si>
  <si>
    <t>Mar</t>
  </si>
  <si>
    <t>Apr</t>
  </si>
  <si>
    <t>May</t>
  </si>
  <si>
    <t>Jun</t>
  </si>
  <si>
    <t>Jul</t>
  </si>
  <si>
    <t>Aug</t>
  </si>
  <si>
    <t>Sep</t>
  </si>
  <si>
    <t>Oct</t>
  </si>
  <si>
    <t>Nov</t>
  </si>
  <si>
    <t>Dec</t>
  </si>
  <si>
    <t>Sum of Gain(Lose) %</t>
  </si>
  <si>
    <t>Sum of Gain(Lose) Value</t>
  </si>
  <si>
    <t>Accumulated Growth</t>
  </si>
  <si>
    <t>Purchasing Price.</t>
  </si>
  <si>
    <t>Change In Price.</t>
  </si>
  <si>
    <t>Sectors</t>
  </si>
  <si>
    <t>Stocks</t>
  </si>
  <si>
    <t>Investement Portfolio Analysis</t>
  </si>
  <si>
    <t>Average of Current Price</t>
  </si>
  <si>
    <t>Sum of Total Value</t>
  </si>
  <si>
    <t>Gain/Lose Value</t>
  </si>
  <si>
    <t>Gain/Lose %</t>
  </si>
  <si>
    <t>Total Invested</t>
  </si>
  <si>
    <t>Definitions &amp; Guides</t>
  </si>
  <si>
    <t>Current price is the most recent price at which a security was sold on an exchange.</t>
  </si>
  <si>
    <t>Stock Tracker</t>
  </si>
  <si>
    <t>Stocks are bought and sold predominantly on stock exchanges, though there can be private sales as well, and they are the foundation of nearly every portfolio.</t>
  </si>
  <si>
    <t>A share is the single smallest denomination of a company's stock.</t>
  </si>
  <si>
    <t>The sum of the Investment Value of all outstanding shares of Company Series A Preferred Stock</t>
  </si>
  <si>
    <t>Go to Stock Tracker sheet to record your stock data</t>
  </si>
  <si>
    <t>All required calculations will be calculated automatically according to above definitions</t>
  </si>
  <si>
    <t>Stock ABC</t>
  </si>
  <si>
    <t>This Stock Portfolio Tracker allows you to track your investment holdings and analyze the industry diversification as well as gains and losses over time</t>
  </si>
  <si>
    <t>An arrangement of characters, usually letters representing particular securities listed on an exchange</t>
  </si>
  <si>
    <t>An area of the economy in which businesses share the same or a related product or service.</t>
  </si>
  <si>
    <t>Price an investor pays for an investment</t>
  </si>
  <si>
    <t>The price becomes the investor’s cost basis for calculating gain or loss when selling the investment.</t>
  </si>
  <si>
    <t>Difference between the purchasing price and current price</t>
  </si>
  <si>
    <t>Total value according to current price</t>
  </si>
  <si>
    <t>Record all stock and transactions data on a monthly base or for every transaction event</t>
  </si>
  <si>
    <t>Set your stocks database and references that will reflect in the tables and drop-down lists</t>
  </si>
  <si>
    <t>In the Database sheet, add your stock portfolio details and standards</t>
  </si>
  <si>
    <t>For each Stock, set related symbol, purchasing price and related sector</t>
  </si>
  <si>
    <t>Record companies and all related sectors</t>
  </si>
  <si>
    <t>For each Stock transaction, select  the company, purchasing date and number of shares</t>
  </si>
  <si>
    <t>Total value (Total Invested Value) will calculated automatically according to your dataset</t>
  </si>
  <si>
    <t>Some fields will automatically calculated. *Fields in gray cell include functions and please don't try to insert and value manually in this gray cell*</t>
  </si>
  <si>
    <t>Current Price calculates the current market price. Update as necessary.</t>
  </si>
  <si>
    <t>You can show the Stock Portfolio Tracker dashboard using the Show Dashboard button in the left top area</t>
  </si>
  <si>
    <t>To maximize display view, click the Full Screen button</t>
  </si>
  <si>
    <t>To update charts, trends and dashboard data source reflection, click the Refresh Data button</t>
  </si>
  <si>
    <t xml:space="preserve">In the dashboard area you will see dynamic charts which can be analyzed and segmented using slicers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</si>
</sst>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164" formatCode="_(* #,##0.00_);_(* \(#,##0.00\);_(* &quot;-&quot;??_);_(@_)"/>
    <numFmt numFmtId="165" formatCode="[$-409]d\-mmm\-yy;@"/>
    <numFmt numFmtId="166" formatCode="mmm"/>
    <numFmt numFmtId="167" formatCode="&quot;$&quot;#,##0.0"/>
    <numFmt numFmtId="168" formatCode="&quot;$&quot;#,##0"/>
    <numFmt numFmtId="169" formatCode="0.0%"/>
  </numFmts>
  <fonts count="33" x14ac:knownFonts="1">
    <font>
      <sz val="10"/>
      <color theme="1"/>
      <name val="Arial"/>
      <family val="2"/>
    </font>
    <font>
      <sz val="11"/>
      <color theme="1"/>
      <name val="Calibri"/>
      <family val="2"/>
      <scheme val="minor"/>
    </font>
    <font>
      <sz val="11"/>
      <color theme="1"/>
      <name val="Calibri"/>
      <family val="2"/>
      <scheme val="minor"/>
    </font>
    <font>
      <sz val="10"/>
      <color theme="1"/>
      <name val="Arial"/>
      <family val="2"/>
    </font>
    <font>
      <b/>
      <sz val="10"/>
      <color theme="0"/>
      <name val="Arial"/>
      <family val="2"/>
    </font>
    <font>
      <sz val="8"/>
      <name val="Arial"/>
      <family val="2"/>
    </font>
    <font>
      <b/>
      <sz val="10"/>
      <color theme="1"/>
      <name val="Arial"/>
      <family val="2"/>
    </font>
    <font>
      <u/>
      <sz val="10"/>
      <color theme="10"/>
      <name val="Arial"/>
      <family val="2"/>
    </font>
    <font>
      <sz val="12"/>
      <color theme="1"/>
      <name val="Calibri"/>
      <family val="2"/>
      <scheme val="minor"/>
    </font>
    <font>
      <sz val="12"/>
      <color theme="1"/>
      <name val="Arial"/>
      <family val="2"/>
    </font>
    <font>
      <sz val="12"/>
      <color theme="0"/>
      <name val="Arial"/>
      <family val="2"/>
    </font>
    <font>
      <u/>
      <sz val="10"/>
      <color theme="0"/>
      <name val="Arial"/>
      <family val="2"/>
    </font>
    <font>
      <b/>
      <sz val="10"/>
      <color theme="0" tint="-0.34998626667073579"/>
      <name val="Arial"/>
      <family val="2"/>
    </font>
    <font>
      <sz val="10"/>
      <color theme="0" tint="-0.34998626667073579"/>
      <name val="Arial"/>
      <family val="2"/>
    </font>
    <font>
      <sz val="10"/>
      <name val="Arial"/>
      <family val="2"/>
    </font>
    <font>
      <i/>
      <u/>
      <sz val="10"/>
      <color theme="1"/>
      <name val="Arial"/>
      <family val="2"/>
    </font>
    <font>
      <b/>
      <u/>
      <sz val="10"/>
      <color theme="1"/>
      <name val="Arial"/>
      <family val="2"/>
    </font>
    <font>
      <sz val="10"/>
      <color theme="1" tint="0.499984740745262"/>
      <name val="Arial"/>
      <family val="2"/>
    </font>
    <font>
      <sz val="10"/>
      <color theme="0"/>
      <name val="Arial"/>
      <family val="2"/>
    </font>
    <font>
      <b/>
      <u/>
      <sz val="11"/>
      <color theme="1" tint="0.499984740745262"/>
      <name val="Arial"/>
      <family val="2"/>
    </font>
    <font>
      <sz val="10"/>
      <color rgb="FF50B47F"/>
      <name val="Arial"/>
      <family val="2"/>
    </font>
    <font>
      <sz val="11"/>
      <color rgb="FF006100"/>
      <name val="Calibri"/>
      <family val="2"/>
      <scheme val="minor"/>
    </font>
    <font>
      <sz val="11"/>
      <color rgb="FF9C0006"/>
      <name val="Calibri"/>
      <family val="2"/>
      <scheme val="minor"/>
    </font>
    <font>
      <sz val="11"/>
      <color rgb="FF9C5700"/>
      <name val="Calibri"/>
      <family val="2"/>
      <scheme val="minor"/>
    </font>
    <font>
      <sz val="11"/>
      <name val="Calibri"/>
      <family val="2"/>
      <scheme val="minor"/>
    </font>
    <font>
      <b/>
      <sz val="12"/>
      <color theme="0"/>
      <name val="Arial"/>
      <family val="2"/>
    </font>
    <font>
      <sz val="9"/>
      <color indexed="81"/>
      <name val="Tahoma"/>
      <family val="2"/>
    </font>
    <font>
      <sz val="10"/>
      <color theme="0" tint="-4.9989318521683403E-2"/>
      <name val="Arial"/>
      <family val="2"/>
    </font>
    <font>
      <sz val="36"/>
      <color theme="1" tint="0.499984740745262"/>
      <name val="Arial"/>
      <family val="2"/>
    </font>
    <font>
      <b/>
      <u/>
      <sz val="12"/>
      <color theme="1" tint="0.34998626667073579"/>
      <name val="Arial"/>
      <family val="2"/>
    </font>
    <font>
      <sz val="26"/>
      <color theme="1" tint="0.499984740745262"/>
      <name val="Arial"/>
      <family val="2"/>
    </font>
    <font>
      <sz val="20"/>
      <color theme="1" tint="0.499984740745262"/>
      <name val="Arial"/>
      <family val="2"/>
    </font>
    <font>
      <sz val="10"/>
      <color rgb="FF000000"/>
      <name val="Arial"/>
      <family val="2"/>
    </font>
  </fonts>
  <fills count="10">
    <fill>
      <patternFill patternType="none"/>
    </fill>
    <fill>
      <patternFill patternType="gray125"/>
    </fill>
    <fill>
      <patternFill patternType="solid">
        <fgColor rgb="FF50B47F"/>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8FCFAD"/>
        <bgColor indexed="64"/>
      </patternFill>
    </fill>
    <fill>
      <patternFill patternType="solid">
        <fgColor theme="0"/>
        <bgColor indexed="64"/>
      </patternFill>
    </fill>
  </fills>
  <borders count="10">
    <border>
      <left/>
      <right/>
      <top/>
      <bottom/>
      <diagonal/>
    </border>
    <border>
      <left/>
      <right/>
      <top/>
      <bottom style="thick">
        <color theme="0" tint="-0.14993743705557422"/>
      </bottom>
      <diagonal/>
    </border>
    <border>
      <left style="thin">
        <color theme="0" tint="-0.14996795556505021"/>
      </left>
      <right style="thin">
        <color theme="0" tint="-0.14996795556505021"/>
      </right>
      <top/>
      <bottom style="thick">
        <color theme="0" tint="-0.14993743705557422"/>
      </bottom>
      <diagonal/>
    </border>
    <border>
      <left/>
      <right style="thin">
        <color theme="0" tint="-0.14993743705557422"/>
      </right>
      <top/>
      <bottom/>
      <diagonal/>
    </border>
    <border>
      <left style="thin">
        <color theme="0" tint="-0.14990691854609822"/>
      </left>
      <right style="thin">
        <color theme="0" tint="-0.14990691854609822"/>
      </right>
      <top style="thin">
        <color theme="0" tint="-0.14990691854609822"/>
      </top>
      <bottom style="thin">
        <color theme="0" tint="-0.14990691854609822"/>
      </bottom>
      <diagonal/>
    </border>
    <border>
      <left style="thin">
        <color theme="0" tint="-0.14990691854609822"/>
      </left>
      <right style="thin">
        <color theme="0" tint="-0.14990691854609822"/>
      </right>
      <top style="thin">
        <color theme="0" tint="-0.14990691854609822"/>
      </top>
      <bottom/>
      <diagonal/>
    </border>
    <border>
      <left style="medium">
        <color theme="0" tint="-4.9989318521683403E-2"/>
      </left>
      <right style="medium">
        <color theme="0" tint="-4.9989318521683403E-2"/>
      </right>
      <top style="medium">
        <color theme="0" tint="-4.9989318521683403E-2"/>
      </top>
      <bottom/>
      <diagonal/>
    </border>
    <border>
      <left style="medium">
        <color theme="0" tint="-4.9989318521683403E-2"/>
      </left>
      <right style="medium">
        <color theme="0" tint="-4.9989318521683403E-2"/>
      </right>
      <top/>
      <bottom/>
      <diagonal/>
    </border>
    <border>
      <left style="medium">
        <color theme="0" tint="-4.9989318521683403E-2"/>
      </left>
      <right style="medium">
        <color theme="0" tint="-4.9989318521683403E-2"/>
      </right>
      <top/>
      <bottom style="medium">
        <color theme="0" tint="-4.9989318521683403E-2"/>
      </bottom>
      <diagonal/>
    </border>
    <border>
      <left/>
      <right/>
      <top/>
      <bottom style="medium">
        <color theme="0" tint="-4.9989318521683403E-2"/>
      </bottom>
      <diagonal/>
    </border>
  </borders>
  <cellStyleXfs count="14">
    <xf numFmtId="0" fontId="0" fillId="0" borderId="0"/>
    <xf numFmtId="0" fontId="7" fillId="0" borderId="0" applyNumberFormat="0" applyFill="0" applyBorder="0" applyAlignment="0" applyProtection="0"/>
    <xf numFmtId="0" fontId="8" fillId="0" borderId="0"/>
    <xf numFmtId="0" fontId="3"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0" fontId="1" fillId="0" borderId="0"/>
    <xf numFmtId="9" fontId="1" fillId="0" borderId="0" applyFont="0" applyFill="0" applyBorder="0" applyAlignment="0" applyProtection="0"/>
    <xf numFmtId="164" fontId="1" fillId="0" borderId="0" applyFont="0" applyFill="0" applyBorder="0" applyAlignment="0" applyProtection="0"/>
    <xf numFmtId="0" fontId="21" fillId="5" borderId="0" applyNumberFormat="0" applyBorder="0" applyAlignment="0" applyProtection="0"/>
    <xf numFmtId="0" fontId="22" fillId="6" borderId="0" applyNumberFormat="0" applyBorder="0" applyAlignment="0" applyProtection="0"/>
    <xf numFmtId="0" fontId="23" fillId="7" borderId="0" applyNumberFormat="0" applyBorder="0" applyAlignment="0" applyProtection="0"/>
    <xf numFmtId="9" fontId="3" fillId="0" borderId="0" applyFont="0" applyFill="0" applyBorder="0" applyAlignment="0" applyProtection="0"/>
  </cellStyleXfs>
  <cellXfs count="74">
    <xf numFmtId="0" fontId="0" fillId="0" borderId="0" xfId="0"/>
    <xf numFmtId="0" fontId="9" fillId="0" borderId="0" xfId="2" applyFont="1"/>
    <xf numFmtId="0" fontId="3" fillId="0" borderId="0" xfId="3"/>
    <xf numFmtId="0" fontId="6" fillId="0" borderId="0" xfId="3" applyFont="1"/>
    <xf numFmtId="0" fontId="6" fillId="0" borderId="0" xfId="3" quotePrefix="1" applyFont="1" applyAlignment="1">
      <alignment horizontal="right"/>
    </xf>
    <xf numFmtId="0" fontId="10" fillId="2" borderId="0" xfId="2" applyFont="1" applyFill="1"/>
    <xf numFmtId="0" fontId="4" fillId="2" borderId="0" xfId="2" applyFont="1" applyFill="1"/>
    <xf numFmtId="0" fontId="11" fillId="2" borderId="0" xfId="1" applyFont="1" applyFill="1"/>
    <xf numFmtId="0" fontId="12" fillId="0" borderId="0" xfId="3" quotePrefix="1" applyFont="1" applyAlignment="1">
      <alignment horizontal="right"/>
    </xf>
    <xf numFmtId="0" fontId="13" fillId="0" borderId="0" xfId="3" applyFont="1"/>
    <xf numFmtId="0" fontId="15" fillId="0" borderId="0" xfId="0" applyFont="1" applyAlignment="1">
      <alignment horizontal="right"/>
    </xf>
    <xf numFmtId="0" fontId="6" fillId="0" borderId="0" xfId="0" applyFont="1"/>
    <xf numFmtId="0" fontId="16" fillId="0" borderId="0" xfId="3" quotePrefix="1" applyFont="1" applyAlignment="1">
      <alignment horizontal="right"/>
    </xf>
    <xf numFmtId="0" fontId="0" fillId="3" borderId="0" xfId="0" applyFill="1"/>
    <xf numFmtId="0" fontId="7" fillId="0" borderId="0" xfId="1"/>
    <xf numFmtId="0" fontId="0" fillId="3" borderId="0" xfId="0" applyFill="1" applyAlignment="1">
      <alignment horizontal="center" vertical="center" wrapText="1"/>
    </xf>
    <xf numFmtId="0" fontId="0" fillId="0" borderId="0" xfId="0" applyAlignment="1">
      <alignment horizontal="center" vertical="center" wrapText="1"/>
    </xf>
    <xf numFmtId="0" fontId="17" fillId="3" borderId="0" xfId="0" applyFont="1" applyFill="1"/>
    <xf numFmtId="0" fontId="18" fillId="4" borderId="1" xfId="0" applyFont="1" applyFill="1" applyBorder="1" applyAlignment="1">
      <alignment horizontal="center" vertical="center" wrapText="1"/>
    </xf>
    <xf numFmtId="0" fontId="18" fillId="4" borderId="2" xfId="0" applyFont="1" applyFill="1" applyBorder="1" applyAlignment="1">
      <alignment horizontal="center" vertical="center" wrapText="1"/>
    </xf>
    <xf numFmtId="0" fontId="20" fillId="0" borderId="0" xfId="0" applyFont="1" applyAlignment="1">
      <alignment vertical="center"/>
    </xf>
    <xf numFmtId="0" fontId="0" fillId="0" borderId="0" xfId="0" applyAlignment="1" applyProtection="1">
      <alignment horizontal="center" vertical="center" wrapText="1"/>
      <protection locked="0"/>
    </xf>
    <xf numFmtId="0" fontId="14" fillId="0" borderId="0" xfId="1" applyNumberFormat="1" applyFont="1" applyFill="1" applyAlignment="1" applyProtection="1">
      <alignment horizontal="center" vertical="center" wrapText="1"/>
      <protection locked="0"/>
    </xf>
    <xf numFmtId="0" fontId="14" fillId="0" borderId="0" xfId="0" applyFont="1" applyAlignment="1" applyProtection="1">
      <alignment horizontal="center" vertical="center" wrapText="1"/>
      <protection locked="0"/>
    </xf>
    <xf numFmtId="0" fontId="0" fillId="0" borderId="0" xfId="0" applyAlignment="1">
      <alignment vertical="center"/>
    </xf>
    <xf numFmtId="166" fontId="0" fillId="0" borderId="4" xfId="0" applyNumberFormat="1" applyBorder="1" applyAlignment="1">
      <alignment horizontal="center" vertical="center" wrapText="1"/>
    </xf>
    <xf numFmtId="0" fontId="19" fillId="3" borderId="0" xfId="0" applyFont="1" applyFill="1"/>
    <xf numFmtId="165" fontId="0" fillId="0" borderId="4" xfId="0" applyNumberFormat="1" applyBorder="1" applyAlignment="1">
      <alignment horizontal="center" vertical="center" wrapText="1"/>
    </xf>
    <xf numFmtId="0" fontId="0" fillId="0" borderId="4" xfId="0" applyBorder="1" applyAlignment="1">
      <alignment horizontal="center" vertical="center" wrapText="1"/>
    </xf>
    <xf numFmtId="0" fontId="24" fillId="0" borderId="0" xfId="10" applyFont="1" applyFill="1" applyAlignment="1" applyProtection="1">
      <alignment horizontal="center" vertical="center" wrapText="1"/>
      <protection locked="0"/>
    </xf>
    <xf numFmtId="0" fontId="24" fillId="0" borderId="0" xfId="12" applyFont="1" applyFill="1" applyAlignment="1" applyProtection="1">
      <alignment horizontal="center" vertical="center" wrapText="1"/>
      <protection locked="0"/>
    </xf>
    <xf numFmtId="0" fontId="24" fillId="0" borderId="0" xfId="11" applyFont="1" applyFill="1" applyAlignment="1" applyProtection="1">
      <alignment horizontal="center" vertical="center" wrapText="1"/>
      <protection locked="0"/>
    </xf>
    <xf numFmtId="1" fontId="0" fillId="3" borderId="4" xfId="0" applyNumberFormat="1" applyFill="1" applyBorder="1" applyAlignment="1">
      <alignment horizontal="center" vertical="center" wrapText="1"/>
    </xf>
    <xf numFmtId="0" fontId="25" fillId="2" borderId="3" xfId="0" applyFont="1" applyFill="1" applyBorder="1" applyAlignment="1">
      <alignment horizontal="center" vertical="center" wrapText="1"/>
    </xf>
    <xf numFmtId="167" fontId="0" fillId="3" borderId="4" xfId="0" applyNumberFormat="1" applyFill="1" applyBorder="1" applyAlignment="1">
      <alignment horizontal="center" vertical="center" wrapText="1"/>
    </xf>
    <xf numFmtId="168" fontId="0" fillId="3" borderId="4" xfId="0" applyNumberFormat="1" applyFill="1" applyBorder="1" applyAlignment="1">
      <alignment horizontal="center" vertical="center" wrapText="1"/>
    </xf>
    <xf numFmtId="167" fontId="14" fillId="3" borderId="4" xfId="1" applyNumberFormat="1" applyFont="1" applyFill="1" applyBorder="1" applyAlignment="1">
      <alignment horizontal="center" vertical="center" wrapText="1"/>
    </xf>
    <xf numFmtId="167" fontId="14" fillId="0" borderId="4" xfId="1" applyNumberFormat="1" applyFont="1" applyFill="1" applyBorder="1" applyAlignment="1">
      <alignment horizontal="center" vertical="center" wrapText="1"/>
    </xf>
    <xf numFmtId="9" fontId="14" fillId="3" borderId="4" xfId="13" applyFont="1" applyFill="1" applyBorder="1" applyAlignment="1">
      <alignment horizontal="center" vertical="center" wrapText="1"/>
    </xf>
    <xf numFmtId="166" fontId="0" fillId="3" borderId="4" xfId="0" applyNumberFormat="1" applyFill="1" applyBorder="1" applyAlignment="1">
      <alignment horizontal="center" vertical="center" wrapText="1"/>
    </xf>
    <xf numFmtId="167" fontId="14" fillId="0" borderId="4" xfId="0" applyNumberFormat="1" applyFont="1" applyBorder="1" applyAlignment="1">
      <alignment horizontal="center" vertical="center" wrapText="1"/>
    </xf>
    <xf numFmtId="167" fontId="14" fillId="3" borderId="4" xfId="0" applyNumberFormat="1" applyFont="1" applyFill="1" applyBorder="1" applyAlignment="1">
      <alignment horizontal="center" vertical="center" wrapText="1"/>
    </xf>
    <xf numFmtId="165" fontId="0" fillId="0" borderId="5" xfId="0" applyNumberFormat="1" applyBorder="1" applyAlignment="1">
      <alignment horizontal="center" vertical="center" wrapText="1"/>
    </xf>
    <xf numFmtId="166" fontId="0" fillId="0" borderId="5" xfId="0" applyNumberFormat="1" applyBorder="1" applyAlignment="1">
      <alignment horizontal="center" vertical="center" wrapText="1"/>
    </xf>
    <xf numFmtId="1" fontId="0" fillId="3" borderId="5" xfId="0" applyNumberFormat="1" applyFill="1" applyBorder="1" applyAlignment="1">
      <alignment horizontal="center" vertical="center" wrapText="1"/>
    </xf>
    <xf numFmtId="166" fontId="0" fillId="3" borderId="5" xfId="0" applyNumberFormat="1" applyFill="1" applyBorder="1" applyAlignment="1">
      <alignment horizontal="center" vertical="center" wrapText="1"/>
    </xf>
    <xf numFmtId="0" fontId="0" fillId="0" borderId="5" xfId="0" applyBorder="1" applyAlignment="1">
      <alignment horizontal="center" vertical="center" wrapText="1"/>
    </xf>
    <xf numFmtId="167" fontId="0" fillId="3" borderId="5" xfId="0" applyNumberFormat="1" applyFill="1" applyBorder="1" applyAlignment="1">
      <alignment horizontal="center" vertical="center" wrapText="1"/>
    </xf>
    <xf numFmtId="168" fontId="0" fillId="3" borderId="5" xfId="0" applyNumberFormat="1" applyFill="1" applyBorder="1" applyAlignment="1">
      <alignment horizontal="center" vertical="center" wrapText="1"/>
    </xf>
    <xf numFmtId="167" fontId="14" fillId="0" borderId="5" xfId="0" applyNumberFormat="1" applyFont="1" applyBorder="1" applyAlignment="1">
      <alignment horizontal="center" vertical="center" wrapText="1"/>
    </xf>
    <xf numFmtId="167" fontId="14" fillId="3" borderId="5" xfId="1" applyNumberFormat="1" applyFont="1" applyFill="1" applyBorder="1" applyAlignment="1">
      <alignment horizontal="center" vertical="center" wrapText="1"/>
    </xf>
    <xf numFmtId="167" fontId="14" fillId="3" borderId="5" xfId="0" applyNumberFormat="1" applyFont="1" applyFill="1" applyBorder="1" applyAlignment="1">
      <alignment horizontal="center" vertical="center" wrapText="1"/>
    </xf>
    <xf numFmtId="9" fontId="14" fillId="3" borderId="5" xfId="13" applyFont="1" applyFill="1" applyBorder="1" applyAlignment="1">
      <alignment horizontal="center" vertical="center" wrapText="1"/>
    </xf>
    <xf numFmtId="167" fontId="0" fillId="0" borderId="0" xfId="0" applyNumberFormat="1" applyAlignment="1" applyProtection="1">
      <alignment horizontal="center" vertical="center" wrapText="1"/>
      <protection locked="0"/>
    </xf>
    <xf numFmtId="0" fontId="0" fillId="0" borderId="0" xfId="0" pivotButton="1"/>
    <xf numFmtId="0" fontId="0" fillId="0" borderId="0" xfId="0" applyAlignment="1">
      <alignment horizontal="left"/>
    </xf>
    <xf numFmtId="9" fontId="0" fillId="0" borderId="0" xfId="0" applyNumberFormat="1"/>
    <xf numFmtId="167" fontId="0" fillId="0" borderId="0" xfId="0" applyNumberFormat="1"/>
    <xf numFmtId="168" fontId="0" fillId="0" borderId="0" xfId="0" applyNumberFormat="1"/>
    <xf numFmtId="0" fontId="27" fillId="3" borderId="0" xfId="0" applyFont="1" applyFill="1" applyAlignment="1">
      <alignment horizontal="center" vertical="center" wrapText="1"/>
    </xf>
    <xf numFmtId="0" fontId="15" fillId="0" borderId="0" xfId="3" applyFont="1" applyAlignment="1">
      <alignment horizontal="right"/>
    </xf>
    <xf numFmtId="167" fontId="30" fillId="9" borderId="7" xfId="0" applyNumberFormat="1" applyFont="1" applyFill="1" applyBorder="1" applyAlignment="1">
      <alignment horizontal="center" vertical="center"/>
    </xf>
    <xf numFmtId="167" fontId="30" fillId="9" borderId="8" xfId="0" applyNumberFormat="1" applyFont="1" applyFill="1" applyBorder="1" applyAlignment="1">
      <alignment horizontal="center" vertical="center"/>
    </xf>
    <xf numFmtId="168" fontId="31" fillId="9" borderId="7" xfId="0" applyNumberFormat="1" applyFont="1" applyFill="1" applyBorder="1" applyAlignment="1">
      <alignment horizontal="center" vertical="center"/>
    </xf>
    <xf numFmtId="168" fontId="31" fillId="9" borderId="8" xfId="0" applyNumberFormat="1" applyFont="1" applyFill="1" applyBorder="1" applyAlignment="1">
      <alignment horizontal="center" vertical="center"/>
    </xf>
    <xf numFmtId="0" fontId="10" fillId="8" borderId="6" xfId="0" applyFont="1" applyFill="1" applyBorder="1" applyAlignment="1">
      <alignment horizontal="center" vertical="center"/>
    </xf>
    <xf numFmtId="0" fontId="10" fillId="8" borderId="7" xfId="0" applyFont="1" applyFill="1" applyBorder="1" applyAlignment="1">
      <alignment horizontal="center" vertical="center"/>
    </xf>
    <xf numFmtId="169" fontId="30" fillId="9" borderId="7" xfId="13" applyNumberFormat="1" applyFont="1" applyFill="1" applyBorder="1" applyAlignment="1">
      <alignment horizontal="right" vertical="center"/>
    </xf>
    <xf numFmtId="169" fontId="30" fillId="9" borderId="8" xfId="13" applyNumberFormat="1" applyFont="1" applyFill="1" applyBorder="1" applyAlignment="1">
      <alignment horizontal="right" vertical="center"/>
    </xf>
    <xf numFmtId="0" fontId="28" fillId="9" borderId="7" xfId="0" applyFont="1" applyFill="1" applyBorder="1" applyAlignment="1">
      <alignment horizontal="center" vertical="center"/>
    </xf>
    <xf numFmtId="0" fontId="28" fillId="9" borderId="8" xfId="0" applyFont="1" applyFill="1" applyBorder="1" applyAlignment="1">
      <alignment horizontal="center" vertical="center"/>
    </xf>
    <xf numFmtId="0" fontId="29" fillId="3" borderId="0" xfId="0" applyFont="1" applyFill="1" applyAlignment="1">
      <alignment horizontal="center" vertical="center"/>
    </xf>
    <xf numFmtId="0" fontId="29" fillId="3" borderId="9" xfId="0" applyFont="1" applyFill="1" applyBorder="1" applyAlignment="1">
      <alignment horizontal="center" vertical="center"/>
    </xf>
    <xf numFmtId="0" fontId="19" fillId="3" borderId="0" xfId="0" applyFont="1" applyFill="1" applyAlignment="1">
      <alignment horizontal="center"/>
    </xf>
  </cellXfs>
  <cellStyles count="14">
    <cellStyle name="Bad" xfId="11" builtinId="27"/>
    <cellStyle name="Comma 2" xfId="6" xr:uid="{70B95B68-42E5-4134-B60C-D53D63EA8C64}"/>
    <cellStyle name="Comma 3" xfId="9" xr:uid="{E6060E65-816D-42A3-BC2B-BC7AE08DF09F}"/>
    <cellStyle name="Good" xfId="10" builtinId="26"/>
    <cellStyle name="Hyperlink" xfId="1" builtinId="8"/>
    <cellStyle name="Neutral" xfId="12" builtinId="28"/>
    <cellStyle name="Normal" xfId="0" builtinId="0"/>
    <cellStyle name="Normal 2" xfId="2" xr:uid="{630AB955-5629-4F25-81F3-D0850CCA2D8B}"/>
    <cellStyle name="Normal 2 2" xfId="3" xr:uid="{BBC0A887-27F1-430C-A62B-8FDD810F3453}"/>
    <cellStyle name="Normal 3" xfId="4" xr:uid="{19553023-A532-4B21-B780-2F68384C80B9}"/>
    <cellStyle name="Normal 4" xfId="7" xr:uid="{9C62A56D-8BFB-43DA-B794-93EBCA984803}"/>
    <cellStyle name="Percent" xfId="13" builtinId="5"/>
    <cellStyle name="Percent 2" xfId="5" xr:uid="{1D541CDC-ACE8-4B54-AB6D-F143BBC82663}"/>
    <cellStyle name="Percent 3" xfId="8" xr:uid="{C04F5020-2218-4635-A7A5-19093E1C865B}"/>
  </cellStyles>
  <dxfs count="39">
    <dxf>
      <numFmt numFmtId="168" formatCode="&quot;$&quot;#,##0"/>
    </dxf>
    <dxf>
      <numFmt numFmtId="13" formatCode="0%"/>
    </dxf>
    <dxf>
      <numFmt numFmtId="168" formatCode="&quot;$&quot;#,##0"/>
    </dxf>
    <dxf>
      <numFmt numFmtId="167" formatCode="&quot;$&quot;#,##0.0"/>
    </dxf>
    <dxf>
      <numFmt numFmtId="13" formatCode="0%"/>
    </dxf>
    <dxf>
      <numFmt numFmtId="168" formatCode="&quot;$&quot;#,##0"/>
    </dxf>
    <dxf>
      <font>
        <strike val="0"/>
        <outline val="0"/>
        <shadow val="0"/>
        <u val="none"/>
        <vertAlign val="baseline"/>
        <sz val="10"/>
        <color auto="1"/>
        <name val="Arial"/>
        <family val="2"/>
        <scheme val="none"/>
      </font>
      <numFmt numFmtId="13" formatCode="0%"/>
      <fill>
        <patternFill patternType="solid">
          <fgColor indexed="64"/>
          <bgColor theme="0" tint="-4.9989318521683403E-2"/>
        </patternFill>
      </fill>
      <alignment horizontal="center" vertical="center" textRotation="0" wrapText="1" indent="0" justifyLastLine="0" shrinkToFit="0" readingOrder="0"/>
      <border diagonalUp="0" diagonalDown="0" outline="0">
        <left style="thin">
          <color theme="0" tint="-0.14990691854609822"/>
        </left>
        <right style="thin">
          <color theme="0" tint="-0.14990691854609822"/>
        </right>
        <top style="thin">
          <color theme="0" tint="-0.14990691854609822"/>
        </top>
        <bottom style="thin">
          <color theme="0" tint="-0.14990691854609822"/>
        </bottom>
      </border>
    </dxf>
    <dxf>
      <numFmt numFmtId="168" formatCode="&quot;$&quot;#,##0"/>
      <fill>
        <patternFill patternType="solid">
          <fgColor indexed="64"/>
          <bgColor theme="0" tint="-4.9989318521683403E-2"/>
        </patternFill>
      </fill>
      <alignment horizontal="center" vertical="center" textRotation="0" wrapText="1" indent="0" justifyLastLine="0" shrinkToFit="0" readingOrder="0"/>
      <border diagonalUp="0" diagonalDown="0">
        <left style="thin">
          <color theme="0" tint="-0.14990691854609822"/>
        </left>
        <right style="thin">
          <color theme="0" tint="-0.14990691854609822"/>
        </right>
        <top style="thin">
          <color theme="0" tint="-0.14990691854609822"/>
        </top>
        <bottom style="thin">
          <color theme="0" tint="-0.14990691854609822"/>
        </bottom>
      </border>
    </dxf>
    <dxf>
      <numFmt numFmtId="167" formatCode="&quot;$&quot;#,##0.0"/>
      <fill>
        <patternFill patternType="solid">
          <fgColor indexed="64"/>
          <bgColor theme="0" tint="-4.9989318521683403E-2"/>
        </patternFill>
      </fill>
      <alignment horizontal="center" vertical="center" textRotation="0" wrapText="1" indent="0" justifyLastLine="0" shrinkToFit="0" readingOrder="0"/>
      <border diagonalUp="0" diagonalDown="0">
        <left style="thin">
          <color theme="0" tint="-0.14990691854609822"/>
        </left>
        <right style="thin">
          <color theme="0" tint="-0.14990691854609822"/>
        </right>
        <top style="thin">
          <color theme="0" tint="-0.14990691854609822"/>
        </top>
        <bottom style="thin">
          <color theme="0" tint="-0.14990691854609822"/>
        </bottom>
        <vertical/>
        <horizontal/>
      </border>
    </dxf>
    <dxf>
      <font>
        <strike val="0"/>
        <outline val="0"/>
        <shadow val="0"/>
        <u val="none"/>
        <vertAlign val="baseline"/>
        <sz val="10"/>
        <color auto="1"/>
        <name val="Arial"/>
        <family val="2"/>
        <scheme val="none"/>
      </font>
      <numFmt numFmtId="167" formatCode="&quot;$&quot;#,##0.0"/>
      <fill>
        <patternFill patternType="solid">
          <fgColor indexed="64"/>
          <bgColor theme="0" tint="-4.9989318521683403E-2"/>
        </patternFill>
      </fill>
      <alignment horizontal="center" vertical="center" textRotation="0" wrapText="1" indent="0" justifyLastLine="0" shrinkToFit="0" readingOrder="0"/>
      <border diagonalUp="0" diagonalDown="0" outline="0">
        <left style="thin">
          <color theme="0" tint="-0.14990691854609822"/>
        </left>
        <right style="thin">
          <color theme="0" tint="-0.14990691854609822"/>
        </right>
        <top style="thin">
          <color theme="0" tint="-0.14990691854609822"/>
        </top>
        <bottom style="thin">
          <color theme="0" tint="-0.14990691854609822"/>
        </bottom>
      </border>
    </dxf>
    <dxf>
      <font>
        <b val="0"/>
        <i val="0"/>
        <strike val="0"/>
        <condense val="0"/>
        <extend val="0"/>
        <outline val="0"/>
        <shadow val="0"/>
        <u val="none"/>
        <vertAlign val="baseline"/>
        <sz val="10"/>
        <color auto="1"/>
        <name val="Arial"/>
        <family val="2"/>
        <scheme val="none"/>
      </font>
      <numFmt numFmtId="167" formatCode="&quot;$&quot;#,##0.0"/>
      <fill>
        <patternFill patternType="solid">
          <fgColor indexed="64"/>
          <bgColor theme="0" tint="-4.9989318521683403E-2"/>
        </patternFill>
      </fill>
      <alignment horizontal="center" vertical="center" textRotation="0" wrapText="1" indent="0" justifyLastLine="0" shrinkToFit="0" readingOrder="0"/>
      <border diagonalUp="0" diagonalDown="0">
        <left style="thin">
          <color theme="0" tint="-0.14990691854609822"/>
        </left>
        <right style="thin">
          <color theme="0" tint="-0.14990691854609822"/>
        </right>
        <top style="thin">
          <color theme="0" tint="-0.14990691854609822"/>
        </top>
        <bottom style="thin">
          <color theme="0" tint="-0.14990691854609822"/>
        </bottom>
      </border>
    </dxf>
    <dxf>
      <font>
        <strike val="0"/>
        <outline val="0"/>
        <shadow val="0"/>
        <u val="none"/>
        <vertAlign val="baseline"/>
        <sz val="10"/>
        <color auto="1"/>
        <name val="Arial"/>
        <family val="2"/>
        <scheme val="none"/>
      </font>
      <numFmt numFmtId="167" formatCode="&quot;$&quot;#,##0.0"/>
      <fill>
        <patternFill patternType="none">
          <fgColor indexed="64"/>
          <bgColor auto="1"/>
        </patternFill>
      </fill>
      <alignment horizontal="center" vertical="center" textRotation="0" wrapText="1" indent="0" justifyLastLine="0" shrinkToFit="0" readingOrder="0"/>
      <border diagonalUp="0" diagonalDown="0" outline="0">
        <left style="thin">
          <color theme="0" tint="-0.14990691854609822"/>
        </left>
        <right style="thin">
          <color theme="0" tint="-0.14990691854609822"/>
        </right>
        <top style="thin">
          <color theme="0" tint="-0.14990691854609822"/>
        </top>
        <bottom style="thin">
          <color theme="0" tint="-0.14990691854609822"/>
        </bottom>
      </border>
    </dxf>
    <dxf>
      <numFmt numFmtId="168" formatCode="&quot;$&quot;#,##0"/>
      <fill>
        <patternFill patternType="solid">
          <fgColor indexed="64"/>
          <bgColor theme="0" tint="-4.9989318521683403E-2"/>
        </patternFill>
      </fill>
      <alignment horizontal="center" vertical="center" textRotation="0" wrapText="1" indent="0" justifyLastLine="0" shrinkToFit="0" readingOrder="0"/>
      <border diagonalUp="0" diagonalDown="0" outline="0">
        <left style="thin">
          <color theme="0" tint="-0.14990691854609822"/>
        </left>
        <right style="thin">
          <color theme="0" tint="-0.14990691854609822"/>
        </right>
        <top style="thin">
          <color theme="0" tint="-0.14990691854609822"/>
        </top>
        <bottom style="thin">
          <color theme="0" tint="-0.14990691854609822"/>
        </bottom>
      </border>
    </dxf>
    <dxf>
      <numFmt numFmtId="167" formatCode="&quot;$&quot;#,##0.0"/>
      <fill>
        <patternFill patternType="solid">
          <fgColor indexed="64"/>
          <bgColor theme="0" tint="-4.9989318521683403E-2"/>
        </patternFill>
      </fill>
      <alignment horizontal="center" vertical="center" textRotation="0" wrapText="1" indent="0" justifyLastLine="0" shrinkToFit="0" readingOrder="0"/>
      <border diagonalUp="0" diagonalDown="0" outline="0">
        <left style="thin">
          <color theme="0" tint="-0.14990691854609822"/>
        </left>
        <right style="thin">
          <color theme="0" tint="-0.14990691854609822"/>
        </right>
        <top style="thin">
          <color theme="0" tint="-0.14990691854609822"/>
        </top>
        <bottom style="thin">
          <color theme="0" tint="-0.14990691854609822"/>
        </bottom>
      </border>
    </dxf>
    <dxf>
      <numFmt numFmtId="0" formatCode="General"/>
      <fill>
        <patternFill patternType="none">
          <fgColor indexed="64"/>
          <bgColor auto="1"/>
        </patternFill>
      </fill>
      <alignment horizontal="center" vertical="center" textRotation="0" wrapText="1" indent="0" justifyLastLine="0" shrinkToFit="0" readingOrder="0"/>
      <border diagonalUp="0" diagonalDown="0" outline="0">
        <left style="thin">
          <color theme="0" tint="-0.14990691854609822"/>
        </left>
        <right style="thin">
          <color theme="0" tint="-0.14990691854609822"/>
        </right>
        <top style="thin">
          <color theme="0" tint="-0.14990691854609822"/>
        </top>
        <bottom style="thin">
          <color theme="0" tint="-0.14990691854609822"/>
        </bottom>
      </border>
    </dxf>
    <dxf>
      <font>
        <b val="0"/>
        <i val="0"/>
        <strike val="0"/>
        <condense val="0"/>
        <extend val="0"/>
        <outline val="0"/>
        <shadow val="0"/>
        <u val="none"/>
        <vertAlign val="baseline"/>
        <sz val="10"/>
        <color theme="1"/>
        <name val="Arial"/>
        <family val="2"/>
        <scheme val="none"/>
      </font>
      <numFmt numFmtId="166" formatCode="mmm"/>
      <fill>
        <patternFill patternType="solid">
          <fgColor indexed="64"/>
          <bgColor theme="0" tint="-4.9989318521683403E-2"/>
        </patternFill>
      </fill>
      <alignment horizontal="center" vertical="center" textRotation="0" wrapText="1" indent="0" justifyLastLine="0" shrinkToFit="0" readingOrder="0"/>
      <border diagonalUp="0" diagonalDown="0">
        <left style="thin">
          <color theme="0" tint="-0.14990691854609822"/>
        </left>
        <right style="thin">
          <color theme="0" tint="-0.14990691854609822"/>
        </right>
        <top style="thin">
          <color theme="0" tint="-0.14990691854609822"/>
        </top>
        <bottom style="thin">
          <color theme="0" tint="-0.14990691854609822"/>
        </bottom>
      </border>
    </dxf>
    <dxf>
      <font>
        <strike val="0"/>
        <outline val="0"/>
        <shadow val="0"/>
        <u val="none"/>
        <vertAlign val="baseline"/>
        <sz val="10"/>
        <color theme="1"/>
        <name val="Arial"/>
        <family val="2"/>
        <scheme val="none"/>
      </font>
      <numFmt numFmtId="165" formatCode="[$-409]d\-mmm\-yy;@"/>
      <fill>
        <patternFill patternType="none">
          <fgColor indexed="64"/>
          <bgColor auto="1"/>
        </patternFill>
      </fill>
      <alignment horizontal="center" vertical="center" textRotation="0" wrapText="1" indent="0" justifyLastLine="0" shrinkToFit="0" readingOrder="0"/>
      <border diagonalUp="0" diagonalDown="0">
        <left style="thin">
          <color theme="0" tint="-0.14990691854609822"/>
        </left>
        <right style="thin">
          <color theme="0" tint="-0.14990691854609822"/>
        </right>
        <top style="thin">
          <color theme="0" tint="-0.14990691854609822"/>
        </top>
        <bottom style="thin">
          <color theme="0" tint="-0.14990691854609822"/>
        </bottom>
      </border>
    </dxf>
    <dxf>
      <numFmt numFmtId="1" formatCode="0"/>
      <fill>
        <patternFill patternType="solid">
          <fgColor indexed="64"/>
          <bgColor theme="0" tint="-4.9989318521683403E-2"/>
        </patternFill>
      </fill>
      <alignment horizontal="center" vertical="center" textRotation="0" wrapText="1" indent="0" justifyLastLine="0" shrinkToFit="0" readingOrder="0"/>
      <border diagonalUp="0" diagonalDown="0" outline="0">
        <left style="thin">
          <color theme="0" tint="-0.14990691854609822"/>
        </left>
        <right style="thin">
          <color theme="0" tint="-0.14990691854609822"/>
        </right>
        <top style="thin">
          <color theme="0" tint="-0.14990691854609822"/>
        </top>
        <bottom style="thin">
          <color theme="0" tint="-0.14990691854609822"/>
        </bottom>
      </border>
    </dxf>
    <dxf>
      <numFmt numFmtId="1" formatCode="0"/>
      <fill>
        <patternFill patternType="solid">
          <fgColor indexed="64"/>
          <bgColor theme="0" tint="-4.9989318521683403E-2"/>
        </patternFill>
      </fill>
      <alignment horizontal="center" vertical="center" textRotation="0" wrapText="1" indent="0" justifyLastLine="0" shrinkToFit="0" readingOrder="0"/>
      <border diagonalUp="0" diagonalDown="0" outline="0">
        <left style="thin">
          <color theme="0" tint="-0.14990691854609822"/>
        </left>
        <right style="thin">
          <color theme="0" tint="-0.14990691854609822"/>
        </right>
        <top style="thin">
          <color theme="0" tint="-0.14990691854609822"/>
        </top>
        <bottom style="thin">
          <color theme="0" tint="-0.14990691854609822"/>
        </bottom>
      </border>
    </dxf>
    <dxf>
      <numFmt numFmtId="166" formatCode="mmm"/>
      <fill>
        <patternFill patternType="none">
          <fgColor indexed="64"/>
          <bgColor auto="1"/>
        </patternFill>
      </fill>
      <alignment horizontal="center" vertical="center" textRotation="0" wrapText="1" indent="0" justifyLastLine="0" shrinkToFit="0" readingOrder="0"/>
      <border diagonalUp="0" diagonalDown="0" outline="0">
        <left style="thin">
          <color theme="0" tint="-0.14990691854609822"/>
        </left>
        <right style="thin">
          <color theme="0" tint="-0.14990691854609822"/>
        </right>
        <top style="thin">
          <color theme="0" tint="-0.14990691854609822"/>
        </top>
        <bottom style="thin">
          <color theme="0" tint="-0.14990691854609822"/>
        </bottom>
      </border>
    </dxf>
    <dxf>
      <numFmt numFmtId="165" formatCode="[$-409]d\-mmm\-yy;@"/>
      <fill>
        <patternFill patternType="none">
          <fgColor indexed="64"/>
          <bgColor auto="1"/>
        </patternFill>
      </fill>
      <alignment horizontal="center" vertical="center" textRotation="0" wrapText="1" indent="0" justifyLastLine="0" shrinkToFit="0" readingOrder="0"/>
      <border diagonalUp="0" diagonalDown="0" outline="0">
        <left style="thin">
          <color theme="0" tint="-0.14990691854609822"/>
        </left>
        <right style="thin">
          <color theme="0" tint="-0.14990691854609822"/>
        </right>
        <top style="thin">
          <color theme="0" tint="-0.14990691854609822"/>
        </top>
        <bottom style="thin">
          <color theme="0" tint="-0.14990691854609822"/>
        </bottom>
      </border>
    </dxf>
    <dxf>
      <border>
        <top style="thin">
          <color theme="0" tint="-0.14993743705557422"/>
        </top>
      </border>
    </dxf>
    <dxf>
      <border diagonalUp="0" diagonalDown="0">
        <left style="thin">
          <color theme="0" tint="-0.14993743705557422"/>
        </left>
        <right style="thin">
          <color theme="0" tint="-0.14993743705557422"/>
        </right>
        <top style="thin">
          <color theme="0" tint="-0.14993743705557422"/>
        </top>
        <bottom style="thin">
          <color theme="0" tint="-0.14993743705557422"/>
        </bottom>
      </border>
    </dxf>
    <dxf>
      <numFmt numFmtId="0" formatCode="General"/>
      <fill>
        <patternFill patternType="none">
          <fgColor indexed="64"/>
          <bgColor auto="1"/>
        </patternFill>
      </fill>
      <alignment horizontal="general" vertical="center" textRotation="0" wrapText="1" indent="0" justifyLastLine="0" shrinkToFit="0" readingOrder="0"/>
    </dxf>
    <dxf>
      <border>
        <bottom style="thin">
          <color theme="0" tint="-0.14993743705557422"/>
        </bottom>
      </border>
    </dxf>
    <dxf>
      <font>
        <b/>
        <i val="0"/>
        <strike val="0"/>
        <condense val="0"/>
        <extend val="0"/>
        <outline val="0"/>
        <shadow val="0"/>
        <u val="none"/>
        <vertAlign val="baseline"/>
        <sz val="12"/>
        <color theme="0"/>
        <name val="Arial"/>
        <family val="2"/>
        <scheme val="none"/>
      </font>
      <fill>
        <patternFill patternType="solid">
          <fgColor indexed="64"/>
          <bgColor rgb="FF50B47F"/>
        </patternFill>
      </fill>
      <alignment horizontal="center" vertical="center" textRotation="0" wrapText="1" indent="0" justifyLastLine="0" shrinkToFit="0" readingOrder="0"/>
      <border diagonalUp="0" diagonalDown="0" outline="0">
        <left style="thin">
          <color theme="0" tint="-0.14993743705557422"/>
        </left>
        <right style="thin">
          <color theme="0" tint="-0.14993743705557422"/>
        </right>
        <top/>
        <bottom/>
      </border>
    </dxf>
    <dxf>
      <font>
        <color rgb="FF9C0006"/>
      </font>
      <fill>
        <patternFill>
          <bgColor rgb="FFFFC7CE"/>
        </patternFill>
      </fill>
    </dxf>
    <dxf>
      <font>
        <color rgb="FF006100"/>
      </font>
      <fill>
        <patternFill>
          <bgColor rgb="FFC6EFCE"/>
        </patternFill>
      </fill>
    </dxf>
    <dxf>
      <font>
        <b/>
        <sz val="11"/>
        <color theme="1"/>
      </font>
    </dxf>
    <dxf>
      <fill>
        <patternFill patternType="solid">
          <fgColor theme="0"/>
          <bgColor theme="0"/>
        </patternFill>
      </fill>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fill>
        <patternFill>
          <bgColor theme="0" tint="-4.9989318521683403E-2"/>
        </patternFill>
      </fill>
      <border diagonalUp="0" diagonalDown="0">
        <left/>
        <right/>
        <top/>
        <bottom/>
        <vertical/>
        <horizontal/>
      </border>
    </dxf>
    <dxf>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border diagonalUp="0" diagonalDown="0">
        <left/>
        <right/>
        <top/>
        <bottom/>
        <vertical/>
        <horizontal/>
      </border>
    </dxf>
    <dxf>
      <fill>
        <patternFill>
          <bgColor rgb="FF8FCFAD"/>
        </patternFill>
      </fill>
    </dxf>
    <dxf>
      <fill>
        <patternFill>
          <bgColor rgb="FF8FCFAD"/>
        </patternFill>
      </fill>
    </dxf>
    <dxf>
      <font>
        <color auto="1"/>
      </font>
      <fill>
        <patternFill patternType="none">
          <bgColor auto="1"/>
        </patternFill>
      </fill>
    </dxf>
    <dxf>
      <fill>
        <patternFill>
          <bgColor rgb="FF8FCFAD"/>
        </patternFill>
      </fill>
    </dxf>
    <dxf>
      <fill>
        <patternFill>
          <bgColor rgb="FF8FCFAD"/>
        </patternFill>
      </fill>
    </dxf>
    <dxf>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s>
  <tableStyles count="6" defaultTableStyle="TableStyleMedium2" defaultPivotStyle="PivotStyleLight16">
    <tableStyle name="Invisible" pivot="0" table="0" count="0" xr9:uid="{3A2B04F1-DD56-4144-A538-2CCC1ACF76AF}"/>
    <tableStyle name="PivotTable Style 1" table="0" count="6" xr9:uid="{3831004B-067D-418F-BD50-A3986E0D4865}">
      <tableStyleElement type="wholeTable" dxfId="38"/>
      <tableStyleElement type="headerRow" dxfId="37"/>
      <tableStyleElement type="totalRow" dxfId="36"/>
      <tableStyleElement type="lastColumn" dxfId="35"/>
      <tableStyleElement type="pageFieldLabels" dxfId="34"/>
      <tableStyleElement type="pageFieldValues" dxfId="33"/>
    </tableStyle>
    <tableStyle name="Slicer Style 1" pivot="0" table="0" count="8" xr9:uid="{6B0103B1-AE5E-4E9B-A35E-CDD51150C899}">
      <tableStyleElement type="wholeTable" dxfId="32"/>
    </tableStyle>
    <tableStyle name="Slicer Style 1 2" pivot="0" table="0" count="8" xr9:uid="{121112F6-CD7D-4975-B100-08E955851BB0}">
      <tableStyleElement type="wholeTable" dxfId="31"/>
    </tableStyle>
    <tableStyle name="Slicer Style 1 3" pivot="0" table="0" count="8" xr9:uid="{30E2D2A0-B91F-4D60-99F7-7F97B972C250}">
      <tableStyleElement type="wholeTable" dxfId="30"/>
    </tableStyle>
    <tableStyle name="Timeline Style 1" pivot="0" table="0" count="8" xr9:uid="{E7FBEFCC-9E91-45D6-9FD4-D3137AAC2CB6}">
      <tableStyleElement type="wholeTable" dxfId="29"/>
      <tableStyleElement type="headerRow" dxfId="28"/>
    </tableStyle>
  </tableStyles>
  <colors>
    <mruColors>
      <color rgb="FF8FCFAD"/>
      <color rgb="FF50B47F"/>
      <color rgb="FF8A0000"/>
      <color rgb="FFFFBDBD"/>
      <color rgb="FFF74F4F"/>
      <color rgb="FFFF6565"/>
      <color rgb="FFFF6161"/>
      <color rgb="FFFF5353"/>
      <color rgb="FFFF9797"/>
      <color rgb="FFFF3B3B"/>
    </mruColors>
  </colors>
  <extLst>
    <ext xmlns:x14="http://schemas.microsoft.com/office/spreadsheetml/2009/9/main" uri="{46F421CA-312F-682f-3DD2-61675219B42D}">
      <x14:dxfs count="21">
        <dxf>
          <fill>
            <patternFill patternType="none">
              <bgColor auto="1"/>
            </patternFill>
          </fill>
        </dxf>
        <dxf>
          <font>
            <color theme="0"/>
          </font>
          <fill>
            <patternFill>
              <bgColor rgb="FF50B47F"/>
            </patternFill>
          </fill>
        </dxf>
        <dxf>
          <fill>
            <patternFill>
              <bgColor rgb="FF50B47F"/>
            </patternFill>
          </fill>
        </dxf>
        <dxf>
          <fill>
            <patternFill>
              <bgColor theme="0" tint="-0.24994659260841701"/>
            </patternFill>
          </fill>
        </dxf>
        <dxf>
          <fill>
            <patternFill>
              <bgColor rgb="FF8FCFAD"/>
            </patternFill>
          </fill>
        </dxf>
        <dxf>
          <fill>
            <patternFill>
              <bgColor theme="0" tint="-0.24994659260841701"/>
            </patternFill>
          </fill>
        </dxf>
        <dxf>
          <fill>
            <patternFill>
              <bgColor theme="0" tint="-0.14996795556505021"/>
            </patternFill>
          </fill>
        </dxf>
        <dxf>
          <fill>
            <patternFill patternType="none">
              <bgColor auto="1"/>
            </patternFill>
          </fill>
        </dxf>
        <dxf>
          <font>
            <color theme="0"/>
          </font>
          <fill>
            <patternFill>
              <bgColor rgb="FF50B47F"/>
            </patternFill>
          </fill>
        </dxf>
        <dxf>
          <fill>
            <patternFill>
              <bgColor rgb="FF50B47F"/>
            </patternFill>
          </fill>
        </dxf>
        <dxf>
          <fill>
            <patternFill>
              <bgColor theme="0" tint="-0.24994659260841701"/>
            </patternFill>
          </fill>
        </dxf>
        <dxf>
          <fill>
            <patternFill>
              <bgColor rgb="FF8FCFAD"/>
            </patternFill>
          </fill>
        </dxf>
        <dxf>
          <fill>
            <patternFill>
              <bgColor theme="0" tint="-0.24994659260841701"/>
            </patternFill>
          </fill>
        </dxf>
        <dxf>
          <fill>
            <patternFill>
              <bgColor theme="0" tint="-0.14996795556505021"/>
            </patternFill>
          </fill>
        </dxf>
        <dxf>
          <fill>
            <patternFill patternType="none">
              <bgColor auto="1"/>
            </patternFill>
          </fill>
        </dxf>
        <dxf>
          <font>
            <color theme="0"/>
          </font>
          <fill>
            <patternFill>
              <bgColor rgb="FF50B47F"/>
            </patternFill>
          </fill>
        </dxf>
        <dxf>
          <fill>
            <patternFill>
              <bgColor rgb="FF50B47F"/>
            </patternFill>
          </fill>
        </dxf>
        <dxf>
          <fill>
            <patternFill>
              <bgColor theme="0" tint="-0.24994659260841701"/>
            </patternFill>
          </fill>
        </dxf>
        <dxf>
          <fill>
            <patternFill>
              <bgColor rgb="FF8FCFAD"/>
            </patternFill>
          </fill>
        </dxf>
        <dxf>
          <fill>
            <patternFill>
              <bgColor theme="0" tint="-0.24994659260841701"/>
            </patternFill>
          </fill>
        </dxf>
        <dxf>
          <fill>
            <patternFill>
              <bgColor theme="0" tint="-0.14996795556505021"/>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20"/>
            <x14:slicerStyleElement type="unselectedItemWithNoData" dxfId="19"/>
            <x14:slicerStyleElement type="selectedItemWithData" dxfId="18"/>
            <x14:slicerStyleElement type="selectedItemWithNoData" dxfId="17"/>
            <x14:slicerStyleElement type="hoveredUnselectedItemWithData" dxfId="16"/>
            <x14:slicerStyleElement type="hoveredSelectedItemWithData" dxfId="15"/>
            <x14:slicerStyleElement type="hoveredSelectedItemWithNoData" dxfId="14"/>
          </x14:slicerStyleElements>
        </x14:slicerStyle>
        <x14:slicerStyle name="Slicer Style 1 2">
          <x14:slicerStyleElements>
            <x14:slicerStyleElement type="unselectedItemWithData" dxfId="13"/>
            <x14:slicerStyleElement type="unselectedItemWithNoData" dxfId="12"/>
            <x14:slicerStyleElement type="selectedItemWithData" dxfId="11"/>
            <x14:slicerStyleElement type="selectedItemWithNoData" dxfId="10"/>
            <x14:slicerStyleElement type="hoveredUnselectedItemWithData" dxfId="9"/>
            <x14:slicerStyleElement type="hoveredSelectedItemWithData" dxfId="8"/>
            <x14:slicerStyleElement type="hoveredSelectedItemWithNoData" dxfId="7"/>
          </x14:slicerStyleElements>
        </x14:slicerStyle>
        <x14:slicerStyle name="Slicer Style 1 3">
          <x14:slicerStyleElements>
            <x14:slicerStyleElement type="unselectedItemWithData" dxfId="6"/>
            <x14:slicerStyleElement type="unselectedItemWithNoData" dxfId="5"/>
            <x14:slicerStyleElement type="selectedItemWithData" dxfId="4"/>
            <x14:slicerStyleElement type="selectedItemWithNoData" dxfId="3"/>
            <x14:slicerStyleElement type="hoveredUnselectedItemWithData" dxfId="2"/>
            <x14:slicerStyleElement type="hoveredSelectedItemWithData" dxfId="1"/>
            <x14:slicerStyleElement type="hoveredSelectedItemWithNoData" dxfId="0"/>
          </x14:slicerStyleElements>
        </x14:slicerStyle>
      </x14:slicerStyles>
    </ext>
    <ext xmlns:x15="http://schemas.microsoft.com/office/spreadsheetml/2010/11/main" uri="{A0A4C193-F2C1-4fcb-8827-314CF55A85BB}">
      <x15:dxfs count="6">
        <dxf>
          <fill>
            <patternFill patternType="solid">
              <fgColor theme="0" tint="-0.14999847407452621"/>
              <bgColor theme="0" tint="-0.14999847407452621"/>
            </patternFill>
          </fill>
        </dxf>
        <dxf>
          <fill>
            <patternFill patternType="solid">
              <fgColor theme="0"/>
              <bgColor rgb="FF8FCFAD"/>
            </patternFill>
          </fill>
        </dxf>
        <dxf>
          <font>
            <sz val="9"/>
            <color theme="1" tint="0.499984740745262"/>
          </font>
        </dxf>
        <dxf>
          <font>
            <sz val="9"/>
            <color theme="1" tint="0.499984740745262"/>
          </font>
        </dxf>
        <dxf>
          <font>
            <sz val="9"/>
            <color theme="1" tint="0.499984740745262"/>
          </font>
        </dxf>
        <dxf>
          <font>
            <sz val="10"/>
            <color theme="1" tint="0.499984740745262"/>
          </font>
        </dxf>
      </x15:dxfs>
    </ext>
    <ext xmlns:x15="http://schemas.microsoft.com/office/spreadsheetml/2010/11/main" uri="{9260A510-F301-46a8-8635-F512D64BE5F5}">
      <x15:timelineStyles defaultTimelineStyle="TimeSlicerStyleLight1">
        <x15:timelineStyle name="Timeline Style 1">
          <x15:timelineStyleElements>
            <x15:timelineStyleElement type="selectionLabel" dxfId="5"/>
            <x15:timelineStyleElement type="timeLevel" dxfId="4"/>
            <x15:timelineStyleElement type="periodLabel1" dxfId="3"/>
            <x15:timelineStyleElement type="periodLabel2" dxfId="2"/>
            <x15:timelineStyleElement type="selectedTimeBlock" dxfId="1"/>
            <x15:timelineStyleElement type="unselectedTimeBlock" dxfId="0"/>
          </x15:timelineStyleElements>
        </x15:timelineStyle>
      </x15:timelineStyles>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13" Type="http://schemas.openxmlformats.org/officeDocument/2006/relationships/sharedStrings" Target="sharedStrings.xml"/><Relationship Id="rId18" Type="http://schemas.openxmlformats.org/officeDocument/2006/relationships/customXml" Target="../customXml/item4.xml"/><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styles" Target="style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connections" Target="connections.xml"/><Relationship Id="rId5" Type="http://schemas.openxmlformats.org/officeDocument/2006/relationships/pivotCacheDefinition" Target="pivotCache/pivotCacheDefinition1.xml"/><Relationship Id="rId15" Type="http://schemas.openxmlformats.org/officeDocument/2006/relationships/customXml" Target="../customXml/item1.xml"/><Relationship Id="rId10" Type="http://schemas.openxmlformats.org/officeDocument/2006/relationships/theme" Target="theme/theme1.xml"/><Relationship Id="rId19" Type="http://schemas.microsoft.com/office/2006/relationships/vbaProject" Target="vbaProject.bin"/><Relationship Id="rId4" Type="http://schemas.openxmlformats.org/officeDocument/2006/relationships/worksheet" Target="worksheets/sheet4.xml"/><Relationship Id="rId9" Type="http://schemas.microsoft.com/office/2007/relationships/slicerCache" Target="slicerCaches/slicerCache4.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[Stock Portfolio Tracker.xlsm]Sheet1!gain and lose</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solidFill>
                  <a:srgbClr val="50B47F"/>
                </a:solidFill>
                <a:latin typeface="Arial" panose="020B0604020202020204" pitchFamily="34" charset="0"/>
                <a:cs typeface="Arial" panose="020B0604020202020204" pitchFamily="34" charset="0"/>
              </a:rPr>
              <a:t>Gain</a:t>
            </a:r>
            <a:r>
              <a:rPr lang="en-US">
                <a:latin typeface="Arial" panose="020B0604020202020204" pitchFamily="34" charset="0"/>
                <a:cs typeface="Arial" panose="020B0604020202020204" pitchFamily="34" charset="0"/>
              </a:rPr>
              <a:t> / </a:t>
            </a:r>
            <a:r>
              <a:rPr lang="en-US">
                <a:solidFill>
                  <a:srgbClr val="C00000"/>
                </a:solidFill>
                <a:latin typeface="Arial" panose="020B0604020202020204" pitchFamily="34" charset="0"/>
                <a:cs typeface="Arial" panose="020B0604020202020204" pitchFamily="34" charset="0"/>
              </a:rPr>
              <a:t>Lose </a:t>
            </a:r>
            <a:r>
              <a:rPr lang="en-US">
                <a:solidFill>
                  <a:sysClr val="windowText" lastClr="000000"/>
                </a:solidFill>
                <a:latin typeface="Arial" panose="020B0604020202020204" pitchFamily="34" charset="0"/>
                <a:cs typeface="Arial" panose="020B0604020202020204" pitchFamily="34" charset="0"/>
              </a:rPr>
              <a:t>%</a:t>
            </a:r>
            <a:r>
              <a:rPr lang="en-US" baseline="0">
                <a:latin typeface="Arial" panose="020B0604020202020204" pitchFamily="34" charset="0"/>
                <a:cs typeface="Arial" panose="020B0604020202020204" pitchFamily="34" charset="0"/>
              </a:rPr>
              <a:t> Analysis</a:t>
            </a:r>
            <a:endParaRPr lang="en-US">
              <a:latin typeface="Arial" panose="020B0604020202020204" pitchFamily="34" charset="0"/>
              <a:cs typeface="Arial" panose="020B0604020202020204" pitchFamily="34" charset="0"/>
            </a:endParaRPr>
          </a:p>
        </c:rich>
      </c:tx>
      <c:layout>
        <c:manualLayout>
          <c:xMode val="edge"/>
          <c:yMode val="edge"/>
          <c:x val="0.34141679932482621"/>
          <c:y val="2.585857598654539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8FCFA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1117494689997313E-2"/>
          <c:y val="0.1646934134811007"/>
          <c:w val="0.98457274118305405"/>
          <c:h val="0.71434166774055741"/>
        </c:manualLayout>
      </c:layout>
      <c:barChart>
        <c:barDir val="col"/>
        <c:grouping val="clustered"/>
        <c:varyColors val="0"/>
        <c:ser>
          <c:idx val="0"/>
          <c:order val="0"/>
          <c:tx>
            <c:strRef>
              <c:f>Sheet1!$C$3</c:f>
              <c:strCache>
                <c:ptCount val="1"/>
                <c:pt idx="0">
                  <c:v>Total</c:v>
                </c:pt>
              </c:strCache>
            </c:strRef>
          </c:tx>
          <c:spPr>
            <a:solidFill>
              <a:srgbClr val="8FCFAD"/>
            </a:solidFill>
            <a:ln>
              <a:noFill/>
            </a:ln>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Sheet1!$B$4:$B$16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Sheet1!$C$4:$C$16</c:f>
              <c:numCache>
                <c:formatCode>0%</c:formatCode>
                <c:ptCount val="12"/>
                <c:pt idx="0">
                  <c:v>9.9114393232037079E-3</c:v>
                </c:pt>
                <c:pt idx="1">
                  <c:v>-0.25799481417458969</c:v>
                </c:pt>
                <c:pt idx="2">
                  <c:v>0.65173403375650563</c:v>
                </c:pt>
                <c:pt idx="3">
                  <c:v>-7.6250546838782074E-2</c:v>
                </c:pt>
                <c:pt idx="4">
                  <c:v>0.43131493974190599</c:v>
                </c:pt>
                <c:pt idx="5">
                  <c:v>3.7037037037037007E-2</c:v>
                </c:pt>
                <c:pt idx="6">
                  <c:v>0.4541167505476823</c:v>
                </c:pt>
                <c:pt idx="7">
                  <c:v>-4.6858588035058754E-2</c:v>
                </c:pt>
                <c:pt idx="8">
                  <c:v>0.1179144385026737</c:v>
                </c:pt>
                <c:pt idx="9">
                  <c:v>0.39241002443249623</c:v>
                </c:pt>
                <c:pt idx="10">
                  <c:v>0.1684981684981684</c:v>
                </c:pt>
                <c:pt idx="11">
                  <c:v>-0.21902356902356923</c:v>
                </c:pt>
              </c:numCache>
            </c:numRef>
          </c:val>
          <c:extLst>
            <c:ext xmlns:c14="http://schemas.microsoft.com/office/drawing/2007/8/2/chart" uri="{6F2FDCE9-48DA-4B69-8628-5D25D57E5C99}">
              <c14:invertSolidFillFmt>
                <c14:spPr xmlns:c14="http://schemas.microsoft.com/office/drawing/2007/8/2/chart">
                  <a:solidFill>
                    <a:srgbClr val="C00000"/>
                  </a:solidFill>
                  <a:ln>
                    <a:noFill/>
                  </a:ln>
                  <a:effectLst/>
                </c14:spPr>
              </c14:invertSolidFillFmt>
            </c:ext>
            <c:ext xmlns:c16="http://schemas.microsoft.com/office/drawing/2014/chart" uri="{C3380CC4-5D6E-409C-BE32-E72D297353CC}">
              <c16:uniqueId val="{00000000-3199-4046-A859-E72514149C3A}"/>
            </c:ext>
          </c:extLst>
        </c:ser>
        <c:dLbls>
          <c:showLegendKey val="0"/>
          <c:showVal val="0"/>
          <c:showCatName val="0"/>
          <c:showSerName val="0"/>
          <c:showPercent val="0"/>
          <c:showBubbleSize val="0"/>
        </c:dLbls>
        <c:gapWidth val="219"/>
        <c:overlap val="-27"/>
        <c:axId val="129602256"/>
        <c:axId val="129603088"/>
      </c:barChart>
      <c:catAx>
        <c:axId val="129602256"/>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crossAx val="129603088"/>
        <c:crosses val="autoZero"/>
        <c:auto val="1"/>
        <c:lblAlgn val="ctr"/>
        <c:lblOffset val="100"/>
        <c:noMultiLvlLbl val="0"/>
      </c:catAx>
      <c:valAx>
        <c:axId val="129603088"/>
        <c:scaling>
          <c:orientation val="minMax"/>
        </c:scaling>
        <c:delete val="1"/>
        <c:axPos val="l"/>
        <c:numFmt formatCode="0%" sourceLinked="1"/>
        <c:majorTickMark val="none"/>
        <c:minorTickMark val="none"/>
        <c:tickLblPos val="nextTo"/>
        <c:crossAx val="1296022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[Stock Portfolio Tracker.xlsm]Sheet1!running total</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sz="1400">
                <a:latin typeface="Arial" panose="020B0604020202020204" pitchFamily="34" charset="0"/>
                <a:cs typeface="Arial" panose="020B0604020202020204" pitchFamily="34" charset="0"/>
              </a:rPr>
              <a:t>Accumlated Growth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a:gsLst>
              <a:gs pos="0">
                <a:srgbClr val="50B47F"/>
              </a:gs>
              <a:gs pos="100000">
                <a:schemeClr val="accent4">
                  <a:lumMod val="40000"/>
                  <a:lumOff val="60000"/>
                </a:schemeClr>
              </a:gs>
              <a:gs pos="58000">
                <a:srgbClr val="8FCFAD"/>
              </a:gs>
            </a:gsLst>
            <a:lin ang="5400000" scaled="1"/>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showLegendKey val="0"/>
          <c:showVal val="1"/>
          <c:showCatName val="0"/>
          <c:showSerName val="0"/>
          <c:showPercent val="0"/>
          <c:showBubbleSize val="0"/>
          <c:separator>
</c:separator>
          <c:extLst>
            <c:ext xmlns:c15="http://schemas.microsoft.com/office/drawing/2012/chart" uri="{CE6537A1-D6FC-4f65-9D91-7224C49458BB}"/>
          </c:extLst>
        </c:dLbl>
      </c:pivotFmt>
    </c:pivotFmts>
    <c:plotArea>
      <c:layout>
        <c:manualLayout>
          <c:layoutTarget val="inner"/>
          <c:xMode val="edge"/>
          <c:yMode val="edge"/>
          <c:x val="7.4644503594823311E-3"/>
          <c:y val="0.17302802521397262"/>
          <c:w val="0.99057619097612815"/>
          <c:h val="0.65043939354222291"/>
        </c:manualLayout>
      </c:layout>
      <c:areaChart>
        <c:grouping val="stacked"/>
        <c:varyColors val="0"/>
        <c:ser>
          <c:idx val="0"/>
          <c:order val="0"/>
          <c:tx>
            <c:strRef>
              <c:f>Sheet1!$F$3</c:f>
              <c:strCache>
                <c:ptCount val="1"/>
                <c:pt idx="0">
                  <c:v>Total</c:v>
                </c:pt>
              </c:strCache>
            </c:strRef>
          </c:tx>
          <c:spPr>
            <a:gradFill>
              <a:gsLst>
                <a:gs pos="0">
                  <a:srgbClr val="50B47F"/>
                </a:gs>
                <a:gs pos="100000">
                  <a:schemeClr val="accent4">
                    <a:lumMod val="40000"/>
                    <a:lumOff val="60000"/>
                  </a:schemeClr>
                </a:gs>
                <a:gs pos="58000">
                  <a:srgbClr val="8FCFAD"/>
                </a:gs>
              </a:gsLst>
              <a:lin ang="5400000" scaled="1"/>
            </a:gradFill>
            <a:ln>
              <a:noFill/>
            </a:ln>
            <a:effectLst/>
          </c:spPr>
          <c:dLbls>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showLegendKey val="0"/>
            <c:showVal val="1"/>
            <c:showCatName val="0"/>
            <c:showSerName val="0"/>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Sheet1!$E$4:$E$16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Sheet1!$F$4:$F$16</c:f>
              <c:numCache>
                <c:formatCode>"$"#,##0</c:formatCode>
                <c:ptCount val="12"/>
                <c:pt idx="0">
                  <c:v>-21.000000000001137</c:v>
                </c:pt>
                <c:pt idx="1">
                  <c:v>-937.50000000000182</c:v>
                </c:pt>
                <c:pt idx="2">
                  <c:v>753.59999999999832</c:v>
                </c:pt>
                <c:pt idx="3">
                  <c:v>539.79999999999859</c:v>
                </c:pt>
                <c:pt idx="4">
                  <c:v>1854.3999999999985</c:v>
                </c:pt>
                <c:pt idx="5">
                  <c:v>1909.9999999999984</c:v>
                </c:pt>
                <c:pt idx="6">
                  <c:v>3101.4999999999982</c:v>
                </c:pt>
                <c:pt idx="7">
                  <c:v>2973.4999999999977</c:v>
                </c:pt>
                <c:pt idx="8">
                  <c:v>2795.3999999999974</c:v>
                </c:pt>
                <c:pt idx="9">
                  <c:v>4408.6999999999971</c:v>
                </c:pt>
                <c:pt idx="10">
                  <c:v>5364.899999999996</c:v>
                </c:pt>
                <c:pt idx="11">
                  <c:v>4526.6999999999953</c:v>
                </c:pt>
              </c:numCache>
            </c:numRef>
          </c:val>
          <c:extLst>
            <c:ext xmlns:c16="http://schemas.microsoft.com/office/drawing/2014/chart" uri="{C3380CC4-5D6E-409C-BE32-E72D297353CC}">
              <c16:uniqueId val="{00000000-1E06-4D1C-879C-5E3022692CF2}"/>
            </c:ext>
          </c:extLst>
        </c:ser>
        <c:dLbls>
          <c:showLegendKey val="0"/>
          <c:showVal val="0"/>
          <c:showCatName val="0"/>
          <c:showSerName val="0"/>
          <c:showPercent val="0"/>
          <c:showBubbleSize val="0"/>
        </c:dLbls>
        <c:axId val="2093954848"/>
        <c:axId val="2093956096"/>
      </c:areaChart>
      <c:catAx>
        <c:axId val="2093954848"/>
        <c:scaling>
          <c:orientation val="minMax"/>
        </c:scaling>
        <c:delete val="0"/>
        <c:axPos val="b"/>
        <c:numFmt formatCode="General"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2093956096"/>
        <c:crosses val="autoZero"/>
        <c:auto val="1"/>
        <c:lblAlgn val="ctr"/>
        <c:lblOffset val="100"/>
        <c:noMultiLvlLbl val="0"/>
      </c:catAx>
      <c:valAx>
        <c:axId val="2093956096"/>
        <c:scaling>
          <c:orientation val="minMax"/>
        </c:scaling>
        <c:delete val="1"/>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crossAx val="2093954848"/>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[Stock Portfolio Tracker.xlsm]Sheet1!Change in price</c:name>
    <c:fmtId val="2"/>
  </c:pivotSource>
  <c:chart>
    <c:autoTitleDeleted val="0"/>
    <c:pivotFmts>
      <c:pivotFmt>
        <c:idx val="0"/>
        <c:spPr>
          <a:solidFill>
            <a:schemeClr val="bg1">
              <a:lumMod val="75000"/>
            </a:schemeClr>
          </a:solidFill>
          <a:ln w="9525" cap="flat" cmpd="sng" algn="ctr">
            <a:solidFill>
              <a:schemeClr val="bg1">
                <a:lumMod val="50000"/>
              </a:schemeClr>
            </a:solidFill>
            <a:round/>
          </a:ln>
          <a:effectLst/>
        </c:spPr>
        <c:marker>
          <c:symbol val="circle"/>
          <c:size val="4"/>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8FCFAD"/>
          </a:solidFill>
          <a:ln w="9525" cap="flat" cmpd="sng" algn="ctr">
            <a:solidFill>
              <a:schemeClr val="bg1">
                <a:lumMod val="7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8FCFAD"/>
          </a:solidFill>
          <a:ln w="9525" cap="flat" cmpd="sng" algn="ctr">
            <a:solidFill>
              <a:schemeClr val="bg1">
                <a:lumMod val="7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bg1">
              <a:lumMod val="75000"/>
            </a:schemeClr>
          </a:solidFill>
          <a:ln w="9525" cap="flat" cmpd="sng" algn="ctr">
            <a:solidFill>
              <a:schemeClr val="bg1">
                <a:lumMod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8FCFAD"/>
          </a:solidFill>
          <a:ln w="9525" cap="flat" cmpd="sng" algn="ctr">
            <a:solidFill>
              <a:schemeClr val="bg1">
                <a:lumMod val="8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bg1">
              <a:lumMod val="75000"/>
            </a:schemeClr>
          </a:solidFill>
          <a:ln w="9525" cap="flat" cmpd="sng" algn="ctr">
            <a:solidFill>
              <a:schemeClr val="bg1">
                <a:lumMod val="7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4686901967462092E-2"/>
          <c:y val="0.100538346572529"/>
          <c:w val="0.87443764522321432"/>
          <c:h val="0.88993003263641379"/>
        </c:manualLayout>
      </c:layout>
      <c:barChart>
        <c:barDir val="bar"/>
        <c:grouping val="clustered"/>
        <c:varyColors val="0"/>
        <c:ser>
          <c:idx val="0"/>
          <c:order val="0"/>
          <c:tx>
            <c:strRef>
              <c:f>Sheet1!$I$3</c:f>
              <c:strCache>
                <c:ptCount val="1"/>
                <c:pt idx="0">
                  <c:v>Purchasing Price.</c:v>
                </c:pt>
              </c:strCache>
            </c:strRef>
          </c:tx>
          <c:spPr>
            <a:solidFill>
              <a:schemeClr val="bg1">
                <a:lumMod val="75000"/>
              </a:schemeClr>
            </a:solidFill>
            <a:ln w="9525" cap="flat" cmpd="sng" algn="ctr">
              <a:solidFill>
                <a:schemeClr val="bg1">
                  <a:lumMod val="75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Sheet1!$H$4:$H$13</c:f>
              <c:strCache>
                <c:ptCount val="9"/>
                <c:pt idx="0">
                  <c:v>ABC</c:v>
                </c:pt>
                <c:pt idx="1">
                  <c:v>ACC</c:v>
                </c:pt>
                <c:pt idx="2">
                  <c:v>BBB</c:v>
                </c:pt>
                <c:pt idx="3">
                  <c:v>BCA</c:v>
                </c:pt>
                <c:pt idx="4">
                  <c:v>CBC</c:v>
                </c:pt>
                <c:pt idx="5">
                  <c:v>CCC</c:v>
                </c:pt>
                <c:pt idx="6">
                  <c:v>CDA</c:v>
                </c:pt>
                <c:pt idx="7">
                  <c:v>DBA</c:v>
                </c:pt>
                <c:pt idx="8">
                  <c:v>DDD</c:v>
                </c:pt>
              </c:strCache>
            </c:strRef>
          </c:cat>
          <c:val>
            <c:numRef>
              <c:f>Sheet1!$I$4:$I$13</c:f>
              <c:numCache>
                <c:formatCode>"$"#,##0.0</c:formatCode>
                <c:ptCount val="9"/>
                <c:pt idx="0">
                  <c:v>12</c:v>
                </c:pt>
                <c:pt idx="1">
                  <c:v>15</c:v>
                </c:pt>
                <c:pt idx="2">
                  <c:v>14</c:v>
                </c:pt>
                <c:pt idx="3">
                  <c:v>8.9</c:v>
                </c:pt>
                <c:pt idx="4">
                  <c:v>17</c:v>
                </c:pt>
                <c:pt idx="5">
                  <c:v>10.799999999999999</c:v>
                </c:pt>
                <c:pt idx="6">
                  <c:v>15.400000000000004</c:v>
                </c:pt>
                <c:pt idx="7">
                  <c:v>7.7999999999999989</c:v>
                </c:pt>
                <c:pt idx="8">
                  <c:v>12.599999999999998</c:v>
                </c:pt>
              </c:numCache>
            </c:numRef>
          </c:val>
          <c:extLst>
            <c:ext xmlns:c16="http://schemas.microsoft.com/office/drawing/2014/chart" uri="{C3380CC4-5D6E-409C-BE32-E72D297353CC}">
              <c16:uniqueId val="{00000001-6796-4078-A318-6A2C3918201D}"/>
            </c:ext>
          </c:extLst>
        </c:ser>
        <c:dLbls>
          <c:showLegendKey val="0"/>
          <c:showVal val="0"/>
          <c:showCatName val="0"/>
          <c:showSerName val="0"/>
          <c:showPercent val="0"/>
          <c:showBubbleSize val="0"/>
        </c:dLbls>
        <c:gapWidth val="88"/>
        <c:axId val="200681008"/>
        <c:axId val="200680592"/>
      </c:barChart>
      <c:barChart>
        <c:barDir val="bar"/>
        <c:grouping val="clustered"/>
        <c:varyColors val="0"/>
        <c:ser>
          <c:idx val="1"/>
          <c:order val="1"/>
          <c:tx>
            <c:strRef>
              <c:f>Sheet1!$J$3</c:f>
              <c:strCache>
                <c:ptCount val="1"/>
                <c:pt idx="0">
                  <c:v>Change In Price.</c:v>
                </c:pt>
              </c:strCache>
            </c:strRef>
          </c:tx>
          <c:spPr>
            <a:solidFill>
              <a:srgbClr val="8FCFAD"/>
            </a:solidFill>
            <a:ln w="9525" cap="flat" cmpd="sng" algn="ctr">
              <a:solidFill>
                <a:schemeClr val="bg1">
                  <a:lumMod val="85000"/>
                </a:schemeClr>
              </a:solidFill>
              <a:round/>
            </a:ln>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Sheet1!$H$4:$H$13</c:f>
              <c:strCache>
                <c:ptCount val="9"/>
                <c:pt idx="0">
                  <c:v>ABC</c:v>
                </c:pt>
                <c:pt idx="1">
                  <c:v>ACC</c:v>
                </c:pt>
                <c:pt idx="2">
                  <c:v>BBB</c:v>
                </c:pt>
                <c:pt idx="3">
                  <c:v>BCA</c:v>
                </c:pt>
                <c:pt idx="4">
                  <c:v>CBC</c:v>
                </c:pt>
                <c:pt idx="5">
                  <c:v>CCC</c:v>
                </c:pt>
                <c:pt idx="6">
                  <c:v>CDA</c:v>
                </c:pt>
                <c:pt idx="7">
                  <c:v>DBA</c:v>
                </c:pt>
                <c:pt idx="8">
                  <c:v>DDD</c:v>
                </c:pt>
              </c:strCache>
            </c:strRef>
          </c:cat>
          <c:val>
            <c:numRef>
              <c:f>Sheet1!$J$4:$J$13</c:f>
              <c:numCache>
                <c:formatCode>"$"#,##0.0</c:formatCode>
                <c:ptCount val="9"/>
                <c:pt idx="0">
                  <c:v>6</c:v>
                </c:pt>
                <c:pt idx="1">
                  <c:v>-3</c:v>
                </c:pt>
                <c:pt idx="2">
                  <c:v>8</c:v>
                </c:pt>
                <c:pt idx="3">
                  <c:v>6.5999999999999979</c:v>
                </c:pt>
                <c:pt idx="4">
                  <c:v>-3.6999999999999993</c:v>
                </c:pt>
                <c:pt idx="5">
                  <c:v>-0.60000000000000497</c:v>
                </c:pt>
                <c:pt idx="6">
                  <c:v>2.9999999999999947</c:v>
                </c:pt>
                <c:pt idx="7">
                  <c:v>-1.5999999999999988</c:v>
                </c:pt>
                <c:pt idx="8">
                  <c:v>4.2000000000000028</c:v>
                </c:pt>
              </c:numCache>
            </c:numRef>
          </c:val>
          <c:extLst>
            <c:ext xmlns:c14="http://schemas.microsoft.com/office/drawing/2007/8/2/chart" uri="{6F2FDCE9-48DA-4B69-8628-5D25D57E5C99}">
              <c14:invertSolidFillFmt>
                <c14:spPr xmlns:c14="http://schemas.microsoft.com/office/drawing/2007/8/2/chart">
                  <a:solidFill>
                    <a:srgbClr val="C00000"/>
                  </a:solidFill>
                  <a:ln w="9525" cap="flat" cmpd="sng" algn="ctr">
                    <a:solidFill>
                      <a:schemeClr val="bg1">
                        <a:lumMod val="85000"/>
                      </a:schemeClr>
                    </a:solidFill>
                    <a:round/>
                  </a:ln>
                  <a:effectLst/>
                </c14:spPr>
              </c14:invertSolidFillFmt>
            </c:ext>
            <c:ext xmlns:c16="http://schemas.microsoft.com/office/drawing/2014/chart" uri="{C3380CC4-5D6E-409C-BE32-E72D297353CC}">
              <c16:uniqueId val="{00000000-6796-4078-A318-6A2C3918201D}"/>
            </c:ext>
          </c:extLst>
        </c:ser>
        <c:dLbls>
          <c:showLegendKey val="0"/>
          <c:showVal val="0"/>
          <c:showCatName val="0"/>
          <c:showSerName val="0"/>
          <c:showPercent val="0"/>
          <c:showBubbleSize val="0"/>
        </c:dLbls>
        <c:gapWidth val="88"/>
        <c:axId val="558575408"/>
        <c:axId val="558576240"/>
      </c:barChart>
      <c:catAx>
        <c:axId val="200681008"/>
        <c:scaling>
          <c:orientation val="minMax"/>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200680592"/>
        <c:crosses val="autoZero"/>
        <c:auto val="1"/>
        <c:lblAlgn val="ctr"/>
        <c:lblOffset val="100"/>
        <c:noMultiLvlLbl val="0"/>
      </c:catAx>
      <c:valAx>
        <c:axId val="200680592"/>
        <c:scaling>
          <c:orientation val="minMax"/>
        </c:scaling>
        <c:delete val="1"/>
        <c:axPos val="b"/>
        <c:numFmt formatCode="&quot;$&quot;#,##0.0" sourceLinked="1"/>
        <c:majorTickMark val="none"/>
        <c:minorTickMark val="none"/>
        <c:tickLblPos val="nextTo"/>
        <c:crossAx val="200681008"/>
        <c:crosses val="autoZero"/>
        <c:crossBetween val="between"/>
      </c:valAx>
      <c:valAx>
        <c:axId val="558576240"/>
        <c:scaling>
          <c:orientation val="minMax"/>
        </c:scaling>
        <c:delete val="1"/>
        <c:axPos val="t"/>
        <c:numFmt formatCode="&quot;$&quot;#,##0.0" sourceLinked="1"/>
        <c:majorTickMark val="out"/>
        <c:minorTickMark val="none"/>
        <c:tickLblPos val="nextTo"/>
        <c:crossAx val="558575408"/>
        <c:crosses val="max"/>
        <c:crossBetween val="between"/>
      </c:valAx>
      <c:catAx>
        <c:axId val="558575408"/>
        <c:scaling>
          <c:orientation val="minMax"/>
        </c:scaling>
        <c:delete val="1"/>
        <c:axPos val="l"/>
        <c:numFmt formatCode="General" sourceLinked="1"/>
        <c:majorTickMark val="out"/>
        <c:minorTickMark val="none"/>
        <c:tickLblPos val="nextTo"/>
        <c:crossAx val="558576240"/>
        <c:crosses val="autoZero"/>
        <c:auto val="1"/>
        <c:lblAlgn val="ctr"/>
        <c:lblOffset val="100"/>
        <c:noMultiLvlLbl val="0"/>
      </c:catAx>
      <c:spPr>
        <a:noFill/>
        <a:ln>
          <a:noFill/>
        </a:ln>
        <a:effectLst/>
      </c:spPr>
    </c:plotArea>
    <c:legend>
      <c:legendPos val="t"/>
      <c:layout>
        <c:manualLayout>
          <c:xMode val="edge"/>
          <c:yMode val="edge"/>
          <c:x val="0.24426173830093503"/>
          <c:y val="4.3360441006412903E-3"/>
          <c:w val="0.52190423955259124"/>
          <c:h val="7.280314429974725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50000"/>
                  <a:lumOff val="50000"/>
                </a:schemeClr>
              </a:solidFill>
              <a:latin typeface="Arial" panose="020B0604020202020204" pitchFamily="34" charset="0"/>
              <a:ea typeface="+mn-ea"/>
              <a:cs typeface="Arial" panose="020B0604020202020204"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[Stock Portfolio Tracker.xlsm]Sheet1!Sector</c:name>
    <c:fmtId val="2"/>
  </c:pivotSource>
  <c:chart>
    <c:title>
      <c:tx>
        <c:rich>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Arial" panose="020B0604020202020204" pitchFamily="34" charset="0"/>
                <a:ea typeface="+mn-ea"/>
                <a:cs typeface="Arial" panose="020B0604020202020204" pitchFamily="34" charset="0"/>
              </a:defRPr>
            </a:pPr>
            <a:r>
              <a:rPr lang="en-US">
                <a:solidFill>
                  <a:srgbClr val="50B47F"/>
                </a:solidFill>
                <a:latin typeface="Arial" panose="020B0604020202020204" pitchFamily="34" charset="0"/>
                <a:cs typeface="Arial" panose="020B0604020202020204" pitchFamily="34" charset="0"/>
              </a:rPr>
              <a:t>Gain</a:t>
            </a:r>
            <a:r>
              <a:rPr lang="en-US">
                <a:latin typeface="Arial" panose="020B0604020202020204" pitchFamily="34" charset="0"/>
                <a:cs typeface="Arial" panose="020B0604020202020204" pitchFamily="34" charset="0"/>
              </a:rPr>
              <a:t> / </a:t>
            </a:r>
            <a:r>
              <a:rPr lang="en-US">
                <a:solidFill>
                  <a:srgbClr val="C00000"/>
                </a:solidFill>
                <a:latin typeface="Arial" panose="020B0604020202020204" pitchFamily="34" charset="0"/>
                <a:cs typeface="Arial" panose="020B0604020202020204" pitchFamily="34" charset="0"/>
              </a:rPr>
              <a:t>Lose</a:t>
            </a:r>
            <a:r>
              <a:rPr lang="en-US">
                <a:latin typeface="Arial" panose="020B0604020202020204" pitchFamily="34" charset="0"/>
                <a:cs typeface="Arial" panose="020B0604020202020204" pitchFamily="34" charset="0"/>
              </a:rPr>
              <a:t> Value Per Sector</a:t>
            </a:r>
          </a:p>
        </c:rich>
      </c:tx>
      <c:layout>
        <c:manualLayout>
          <c:xMode val="edge"/>
          <c:yMode val="edge"/>
          <c:x val="0.27707954953762748"/>
          <c:y val="1.3999513346906687E-2"/>
        </c:manualLayout>
      </c:layout>
      <c:overlay val="0"/>
      <c:spPr>
        <a:noFill/>
        <a:ln>
          <a:noFill/>
        </a:ln>
        <a:effectLst/>
      </c:spPr>
      <c:txPr>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Arial" panose="020B0604020202020204" pitchFamily="34" charset="0"/>
              <a:ea typeface="+mn-ea"/>
              <a:cs typeface="Arial" panose="020B0604020202020204" pitchFamily="34" charset="0"/>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pivotFmt>
      <c:pivotFmt>
        <c:idx val="5"/>
      </c:pivotFmt>
      <c:pivotFmt>
        <c:idx val="6"/>
        <c:dLbl>
          <c:idx val="0"/>
          <c:showLegendKey val="0"/>
          <c:showVal val="1"/>
          <c:showCatName val="0"/>
          <c:showSerName val="0"/>
          <c:showPercent val="0"/>
          <c:showBubbleSize val="0"/>
          <c:extLst>
            <c:ext xmlns:c15="http://schemas.microsoft.com/office/drawing/2012/chart" uri="{CE6537A1-D6FC-4f65-9D91-7224C49458BB}"/>
          </c:extLst>
        </c:dLbl>
      </c:pivotFmt>
      <c:pivotFmt>
        <c:idx val="7"/>
      </c:pivotFmt>
      <c:pivotFmt>
        <c:idx val="8"/>
      </c:pivotFmt>
      <c:pivotFmt>
        <c:idx val="9"/>
      </c:pivotFmt>
      <c:pivotFmt>
        <c:idx val="10"/>
      </c:pivotFmt>
      <c:pivotFmt>
        <c:idx val="11"/>
        <c:spPr>
          <a:solidFill>
            <a:srgbClr val="8FCFAD"/>
          </a:solidFill>
          <a:ln w="9525" cap="flat" cmpd="sng" algn="ctr">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rgbClr val="8FCFAD"/>
          </a:solidFill>
          <a:ln w="9525" cap="flat" cmpd="sng" algn="ctr">
            <a:noFill/>
            <a:round/>
          </a:ln>
          <a:effectLst/>
        </c:spPr>
      </c:pivotFmt>
      <c:pivotFmt>
        <c:idx val="13"/>
        <c:spPr>
          <a:solidFill>
            <a:srgbClr val="8FCFAD"/>
          </a:solidFill>
          <a:ln w="9525" cap="flat" cmpd="sng" algn="ctr">
            <a:noFill/>
            <a:round/>
          </a:ln>
          <a:effectLst/>
        </c:spPr>
      </c:pivotFmt>
    </c:pivotFmts>
    <c:plotArea>
      <c:layout/>
      <c:barChart>
        <c:barDir val="col"/>
        <c:grouping val="clustered"/>
        <c:varyColors val="0"/>
        <c:ser>
          <c:idx val="0"/>
          <c:order val="0"/>
          <c:tx>
            <c:strRef>
              <c:f>Sheet1!$M$3</c:f>
              <c:strCache>
                <c:ptCount val="1"/>
                <c:pt idx="0">
                  <c:v>Total</c:v>
                </c:pt>
              </c:strCache>
            </c:strRef>
          </c:tx>
          <c:spPr>
            <a:solidFill>
              <a:srgbClr val="8FCFAD"/>
            </a:solidFill>
            <a:ln w="9525" cap="flat" cmpd="sng" algn="ctr">
              <a:noFill/>
              <a:round/>
            </a:ln>
            <a:effectLst/>
          </c:spPr>
          <c:invertIfNegative val="1"/>
          <c:dPt>
            <c:idx val="0"/>
            <c:invertIfNegative val="1"/>
            <c:bubble3D val="0"/>
            <c:extLst>
              <c:ext xmlns:c16="http://schemas.microsoft.com/office/drawing/2014/chart" uri="{C3380CC4-5D6E-409C-BE32-E72D297353CC}">
                <c16:uniqueId val="{0000000B-67B0-4FEE-87A3-3FACD36A00C9}"/>
              </c:ext>
            </c:extLst>
          </c:dPt>
          <c:dPt>
            <c:idx val="1"/>
            <c:invertIfNegative val="1"/>
            <c:bubble3D val="0"/>
            <c:extLst>
              <c:ext xmlns:c16="http://schemas.microsoft.com/office/drawing/2014/chart" uri="{C3380CC4-5D6E-409C-BE32-E72D297353CC}">
                <c16:uniqueId val="{0000000C-67B0-4FEE-87A3-3FACD36A00C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Sheet1!$L$4:$L$8</c:f>
              <c:strCache>
                <c:ptCount val="4"/>
                <c:pt idx="0">
                  <c:v>Sector 1</c:v>
                </c:pt>
                <c:pt idx="1">
                  <c:v>Sector 2</c:v>
                </c:pt>
                <c:pt idx="2">
                  <c:v>Sector 3</c:v>
                </c:pt>
                <c:pt idx="3">
                  <c:v>Sector 4</c:v>
                </c:pt>
              </c:strCache>
            </c:strRef>
          </c:cat>
          <c:val>
            <c:numRef>
              <c:f>Sheet1!$M$4:$M$8</c:f>
              <c:numCache>
                <c:formatCode>"$"#,##0</c:formatCode>
                <c:ptCount val="4"/>
                <c:pt idx="0">
                  <c:v>1222.5999999999983</c:v>
                </c:pt>
                <c:pt idx="1">
                  <c:v>-401.29999999999973</c:v>
                </c:pt>
                <c:pt idx="2">
                  <c:v>3011.7999999999993</c:v>
                </c:pt>
                <c:pt idx="3">
                  <c:v>693.59999999999673</c:v>
                </c:pt>
              </c:numCache>
            </c:numRef>
          </c:val>
          <c:extLst>
            <c:ext xmlns:c14="http://schemas.microsoft.com/office/drawing/2007/8/2/chart" uri="{6F2FDCE9-48DA-4B69-8628-5D25D57E5C99}">
              <c14:invertSolidFillFmt>
                <c14:spPr xmlns:c14="http://schemas.microsoft.com/office/drawing/2007/8/2/chart">
                  <a:solidFill>
                    <a:srgbClr val="C00000"/>
                  </a:solidFill>
                  <a:ln w="9525" cap="flat" cmpd="sng" algn="ctr">
                    <a:noFill/>
                    <a:round/>
                  </a:ln>
                  <a:effectLst/>
                </c14:spPr>
              </c14:invertSolidFillFmt>
            </c:ext>
            <c:ext xmlns:c16="http://schemas.microsoft.com/office/drawing/2014/chart" uri="{C3380CC4-5D6E-409C-BE32-E72D297353CC}">
              <c16:uniqueId val="{0000000A-67B0-4FEE-87A3-3FACD36A00C9}"/>
            </c:ext>
          </c:extLst>
        </c:ser>
        <c:dLbls>
          <c:showLegendKey val="0"/>
          <c:showVal val="0"/>
          <c:showCatName val="0"/>
          <c:showSerName val="0"/>
          <c:showPercent val="0"/>
          <c:showBubbleSize val="0"/>
        </c:dLbls>
        <c:gapWidth val="100"/>
        <c:overlap val="-24"/>
        <c:axId val="200651056"/>
        <c:axId val="200669360"/>
      </c:barChart>
      <c:catAx>
        <c:axId val="200651056"/>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50000"/>
                    <a:lumOff val="50000"/>
                  </a:schemeClr>
                </a:solidFill>
                <a:latin typeface="Arial" panose="020B0604020202020204" pitchFamily="34" charset="0"/>
                <a:ea typeface="+mn-ea"/>
                <a:cs typeface="Arial" panose="020B0604020202020204" pitchFamily="34" charset="0"/>
              </a:defRPr>
            </a:pPr>
            <a:endParaRPr lang="en-US"/>
          </a:p>
        </c:txPr>
        <c:crossAx val="200669360"/>
        <c:crosses val="autoZero"/>
        <c:auto val="1"/>
        <c:lblAlgn val="ctr"/>
        <c:lblOffset val="100"/>
        <c:noMultiLvlLbl val="0"/>
      </c:catAx>
      <c:valAx>
        <c:axId val="200669360"/>
        <c:scaling>
          <c:orientation val="minMax"/>
        </c:scaling>
        <c:delete val="0"/>
        <c:axPos val="l"/>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2006510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01">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06">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21</xdr:row>
          <xdr:rowOff>390525</xdr:rowOff>
        </xdr:from>
        <xdr:to>
          <xdr:col>0</xdr:col>
          <xdr:colOff>1533525</xdr:colOff>
          <xdr:row>21</xdr:row>
          <xdr:rowOff>552450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Full Screen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21</xdr:row>
          <xdr:rowOff>571500</xdr:rowOff>
        </xdr:from>
        <xdr:to>
          <xdr:col>0</xdr:col>
          <xdr:colOff>1543050</xdr:colOff>
          <xdr:row>21</xdr:row>
          <xdr:rowOff>742950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Refresh</a:t>
              </a:r>
            </a:p>
          </xdr:txBody>
        </xdr:sp>
        <xdr:clientData fPrintsWithSheet="0"/>
      </xdr:twoCellAnchor>
    </mc:Choice>
    <mc:Fallback/>
  </mc:AlternateContent>
  <xdr:twoCellAnchor>
    <xdr:from>
      <xdr:col>0</xdr:col>
      <xdr:colOff>46566</xdr:colOff>
      <xdr:row>0</xdr:row>
      <xdr:rowOff>46566</xdr:rowOff>
    </xdr:from>
    <xdr:to>
      <xdr:col>0</xdr:col>
      <xdr:colOff>1500187</xdr:colOff>
      <xdr:row>2</xdr:row>
      <xdr:rowOff>42334</xdr:rowOff>
    </xdr:to>
    <xdr:grpSp>
      <xdr:nvGrpSpPr>
        <xdr:cNvPr id="5" name="Group 4">
          <a:extLst>
            <a:ext uri="{FF2B5EF4-FFF2-40B4-BE49-F238E27FC236}">
              <a16:creationId xmlns:a16="http://schemas.microsoft.com/office/drawing/2014/main" id="{00000000-0008-0000-0100-000005000000}"/>
            </a:ext>
          </a:extLst>
        </xdr:cNvPr>
        <xdr:cNvGrpSpPr/>
      </xdr:nvGrpSpPr>
      <xdr:grpSpPr>
        <a:xfrm>
          <a:off x="46566" y="46566"/>
          <a:ext cx="1453621" cy="331308"/>
          <a:chOff x="46566" y="46565"/>
          <a:chExt cx="1559052" cy="345017"/>
        </a:xfrm>
      </xdr:grpSpPr>
      <xdr:sp macro="[0]!HideDB" textlink="">
        <xdr:nvSpPr>
          <xdr:cNvPr id="7" name="Rectangle: Rounded Corners 6">
            <a:extLst>
              <a:ext uri="{FF2B5EF4-FFF2-40B4-BE49-F238E27FC236}">
                <a16:creationId xmlns:a16="http://schemas.microsoft.com/office/drawing/2014/main" id="{00000000-0008-0000-0100-000007000000}"/>
              </a:ext>
            </a:extLst>
          </xdr:cNvPr>
          <xdr:cNvSpPr/>
        </xdr:nvSpPr>
        <xdr:spPr>
          <a:xfrm>
            <a:off x="46566" y="46565"/>
            <a:ext cx="1559052" cy="345017"/>
          </a:xfrm>
          <a:prstGeom prst="roundRect">
            <a:avLst/>
          </a:prstGeom>
          <a:solidFill>
            <a:schemeClr val="bg1">
              <a:lumMod val="75000"/>
            </a:schemeClr>
          </a:solidFill>
          <a:ln>
            <a:solidFill>
              <a:schemeClr val="bg1">
                <a:lumMod val="65000"/>
              </a:schemeClr>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latin typeface="Arial" panose="020B0604020202020204" pitchFamily="34" charset="0"/>
                <a:cs typeface="Arial" panose="020B0604020202020204" pitchFamily="34" charset="0"/>
              </a:rPr>
              <a:t>Hide Dashboard</a:t>
            </a:r>
          </a:p>
        </xdr:txBody>
      </xdr:sp>
      <xdr:sp macro="" textlink="">
        <xdr:nvSpPr>
          <xdr:cNvPr id="3" name="Arrow: Down 2">
            <a:extLst>
              <a:ext uri="{FF2B5EF4-FFF2-40B4-BE49-F238E27FC236}">
                <a16:creationId xmlns:a16="http://schemas.microsoft.com/office/drawing/2014/main" id="{00000000-0008-0000-0100-000003000000}"/>
              </a:ext>
            </a:extLst>
          </xdr:cNvPr>
          <xdr:cNvSpPr/>
        </xdr:nvSpPr>
        <xdr:spPr>
          <a:xfrm>
            <a:off x="84666" y="116417"/>
            <a:ext cx="222250" cy="190500"/>
          </a:xfrm>
          <a:prstGeom prst="downArrow">
            <a:avLst/>
          </a:prstGeom>
          <a:solidFill>
            <a:schemeClr val="bg1">
              <a:lumMod val="50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0</xdr:col>
      <xdr:colOff>31750</xdr:colOff>
      <xdr:row>21</xdr:row>
      <xdr:rowOff>42332</xdr:rowOff>
    </xdr:from>
    <xdr:to>
      <xdr:col>0</xdr:col>
      <xdr:colOff>1502833</xdr:colOff>
      <xdr:row>21</xdr:row>
      <xdr:rowOff>355600</xdr:rowOff>
    </xdr:to>
    <xdr:grpSp>
      <xdr:nvGrpSpPr>
        <xdr:cNvPr id="4" name="DBBTN" hidden="1">
          <a:extLst>
            <a:ext uri="{FF2B5EF4-FFF2-40B4-BE49-F238E27FC236}">
              <a16:creationId xmlns:a16="http://schemas.microsoft.com/office/drawing/2014/main" id="{00000000-0008-0000-0100-000004000000}"/>
            </a:ext>
          </a:extLst>
        </xdr:cNvPr>
        <xdr:cNvGrpSpPr/>
      </xdr:nvGrpSpPr>
      <xdr:grpSpPr>
        <a:xfrm>
          <a:off x="31750" y="3949747"/>
          <a:ext cx="1471083" cy="313268"/>
          <a:chOff x="31750" y="3839632"/>
          <a:chExt cx="1471083" cy="345017"/>
        </a:xfrm>
      </xdr:grpSpPr>
      <xdr:sp macro="[0]!showDB" textlink="">
        <xdr:nvSpPr>
          <xdr:cNvPr id="2" name="Rectangle: Rounded Corners 1" hidden="1">
            <a:extLst>
              <a:ext uri="{FF2B5EF4-FFF2-40B4-BE49-F238E27FC236}">
                <a16:creationId xmlns:a16="http://schemas.microsoft.com/office/drawing/2014/main" id="{00000000-0008-0000-0100-000002000000}"/>
              </a:ext>
            </a:extLst>
          </xdr:cNvPr>
          <xdr:cNvSpPr/>
        </xdr:nvSpPr>
        <xdr:spPr>
          <a:xfrm>
            <a:off x="31750" y="3839632"/>
            <a:ext cx="1471083" cy="345017"/>
          </a:xfrm>
          <a:prstGeom prst="roundRect">
            <a:avLst/>
          </a:prstGeom>
          <a:solidFill>
            <a:srgbClr val="8FCFAD"/>
          </a:solidFill>
          <a:ln>
            <a:solidFill>
              <a:schemeClr val="bg1">
                <a:lumMod val="65000"/>
              </a:schemeClr>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latin typeface="Arial" panose="020B0604020202020204" pitchFamily="34" charset="0"/>
                <a:cs typeface="Arial" panose="020B0604020202020204" pitchFamily="34" charset="0"/>
              </a:rPr>
              <a:t>   Show Dashboard</a:t>
            </a:r>
          </a:p>
        </xdr:txBody>
      </xdr:sp>
      <xdr:sp macro="" textlink="">
        <xdr:nvSpPr>
          <xdr:cNvPr id="9" name="Arrow: Down 8" hidden="1">
            <a:extLst>
              <a:ext uri="{FF2B5EF4-FFF2-40B4-BE49-F238E27FC236}">
                <a16:creationId xmlns:a16="http://schemas.microsoft.com/office/drawing/2014/main" id="{00000000-0008-0000-0100-000009000000}"/>
              </a:ext>
            </a:extLst>
          </xdr:cNvPr>
          <xdr:cNvSpPr/>
        </xdr:nvSpPr>
        <xdr:spPr>
          <a:xfrm rot="10800000">
            <a:off x="67732" y="3877733"/>
            <a:ext cx="222250" cy="190500"/>
          </a:xfrm>
          <a:prstGeom prst="downArrow">
            <a:avLst/>
          </a:prstGeom>
          <a:solidFill>
            <a:srgbClr val="50B47F"/>
          </a:solidFill>
          <a:ln>
            <a:solidFill>
              <a:srgbClr val="50B4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7</xdr:col>
      <xdr:colOff>309579</xdr:colOff>
      <xdr:row>0</xdr:row>
      <xdr:rowOff>23812</xdr:rowOff>
    </xdr:from>
    <xdr:to>
      <xdr:col>11</xdr:col>
      <xdr:colOff>1202548</xdr:colOff>
      <xdr:row>11</xdr:row>
      <xdr:rowOff>35719</xdr:rowOff>
    </xdr:to>
    <xdr:graphicFrame macro="">
      <xdr:nvGraphicFramePr>
        <xdr:cNvPr id="10" name="Chart 9">
          <a:extLst>
            <a:ext uri="{FF2B5EF4-FFF2-40B4-BE49-F238E27FC236}">
              <a16:creationId xmlns:a16="http://schemas.microsoft.com/office/drawing/2014/main" id="{00000000-0008-0000-0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309578</xdr:colOff>
      <xdr:row>10</xdr:row>
      <xdr:rowOff>178594</xdr:rowOff>
    </xdr:from>
    <xdr:to>
      <xdr:col>11</xdr:col>
      <xdr:colOff>1245408</xdr:colOff>
      <xdr:row>20</xdr:row>
      <xdr:rowOff>142875</xdr:rowOff>
    </xdr:to>
    <xdr:graphicFrame macro="">
      <xdr:nvGraphicFramePr>
        <xdr:cNvPr id="11" name="Chart 10">
          <a:extLst>
            <a:ext uri="{FF2B5EF4-FFF2-40B4-BE49-F238E27FC236}">
              <a16:creationId xmlns:a16="http://schemas.microsoft.com/office/drawing/2014/main" id="{00000000-0008-0000-0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11905</xdr:colOff>
      <xdr:row>5</xdr:row>
      <xdr:rowOff>32471</xdr:rowOff>
    </xdr:from>
    <xdr:to>
      <xdr:col>7</xdr:col>
      <xdr:colOff>83343</xdr:colOff>
      <xdr:row>20</xdr:row>
      <xdr:rowOff>119061</xdr:rowOff>
    </xdr:to>
    <xdr:graphicFrame macro="">
      <xdr:nvGraphicFramePr>
        <xdr:cNvPr id="13" name="Chart 12">
          <a:extLst>
            <a:ext uri="{FF2B5EF4-FFF2-40B4-BE49-F238E27FC236}">
              <a16:creationId xmlns:a16="http://schemas.microsoft.com/office/drawing/2014/main" id="{00000000-0008-0000-0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71437</xdr:colOff>
      <xdr:row>0</xdr:row>
      <xdr:rowOff>23810</xdr:rowOff>
    </xdr:from>
    <xdr:to>
      <xdr:col>7</xdr:col>
      <xdr:colOff>107155</xdr:colOff>
      <xdr:row>5</xdr:row>
      <xdr:rowOff>59529</xdr:rowOff>
    </xdr:to>
    <mc:AlternateContent xmlns:mc="http://schemas.openxmlformats.org/markup-compatibility/2006" xmlns:a14="http://schemas.microsoft.com/office/drawing/2010/main">
      <mc:Choice Requires="a14">
        <xdr:graphicFrame macro="">
          <xdr:nvGraphicFramePr>
            <xdr:cNvPr id="14" name="Months">
              <a:extLst>
                <a:ext uri="{FF2B5EF4-FFF2-40B4-BE49-F238E27FC236}">
                  <a16:creationId xmlns:a16="http://schemas.microsoft.com/office/drawing/2014/main" id="{00000000-0008-0000-0100-00000E000000}"/>
                </a:ext>
              </a:extLst>
            </xdr:cNvPr>
            <xdr:cNvGraphicFramePr/>
          </xdr:nvGraphicFramePr>
          <xdr:xfrm>
            <a:off x="0" y="0"/>
            <a:ext cx="0" cy="0"/>
          </xdr:xfrm>
          <a:graphic>
            <a:graphicData uri="http://schemas.microsoft.com/office/drawing/2010/slicer">
              <sle:slicer xmlns:sle="http://schemas.microsoft.com/office/drawing/2010/slicer" name="Months"/>
            </a:graphicData>
          </a:graphic>
        </xdr:graphicFrame>
      </mc:Choice>
      <mc:Fallback xmlns="">
        <xdr:sp macro="" textlink="">
          <xdr:nvSpPr>
            <xdr:cNvPr id="0" name=""/>
            <xdr:cNvSpPr>
              <a:spLocks noTextEdit="1"/>
            </xdr:cNvSpPr>
          </xdr:nvSpPr>
          <xdr:spPr>
            <a:xfrm>
              <a:off x="4083842" y="23810"/>
              <a:ext cx="5072063" cy="86915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83344</xdr:colOff>
      <xdr:row>0</xdr:row>
      <xdr:rowOff>35719</xdr:rowOff>
    </xdr:from>
    <xdr:to>
      <xdr:col>15</xdr:col>
      <xdr:colOff>1214437</xdr:colOff>
      <xdr:row>20</xdr:row>
      <xdr:rowOff>71437</xdr:rowOff>
    </xdr:to>
    <xdr:graphicFrame macro="">
      <xdr:nvGraphicFramePr>
        <xdr:cNvPr id="15" name="Chart 14">
          <a:extLst>
            <a:ext uri="{FF2B5EF4-FFF2-40B4-BE49-F238E27FC236}">
              <a16:creationId xmlns:a16="http://schemas.microsoft.com/office/drawing/2014/main" id="{00000000-0008-0000-0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2</xdr:row>
      <xdr:rowOff>71438</xdr:rowOff>
    </xdr:from>
    <xdr:to>
      <xdr:col>0</xdr:col>
      <xdr:colOff>1521619</xdr:colOff>
      <xdr:row>8</xdr:row>
      <xdr:rowOff>35719</xdr:rowOff>
    </xdr:to>
    <mc:AlternateContent xmlns:mc="http://schemas.openxmlformats.org/markup-compatibility/2006" xmlns:a14="http://schemas.microsoft.com/office/drawing/2010/main">
      <mc:Choice Requires="a14">
        <xdr:graphicFrame macro="">
          <xdr:nvGraphicFramePr>
            <xdr:cNvPr id="16" name="Company Name">
              <a:extLst>
                <a:ext uri="{FF2B5EF4-FFF2-40B4-BE49-F238E27FC236}">
                  <a16:creationId xmlns:a16="http://schemas.microsoft.com/office/drawing/2014/main" id="{00000000-0008-0000-0100-000010000000}"/>
                </a:ext>
              </a:extLst>
            </xdr:cNvPr>
            <xdr:cNvGraphicFramePr/>
          </xdr:nvGraphicFramePr>
          <xdr:xfrm>
            <a:off x="0" y="0"/>
            <a:ext cx="0" cy="0"/>
          </xdr:xfrm>
          <a:graphic>
            <a:graphicData uri="http://schemas.microsoft.com/office/drawing/2010/slicer">
              <sle:slicer xmlns:sle="http://schemas.microsoft.com/office/drawing/2010/slicer" name="Company Name"/>
            </a:graphicData>
          </a:graphic>
        </xdr:graphicFrame>
      </mc:Choice>
      <mc:Fallback xmlns="">
        <xdr:sp macro="" textlink="">
          <xdr:nvSpPr>
            <xdr:cNvPr id="0" name=""/>
            <xdr:cNvSpPr>
              <a:spLocks noTextEdit="1"/>
            </xdr:cNvSpPr>
          </xdr:nvSpPr>
          <xdr:spPr>
            <a:xfrm>
              <a:off x="0" y="404813"/>
              <a:ext cx="1521619" cy="101203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0</xdr:colOff>
      <xdr:row>13</xdr:row>
      <xdr:rowOff>147638</xdr:rowOff>
    </xdr:from>
    <xdr:to>
      <xdr:col>0</xdr:col>
      <xdr:colOff>1521619</xdr:colOff>
      <xdr:row>21</xdr:row>
      <xdr:rowOff>0</xdr:rowOff>
    </xdr:to>
    <mc:AlternateContent xmlns:mc="http://schemas.openxmlformats.org/markup-compatibility/2006" xmlns:a14="http://schemas.microsoft.com/office/drawing/2010/main">
      <mc:Choice Requires="a14">
        <xdr:graphicFrame macro="">
          <xdr:nvGraphicFramePr>
            <xdr:cNvPr id="17" name="Ticker Symbol">
              <a:extLst>
                <a:ext uri="{FF2B5EF4-FFF2-40B4-BE49-F238E27FC236}">
                  <a16:creationId xmlns:a16="http://schemas.microsoft.com/office/drawing/2014/main" id="{00000000-0008-0000-0100-000011000000}"/>
                </a:ext>
              </a:extLst>
            </xdr:cNvPr>
            <xdr:cNvGraphicFramePr/>
          </xdr:nvGraphicFramePr>
          <xdr:xfrm>
            <a:off x="0" y="0"/>
            <a:ext cx="0" cy="0"/>
          </xdr:xfrm>
          <a:graphic>
            <a:graphicData uri="http://schemas.microsoft.com/office/drawing/2010/slicer">
              <sle:slicer xmlns:sle="http://schemas.microsoft.com/office/drawing/2010/slicer" name="Ticker Symbol"/>
            </a:graphicData>
          </a:graphic>
        </xdr:graphicFrame>
      </mc:Choice>
      <mc:Fallback xmlns="">
        <xdr:sp macro="" textlink="">
          <xdr:nvSpPr>
            <xdr:cNvPr id="0" name=""/>
            <xdr:cNvSpPr>
              <a:spLocks noTextEdit="1"/>
            </xdr:cNvSpPr>
          </xdr:nvSpPr>
          <xdr:spPr>
            <a:xfrm>
              <a:off x="0" y="2481263"/>
              <a:ext cx="1521619" cy="137636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0</xdr:colOff>
      <xdr:row>8</xdr:row>
      <xdr:rowOff>57150</xdr:rowOff>
    </xdr:from>
    <xdr:to>
      <xdr:col>0</xdr:col>
      <xdr:colOff>1512094</xdr:colOff>
      <xdr:row>13</xdr:row>
      <xdr:rowOff>142875</xdr:rowOff>
    </xdr:to>
    <mc:AlternateContent xmlns:mc="http://schemas.openxmlformats.org/markup-compatibility/2006" xmlns:a14="http://schemas.microsoft.com/office/drawing/2010/main">
      <mc:Choice Requires="a14">
        <xdr:graphicFrame macro="">
          <xdr:nvGraphicFramePr>
            <xdr:cNvPr id="18" name="Sector">
              <a:extLst>
                <a:ext uri="{FF2B5EF4-FFF2-40B4-BE49-F238E27FC236}">
                  <a16:creationId xmlns:a16="http://schemas.microsoft.com/office/drawing/2014/main" id="{00000000-0008-0000-0100-000012000000}"/>
                </a:ext>
              </a:extLst>
            </xdr:cNvPr>
            <xdr:cNvGraphicFramePr/>
          </xdr:nvGraphicFramePr>
          <xdr:xfrm>
            <a:off x="0" y="0"/>
            <a:ext cx="0" cy="0"/>
          </xdr:xfrm>
          <a:graphic>
            <a:graphicData uri="http://schemas.microsoft.com/office/drawing/2010/slicer">
              <sle:slicer xmlns:sle="http://schemas.microsoft.com/office/drawing/2010/slicer" name="Sector"/>
            </a:graphicData>
          </a:graphic>
        </xdr:graphicFrame>
      </mc:Choice>
      <mc:Fallback xmlns="">
        <xdr:sp macro="" textlink="">
          <xdr:nvSpPr>
            <xdr:cNvPr id="0" name=""/>
            <xdr:cNvSpPr>
              <a:spLocks noTextEdit="1"/>
            </xdr:cNvSpPr>
          </xdr:nvSpPr>
          <xdr:spPr>
            <a:xfrm>
              <a:off x="0" y="1438275"/>
              <a:ext cx="1512094" cy="10382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reem mostafa" refreshedDate="44234.427448958333" createdVersion="6" refreshedVersion="6" minRefreshableVersion="3" recordCount="90" xr:uid="{2C42DCA0-627F-4773-9807-3ABF91233DA6}">
  <cacheSource type="worksheet">
    <worksheetSource name="stock"/>
  </cacheSource>
  <cacheFields count="16">
    <cacheField name="Company Name" numFmtId="165">
      <sharedItems count="3">
        <s v="Company 1"/>
        <s v="Company 3"/>
        <s v="Company 2"/>
      </sharedItems>
    </cacheField>
    <cacheField name="Stock" numFmtId="166">
      <sharedItems count="9">
        <s v="Srtock ABC"/>
        <s v="Stock BBB"/>
        <s v="Stock DBA"/>
        <s v="Stock CDA"/>
        <s v="Stock CBC"/>
        <s v="Stock DDD"/>
        <s v="Stock CCC"/>
        <s v="Stock ACC"/>
        <s v="Stock BCA"/>
      </sharedItems>
    </cacheField>
    <cacheField name="Ticker Symbol" numFmtId="1">
      <sharedItems count="9">
        <s v="ABC"/>
        <s v="BBB"/>
        <s v="DBA"/>
        <s v="CDA"/>
        <s v="CBC"/>
        <s v="DDD"/>
        <s v="CCC"/>
        <s v="ACC"/>
        <s v="BCA"/>
      </sharedItems>
    </cacheField>
    <cacheField name="Sector" numFmtId="1">
      <sharedItems count="4">
        <s v="Sector 1"/>
        <s v="Sector 2"/>
        <s v="Sector 4"/>
        <s v="Sector 3"/>
      </sharedItems>
    </cacheField>
    <cacheField name="Purchase Date" numFmtId="165">
      <sharedItems containsSemiMixedTypes="0" containsNonDate="0" containsDate="1" containsString="0" minDate="2020-01-03T00:00:00" maxDate="2021-01-01T00:00:00"/>
    </cacheField>
    <cacheField name="Month" numFmtId="166">
      <sharedItems containsSemiMixedTypes="0" containsNonDate="0" containsDate="1" containsString="0" minDate="2020-01-03T00:00:00" maxDate="2021-01-01T00:00:00" count="79">
        <d v="2020-10-08T00:00:00"/>
        <d v="2020-09-12T00:00:00"/>
        <d v="2020-10-10T00:00:00"/>
        <d v="2020-01-24T00:00:00"/>
        <d v="2020-04-01T00:00:00"/>
        <d v="2020-03-03T00:00:00"/>
        <d v="2020-06-24T00:00:00"/>
        <d v="2020-08-30T00:00:00"/>
        <d v="2020-05-19T00:00:00"/>
        <d v="2020-09-22T00:00:00"/>
        <d v="2020-03-09T00:00:00"/>
        <d v="2020-05-18T00:00:00"/>
        <d v="2020-12-27T00:00:00"/>
        <d v="2020-10-09T00:00:00"/>
        <d v="2020-12-05T00:00:00"/>
        <d v="2020-04-21T00:00:00"/>
        <d v="2020-01-15T00:00:00"/>
        <d v="2020-07-30T00:00:00"/>
        <d v="2020-07-25T00:00:00"/>
        <d v="2020-01-03T00:00:00"/>
        <d v="2020-11-21T00:00:00"/>
        <d v="2020-08-01T00:00:00"/>
        <d v="2020-07-04T00:00:00"/>
        <d v="2020-03-19T00:00:00"/>
        <d v="2020-08-21T00:00:00"/>
        <d v="2020-01-09T00:00:00"/>
        <d v="2020-08-19T00:00:00"/>
        <d v="2020-04-03T00:00:00"/>
        <d v="2020-12-26T00:00:00"/>
        <d v="2020-05-28T00:00:00"/>
        <d v="2020-11-02T00:00:00"/>
        <d v="2020-05-31T00:00:00"/>
        <d v="2020-10-23T00:00:00"/>
        <d v="2020-04-28T00:00:00"/>
        <d v="2020-10-05T00:00:00"/>
        <d v="2020-09-20T00:00:00"/>
        <d v="2020-03-16T00:00:00"/>
        <d v="2020-03-23T00:00:00"/>
        <d v="2020-06-21T00:00:00"/>
        <d v="2020-02-27T00:00:00"/>
        <d v="2020-03-01T00:00:00"/>
        <d v="2020-02-15T00:00:00"/>
        <d v="2020-06-16T00:00:00"/>
        <d v="2020-09-10T00:00:00"/>
        <d v="2020-09-04T00:00:00"/>
        <d v="2020-11-23T00:00:00"/>
        <d v="2020-01-23T00:00:00"/>
        <d v="2020-08-08T00:00:00"/>
        <d v="2020-07-01T00:00:00"/>
        <d v="2020-09-17T00:00:00"/>
        <d v="2020-07-22T00:00:00"/>
        <d v="2020-11-04T00:00:00"/>
        <d v="2020-08-07T00:00:00"/>
        <d v="2020-05-07T00:00:00"/>
        <d v="2020-10-14T00:00:00"/>
        <d v="2020-07-19T00:00:00"/>
        <d v="2020-09-28T00:00:00"/>
        <d v="2020-07-07T00:00:00"/>
        <d v="2020-10-27T00:00:00"/>
        <d v="2020-01-21T00:00:00"/>
        <d v="2020-11-22T00:00:00"/>
        <d v="2020-12-14T00:00:00"/>
        <d v="2020-12-13T00:00:00"/>
        <d v="2020-03-15T00:00:00"/>
        <d v="2020-10-20T00:00:00"/>
        <d v="2020-03-20T00:00:00"/>
        <d v="2020-12-04T00:00:00"/>
        <d v="2020-12-31T00:00:00"/>
        <d v="2020-06-25T00:00:00"/>
        <d v="2020-09-05T00:00:00"/>
        <d v="2020-09-24T00:00:00"/>
        <d v="2020-06-30T00:00:00"/>
        <d v="2020-08-22T00:00:00"/>
        <d v="2020-03-06T00:00:00"/>
        <d v="2020-04-11T00:00:00"/>
        <d v="2020-02-08T00:00:00"/>
        <d v="2020-04-15T00:00:00"/>
        <d v="2020-07-03T00:00:00"/>
        <d v="2020-03-11T00:00:00"/>
      </sharedItems>
      <fieldGroup par="15" base="5">
        <rangePr groupBy="days" startDate="2020-01-03T00:00:00" endDate="2021-01-01T00:00:00"/>
        <groupItems count="368">
          <s v="&lt;01/03/2020"/>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01/01/2021"/>
        </groupItems>
      </fieldGroup>
    </cacheField>
    <cacheField name="Shares" numFmtId="0">
      <sharedItems containsSemiMixedTypes="0" containsString="0" containsNumber="1" containsInteger="1" minValue="104" maxValue="495"/>
    </cacheField>
    <cacheField name="Purchasing Price" numFmtId="167">
      <sharedItems containsSemiMixedTypes="0" containsString="0" containsNumber="1" minValue="7.8" maxValue="17"/>
    </cacheField>
    <cacheField name="Total Value" numFmtId="168">
      <sharedItems containsSemiMixedTypes="0" containsString="0" containsNumber="1" minValue="1130.3" maxValue="8194"/>
    </cacheField>
    <cacheField name="Current Price" numFmtId="167">
      <sharedItems containsSemiMixedTypes="0" containsString="0" containsNumber="1" minValue="7" maxValue="18"/>
    </cacheField>
    <cacheField name="Change In Price" numFmtId="167">
      <sharedItems containsSemiMixedTypes="0" containsString="0" containsNumber="1" minValue="-2" maxValue="3.0999999999999996"/>
    </cacheField>
    <cacheField name="Gross Current Value" numFmtId="167">
      <sharedItems containsSemiMixedTypes="0" containsString="0" containsNumber="1" minValue="1270" maxValue="8075"/>
    </cacheField>
    <cacheField name="Accumulated Gowth Value" numFmtId="167">
      <sharedItems containsSemiMixedTypes="0" containsString="0" containsNumber="1" minValue="-1769.6999999999998" maxValue="1996.7999999999988"/>
    </cacheField>
    <cacheField name="Gain(Lose) Value" numFmtId="168">
      <sharedItems containsSemiMixedTypes="0" containsString="0" containsNumber="1" minValue="-850" maxValue="861.79999999999973"/>
    </cacheField>
    <cacheField name="Gain(Lose) %" numFmtId="9">
      <sharedItems containsSemiMixedTypes="0" containsString="0" containsNumber="1" minValue="-0.16666666666666677" maxValue="0.34831460674157289"/>
    </cacheField>
    <cacheField name="Months" numFmtId="0" databaseField="0">
      <fieldGroup base="5">
        <rangePr groupBy="months" startDate="2020-01-03T00:00:00" endDate="2021-01-01T00:00:00"/>
        <groupItems count="14">
          <s v="&lt;01/03/2020"/>
          <s v="Jan"/>
          <s v="Feb"/>
          <s v="Mar"/>
          <s v="Apr"/>
          <s v="May"/>
          <s v="Jun"/>
          <s v="Jul"/>
          <s v="Aug"/>
          <s v="Sep"/>
          <s v="Oct"/>
          <s v="Nov"/>
          <s v="Dec"/>
          <s v="&gt;01/01/2021"/>
        </groupItems>
      </fieldGroup>
    </cacheField>
  </cacheFields>
  <extLst>
    <ext xmlns:x14="http://schemas.microsoft.com/office/spreadsheetml/2009/9/main" uri="{725AE2AE-9491-48be-B2B4-4EB974FC3084}">
      <x14:pivotCacheDefinition pivotCacheId="30493420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0">
  <r>
    <x v="0"/>
    <x v="0"/>
    <x v="0"/>
    <x v="0"/>
    <d v="2020-10-08T00:00:00"/>
    <x v="0"/>
    <n v="411"/>
    <n v="12"/>
    <n v="4932"/>
    <n v="13"/>
    <n v="1"/>
    <n v="5343"/>
    <n v="1758"/>
    <n v="411"/>
    <n v="8.3333333333333329E-2"/>
  </r>
  <r>
    <x v="1"/>
    <x v="1"/>
    <x v="1"/>
    <x v="1"/>
    <d v="2020-09-12T00:00:00"/>
    <x v="1"/>
    <n v="157"/>
    <n v="14"/>
    <n v="2198"/>
    <n v="14"/>
    <n v="0"/>
    <n v="2198"/>
    <n v="1897"/>
    <n v="0"/>
    <n v="0"/>
  </r>
  <r>
    <x v="1"/>
    <x v="2"/>
    <x v="2"/>
    <x v="1"/>
    <d v="2020-10-10T00:00:00"/>
    <x v="2"/>
    <n v="340"/>
    <n v="7.8"/>
    <n v="2652"/>
    <n v="8"/>
    <n v="0.20000000000000018"/>
    <n v="2720"/>
    <n v="-528.59999999999991"/>
    <n v="68"/>
    <n v="2.564102564102564E-2"/>
  </r>
  <r>
    <x v="1"/>
    <x v="3"/>
    <x v="3"/>
    <x v="2"/>
    <d v="2020-01-24T00:00:00"/>
    <x v="3"/>
    <n v="300"/>
    <n v="15.4"/>
    <n v="4620"/>
    <n v="17"/>
    <n v="1.5999999999999996"/>
    <n v="5100"/>
    <n v="1203.5999999999967"/>
    <n v="480"/>
    <n v="0.1038961038961039"/>
  </r>
  <r>
    <x v="1"/>
    <x v="4"/>
    <x v="4"/>
    <x v="1"/>
    <d v="2020-04-01T00:00:00"/>
    <x v="4"/>
    <n v="475"/>
    <n v="17"/>
    <n v="8075"/>
    <n v="17"/>
    <n v="0"/>
    <n v="8075"/>
    <n v="-1769.6999999999998"/>
    <n v="0"/>
    <n v="0"/>
  </r>
  <r>
    <x v="1"/>
    <x v="5"/>
    <x v="5"/>
    <x v="3"/>
    <d v="2020-03-03T00:00:00"/>
    <x v="5"/>
    <n v="106"/>
    <n v="12.6"/>
    <n v="1335.6"/>
    <n v="15"/>
    <n v="2.4000000000000004"/>
    <n v="1590"/>
    <n v="1015.0000000000005"/>
    <n v="254.40000000000009"/>
    <n v="0.19047619047619055"/>
  </r>
  <r>
    <x v="1"/>
    <x v="6"/>
    <x v="6"/>
    <x v="0"/>
    <d v="2020-06-24T00:00:00"/>
    <x v="6"/>
    <n v="208"/>
    <n v="10.8"/>
    <n v="2246.4"/>
    <n v="10"/>
    <n v="-0.80000000000000071"/>
    <n v="2080"/>
    <n v="-535.40000000000168"/>
    <n v="-166.40000000000009"/>
    <n v="-7.4074074074074112E-2"/>
  </r>
  <r>
    <x v="0"/>
    <x v="5"/>
    <x v="5"/>
    <x v="3"/>
    <d v="2020-08-30T00:00:00"/>
    <x v="7"/>
    <n v="464"/>
    <n v="12.6"/>
    <n v="5846.4"/>
    <n v="14"/>
    <n v="1.4000000000000004"/>
    <n v="6496"/>
    <n v="1015.0000000000005"/>
    <n v="649.60000000000036"/>
    <n v="0.11111111111111117"/>
  </r>
  <r>
    <x v="1"/>
    <x v="0"/>
    <x v="0"/>
    <x v="0"/>
    <d v="2020-05-19T00:00:00"/>
    <x v="8"/>
    <n v="189"/>
    <n v="12"/>
    <n v="2268"/>
    <n v="13"/>
    <n v="1"/>
    <n v="2457"/>
    <n v="1758"/>
    <n v="189"/>
    <n v="8.3333333333333329E-2"/>
  </r>
  <r>
    <x v="1"/>
    <x v="7"/>
    <x v="7"/>
    <x v="2"/>
    <d v="2020-09-22T00:00:00"/>
    <x v="9"/>
    <n v="202"/>
    <n v="15"/>
    <n v="3030"/>
    <n v="15"/>
    <n v="0"/>
    <n v="3030"/>
    <n v="-510"/>
    <n v="0"/>
    <n v="0"/>
  </r>
  <r>
    <x v="0"/>
    <x v="1"/>
    <x v="1"/>
    <x v="1"/>
    <d v="2020-03-09T00:00:00"/>
    <x v="10"/>
    <n v="332"/>
    <n v="14"/>
    <n v="4648"/>
    <n v="16"/>
    <n v="2"/>
    <n v="5312"/>
    <n v="1897"/>
    <n v="664"/>
    <n v="0.14285714285714285"/>
  </r>
  <r>
    <x v="1"/>
    <x v="4"/>
    <x v="4"/>
    <x v="1"/>
    <d v="2020-05-18T00:00:00"/>
    <x v="11"/>
    <n v="171"/>
    <n v="17"/>
    <n v="2907"/>
    <n v="16"/>
    <n v="-1"/>
    <n v="2736"/>
    <n v="-1769.6999999999998"/>
    <n v="-171"/>
    <n v="-5.8823529411764705E-2"/>
  </r>
  <r>
    <x v="1"/>
    <x v="3"/>
    <x v="3"/>
    <x v="2"/>
    <d v="2020-12-27T00:00:00"/>
    <x v="12"/>
    <n v="441"/>
    <n v="15.4"/>
    <n v="6791.4000000000005"/>
    <n v="16"/>
    <n v="0.59999999999999964"/>
    <n v="7056"/>
    <n v="1203.5999999999967"/>
    <n v="264.59999999999945"/>
    <n v="3.8961038961038877E-2"/>
  </r>
  <r>
    <x v="2"/>
    <x v="5"/>
    <x v="5"/>
    <x v="3"/>
    <d v="2020-10-09T00:00:00"/>
    <x v="13"/>
    <n v="249"/>
    <n v="12.6"/>
    <n v="3137.4"/>
    <n v="13"/>
    <n v="0.40000000000000036"/>
    <n v="3237"/>
    <n v="1015.0000000000005"/>
    <n v="99.599999999999909"/>
    <n v="3.1746031746031717E-2"/>
  </r>
  <r>
    <x v="0"/>
    <x v="3"/>
    <x v="3"/>
    <x v="2"/>
    <d v="2020-12-05T00:00:00"/>
    <x v="14"/>
    <n v="330"/>
    <n v="15.4"/>
    <n v="5082"/>
    <n v="15"/>
    <n v="-0.40000000000000036"/>
    <n v="4950"/>
    <n v="1203.5999999999967"/>
    <n v="-132"/>
    <n v="-2.5974025974025976E-2"/>
  </r>
  <r>
    <x v="1"/>
    <x v="5"/>
    <x v="5"/>
    <x v="3"/>
    <d v="2020-04-21T00:00:00"/>
    <x v="15"/>
    <n v="452"/>
    <n v="12.6"/>
    <n v="5695.2"/>
    <n v="14"/>
    <n v="1.4000000000000004"/>
    <n v="6328"/>
    <n v="1015.0000000000005"/>
    <n v="632.80000000000018"/>
    <n v="0.11111111111111115"/>
  </r>
  <r>
    <x v="0"/>
    <x v="3"/>
    <x v="3"/>
    <x v="2"/>
    <d v="2020-01-15T00:00:00"/>
    <x v="16"/>
    <n v="394"/>
    <n v="15.4"/>
    <n v="6067.6"/>
    <n v="16"/>
    <n v="0.59999999999999964"/>
    <n v="6304"/>
    <n v="1203.5999999999967"/>
    <n v="236.39999999999964"/>
    <n v="3.8961038961038898E-2"/>
  </r>
  <r>
    <x v="2"/>
    <x v="3"/>
    <x v="3"/>
    <x v="2"/>
    <d v="2020-07-30T00:00:00"/>
    <x v="17"/>
    <n v="175"/>
    <n v="15.4"/>
    <n v="2695"/>
    <n v="15"/>
    <n v="-0.40000000000000036"/>
    <n v="2625"/>
    <n v="1203.5999999999967"/>
    <n v="-70"/>
    <n v="-2.5974025974025976E-2"/>
  </r>
  <r>
    <x v="0"/>
    <x v="4"/>
    <x v="4"/>
    <x v="1"/>
    <d v="2020-07-25T00:00:00"/>
    <x v="18"/>
    <n v="440"/>
    <n v="17"/>
    <n v="7480"/>
    <n v="17"/>
    <n v="0"/>
    <n v="7480"/>
    <n v="-1769.6999999999998"/>
    <n v="0"/>
    <n v="0"/>
  </r>
  <r>
    <x v="1"/>
    <x v="6"/>
    <x v="6"/>
    <x v="0"/>
    <d v="2020-01-03T00:00:00"/>
    <x v="19"/>
    <n v="165"/>
    <n v="10.8"/>
    <n v="1782.0000000000002"/>
    <n v="11"/>
    <n v="0.19999999999999929"/>
    <n v="1815"/>
    <n v="-535.40000000000168"/>
    <n v="32.999999999999773"/>
    <n v="1.8518518518518389E-2"/>
  </r>
  <r>
    <x v="0"/>
    <x v="0"/>
    <x v="0"/>
    <x v="0"/>
    <d v="2020-11-21T00:00:00"/>
    <x v="20"/>
    <n v="159"/>
    <n v="12"/>
    <n v="1908"/>
    <n v="12"/>
    <n v="0"/>
    <n v="1908"/>
    <n v="1758"/>
    <n v="0"/>
    <n v="0"/>
  </r>
  <r>
    <x v="1"/>
    <x v="3"/>
    <x v="3"/>
    <x v="2"/>
    <d v="2020-08-01T00:00:00"/>
    <x v="21"/>
    <n v="471"/>
    <n v="15.4"/>
    <n v="7253.4000000000005"/>
    <n v="16"/>
    <n v="0.59999999999999964"/>
    <n v="7536"/>
    <n v="1203.5999999999967"/>
    <n v="282.59999999999945"/>
    <n v="3.8961038961038884E-2"/>
  </r>
  <r>
    <x v="1"/>
    <x v="3"/>
    <x v="3"/>
    <x v="2"/>
    <d v="2020-07-04T00:00:00"/>
    <x v="22"/>
    <n v="160"/>
    <n v="15.4"/>
    <n v="2464"/>
    <n v="17"/>
    <n v="1.5999999999999996"/>
    <n v="2720"/>
    <n v="1203.5999999999967"/>
    <n v="256"/>
    <n v="0.1038961038961039"/>
  </r>
  <r>
    <x v="0"/>
    <x v="1"/>
    <x v="1"/>
    <x v="1"/>
    <d v="2020-03-19T00:00:00"/>
    <x v="23"/>
    <n v="170"/>
    <n v="14"/>
    <n v="2380"/>
    <n v="15"/>
    <n v="1"/>
    <n v="2550"/>
    <n v="1897"/>
    <n v="170"/>
    <n v="7.1428571428571425E-2"/>
  </r>
  <r>
    <x v="0"/>
    <x v="2"/>
    <x v="2"/>
    <x v="1"/>
    <d v="2020-08-21T00:00:00"/>
    <x v="24"/>
    <n v="300"/>
    <n v="7.8"/>
    <n v="2340"/>
    <n v="7"/>
    <n v="-0.79999999999999982"/>
    <n v="2100"/>
    <n v="-528.59999999999991"/>
    <n v="-240"/>
    <n v="-0.10256410256410256"/>
  </r>
  <r>
    <x v="0"/>
    <x v="4"/>
    <x v="4"/>
    <x v="1"/>
    <d v="2020-01-09T00:00:00"/>
    <x v="25"/>
    <n v="334"/>
    <n v="17"/>
    <n v="5678"/>
    <n v="17"/>
    <n v="0"/>
    <n v="5678"/>
    <n v="-1769.6999999999998"/>
    <n v="0"/>
    <n v="0"/>
  </r>
  <r>
    <x v="2"/>
    <x v="6"/>
    <x v="6"/>
    <x v="0"/>
    <d v="2020-08-19T00:00:00"/>
    <x v="26"/>
    <n v="259"/>
    <n v="10.8"/>
    <n v="2797.2000000000003"/>
    <n v="11"/>
    <n v="0.19999999999999929"/>
    <n v="2849"/>
    <n v="-535.40000000000168"/>
    <n v="51.799999999999727"/>
    <n v="1.851851851851842E-2"/>
  </r>
  <r>
    <x v="0"/>
    <x v="0"/>
    <x v="0"/>
    <x v="0"/>
    <d v="2020-04-03T00:00:00"/>
    <x v="27"/>
    <n v="276"/>
    <n v="12"/>
    <n v="3312"/>
    <n v="12"/>
    <n v="0"/>
    <n v="3312"/>
    <n v="1758"/>
    <n v="0"/>
    <n v="0"/>
  </r>
  <r>
    <x v="1"/>
    <x v="5"/>
    <x v="5"/>
    <x v="3"/>
    <d v="2020-12-26T00:00:00"/>
    <x v="28"/>
    <n v="493"/>
    <n v="12.6"/>
    <n v="6211.8"/>
    <n v="11"/>
    <n v="-1.5999999999999996"/>
    <n v="5423"/>
    <n v="1015.0000000000005"/>
    <n v="-788.80000000000018"/>
    <n v="-0.126984126984127"/>
  </r>
  <r>
    <x v="2"/>
    <x v="8"/>
    <x v="8"/>
    <x v="3"/>
    <d v="2020-05-28T00:00:00"/>
    <x v="29"/>
    <n v="278"/>
    <n v="8.9"/>
    <n v="2474.2000000000003"/>
    <n v="12"/>
    <n v="3.0999999999999996"/>
    <n v="3336"/>
    <n v="1996.7999999999988"/>
    <n v="861.79999999999973"/>
    <n v="0.34831460674157289"/>
  </r>
  <r>
    <x v="2"/>
    <x v="3"/>
    <x v="3"/>
    <x v="2"/>
    <d v="2020-11-02T00:00:00"/>
    <x v="30"/>
    <n v="451"/>
    <n v="15.4"/>
    <n v="6945.4000000000005"/>
    <n v="17"/>
    <n v="1.5999999999999996"/>
    <n v="7667"/>
    <n v="1203.5999999999967"/>
    <n v="721.59999999999945"/>
    <n v="0.10389610389610381"/>
  </r>
  <r>
    <x v="2"/>
    <x v="4"/>
    <x v="4"/>
    <x v="1"/>
    <d v="2020-05-31T00:00:00"/>
    <x v="31"/>
    <n v="436"/>
    <n v="17"/>
    <n v="7412"/>
    <n v="18"/>
    <n v="1"/>
    <n v="7848"/>
    <n v="-1769.6999999999998"/>
    <n v="436"/>
    <n v="5.8823529411764705E-2"/>
  </r>
  <r>
    <x v="2"/>
    <x v="3"/>
    <x v="3"/>
    <x v="2"/>
    <d v="2020-10-23T00:00:00"/>
    <x v="32"/>
    <n v="292"/>
    <n v="15.4"/>
    <n v="4496.8"/>
    <n v="16"/>
    <n v="0.59999999999999964"/>
    <n v="4672"/>
    <n v="1203.5999999999967"/>
    <n v="175.19999999999982"/>
    <n v="3.8961038961038919E-2"/>
  </r>
  <r>
    <x v="0"/>
    <x v="2"/>
    <x v="2"/>
    <x v="1"/>
    <d v="2020-04-28T00:00:00"/>
    <x v="33"/>
    <n v="457"/>
    <n v="7.8"/>
    <n v="3564.6"/>
    <n v="7"/>
    <n v="-0.79999999999999982"/>
    <n v="3199"/>
    <n v="-528.59999999999991"/>
    <n v="-365.59999999999991"/>
    <n v="-0.10256410256410255"/>
  </r>
  <r>
    <x v="0"/>
    <x v="4"/>
    <x v="4"/>
    <x v="1"/>
    <d v="2020-10-05T00:00:00"/>
    <x v="34"/>
    <n v="253"/>
    <n v="17"/>
    <n v="4301"/>
    <n v="17"/>
    <n v="0"/>
    <n v="4301"/>
    <n v="-1769.6999999999998"/>
    <n v="0"/>
    <n v="0"/>
  </r>
  <r>
    <x v="2"/>
    <x v="0"/>
    <x v="0"/>
    <x v="0"/>
    <d v="2020-08-21T00:00:00"/>
    <x v="24"/>
    <n v="206"/>
    <n v="12"/>
    <n v="2472"/>
    <n v="12"/>
    <n v="0"/>
    <n v="2472"/>
    <n v="1758"/>
    <n v="0"/>
    <n v="0"/>
  </r>
  <r>
    <x v="0"/>
    <x v="3"/>
    <x v="3"/>
    <x v="2"/>
    <d v="2020-05-19T00:00:00"/>
    <x v="8"/>
    <n v="229"/>
    <n v="15.4"/>
    <n v="3526.6"/>
    <n v="15"/>
    <n v="-0.40000000000000036"/>
    <n v="3435"/>
    <n v="1203.5999999999967"/>
    <n v="-91.599999999999909"/>
    <n v="-2.5974025974025948E-2"/>
  </r>
  <r>
    <x v="2"/>
    <x v="0"/>
    <x v="0"/>
    <x v="0"/>
    <d v="2020-09-20T00:00:00"/>
    <x v="35"/>
    <n v="351"/>
    <n v="12"/>
    <n v="4212"/>
    <n v="13"/>
    <n v="1"/>
    <n v="4563"/>
    <n v="1758"/>
    <n v="351"/>
    <n v="8.3333333333333329E-2"/>
  </r>
  <r>
    <x v="1"/>
    <x v="1"/>
    <x v="1"/>
    <x v="1"/>
    <d v="2020-03-16T00:00:00"/>
    <x v="36"/>
    <n v="311"/>
    <n v="14"/>
    <n v="4354"/>
    <n v="15"/>
    <n v="1"/>
    <n v="4665"/>
    <n v="1897"/>
    <n v="311"/>
    <n v="7.1428571428571425E-2"/>
  </r>
  <r>
    <x v="2"/>
    <x v="7"/>
    <x v="7"/>
    <x v="2"/>
    <d v="2020-03-23T00:00:00"/>
    <x v="37"/>
    <n v="364"/>
    <n v="15"/>
    <n v="5460"/>
    <n v="15"/>
    <n v="0"/>
    <n v="5460"/>
    <n v="-510"/>
    <n v="0"/>
    <n v="0"/>
  </r>
  <r>
    <x v="0"/>
    <x v="1"/>
    <x v="1"/>
    <x v="1"/>
    <d v="2020-06-21T00:00:00"/>
    <x v="38"/>
    <n v="339"/>
    <n v="14"/>
    <n v="4746"/>
    <n v="13"/>
    <n v="-1"/>
    <n v="4407"/>
    <n v="1897"/>
    <n v="-339"/>
    <n v="-7.1428571428571425E-2"/>
  </r>
  <r>
    <x v="0"/>
    <x v="7"/>
    <x v="7"/>
    <x v="2"/>
    <d v="2020-02-27T00:00:00"/>
    <x v="39"/>
    <n v="220"/>
    <n v="15"/>
    <n v="3300"/>
    <n v="15"/>
    <n v="0"/>
    <n v="3300"/>
    <n v="-510"/>
    <n v="0"/>
    <n v="0"/>
  </r>
  <r>
    <x v="1"/>
    <x v="5"/>
    <x v="5"/>
    <x v="3"/>
    <d v="2020-12-27T00:00:00"/>
    <x v="12"/>
    <n v="145"/>
    <n v="12.6"/>
    <n v="1827"/>
    <n v="12"/>
    <n v="-0.59999999999999964"/>
    <n v="1740"/>
    <n v="1015.0000000000005"/>
    <n v="-87"/>
    <n v="-4.7619047619047616E-2"/>
  </r>
  <r>
    <x v="2"/>
    <x v="6"/>
    <x v="6"/>
    <x v="0"/>
    <d v="2020-07-30T00:00:00"/>
    <x v="17"/>
    <n v="291"/>
    <n v="10.8"/>
    <n v="3142.8"/>
    <n v="12"/>
    <n v="1.1999999999999993"/>
    <n v="3492"/>
    <n v="-535.40000000000168"/>
    <n v="349.19999999999982"/>
    <n v="0.11111111111111105"/>
  </r>
  <r>
    <x v="1"/>
    <x v="3"/>
    <x v="3"/>
    <x v="2"/>
    <d v="2020-03-01T00:00:00"/>
    <x v="40"/>
    <n v="205"/>
    <n v="15.4"/>
    <n v="3157"/>
    <n v="14"/>
    <n v="-1.4000000000000004"/>
    <n v="2870"/>
    <n v="1203.5999999999967"/>
    <n v="-287"/>
    <n v="-9.0909090909090912E-2"/>
  </r>
  <r>
    <x v="1"/>
    <x v="6"/>
    <x v="6"/>
    <x v="0"/>
    <d v="2020-02-15T00:00:00"/>
    <x v="41"/>
    <n v="375"/>
    <n v="10.8"/>
    <n v="4050.0000000000005"/>
    <n v="9"/>
    <n v="-1.8000000000000007"/>
    <n v="3375"/>
    <n v="-535.40000000000168"/>
    <n v="-675.00000000000045"/>
    <n v="-0.16666666666666677"/>
  </r>
  <r>
    <x v="2"/>
    <x v="6"/>
    <x v="6"/>
    <x v="0"/>
    <d v="2020-06-16T00:00:00"/>
    <x v="42"/>
    <n v="411"/>
    <n v="10.8"/>
    <n v="4438.8"/>
    <n v="10.8"/>
    <n v="0"/>
    <n v="4438.8"/>
    <n v="-535.40000000000168"/>
    <n v="0"/>
    <n v="0"/>
  </r>
  <r>
    <x v="2"/>
    <x v="2"/>
    <x v="2"/>
    <x v="1"/>
    <d v="2020-02-27T00:00:00"/>
    <x v="39"/>
    <n v="323"/>
    <n v="7.8"/>
    <n v="2519.4"/>
    <n v="7"/>
    <n v="-0.79999999999999982"/>
    <n v="2261"/>
    <n v="-528.59999999999991"/>
    <n v="-258.40000000000009"/>
    <n v="-0.1025641025641026"/>
  </r>
  <r>
    <x v="1"/>
    <x v="7"/>
    <x v="7"/>
    <x v="2"/>
    <d v="2020-09-10T00:00:00"/>
    <x v="43"/>
    <n v="262"/>
    <n v="15"/>
    <n v="3930"/>
    <n v="15"/>
    <n v="0"/>
    <n v="3930"/>
    <n v="-510"/>
    <n v="0"/>
    <n v="0"/>
  </r>
  <r>
    <x v="2"/>
    <x v="0"/>
    <x v="0"/>
    <x v="0"/>
    <d v="2020-09-04T00:00:00"/>
    <x v="44"/>
    <n v="380"/>
    <n v="12"/>
    <n v="4560"/>
    <n v="13"/>
    <n v="1"/>
    <n v="4940"/>
    <n v="1758"/>
    <n v="380"/>
    <n v="8.3333333333333329E-2"/>
  </r>
  <r>
    <x v="1"/>
    <x v="2"/>
    <x v="2"/>
    <x v="1"/>
    <d v="2020-11-23T00:00:00"/>
    <x v="45"/>
    <n v="450"/>
    <n v="7.8"/>
    <n v="3510"/>
    <n v="8"/>
    <n v="0.20000000000000018"/>
    <n v="3600"/>
    <n v="-528.59999999999991"/>
    <n v="90"/>
    <n v="2.564102564102564E-2"/>
  </r>
  <r>
    <x v="1"/>
    <x v="2"/>
    <x v="2"/>
    <x v="1"/>
    <d v="2020-05-28T00:00:00"/>
    <x v="29"/>
    <n v="452"/>
    <n v="7.8"/>
    <n v="3525.6"/>
    <n v="8"/>
    <n v="0.20000000000000018"/>
    <n v="3616"/>
    <n v="-528.59999999999991"/>
    <n v="90.400000000000091"/>
    <n v="2.5641025641025668E-2"/>
  </r>
  <r>
    <x v="2"/>
    <x v="4"/>
    <x v="4"/>
    <x v="1"/>
    <d v="2020-01-23T00:00:00"/>
    <x v="46"/>
    <n v="482"/>
    <n v="17"/>
    <n v="8194"/>
    <n v="16"/>
    <n v="-1"/>
    <n v="7712"/>
    <n v="-1769.6999999999998"/>
    <n v="-482"/>
    <n v="-5.8823529411764705E-2"/>
  </r>
  <r>
    <x v="2"/>
    <x v="1"/>
    <x v="1"/>
    <x v="1"/>
    <d v="2020-08-08T00:00:00"/>
    <x v="47"/>
    <n v="178"/>
    <n v="14"/>
    <n v="2492"/>
    <n v="15"/>
    <n v="1"/>
    <n v="2670"/>
    <n v="1897"/>
    <n v="178"/>
    <n v="7.1428571428571425E-2"/>
  </r>
  <r>
    <x v="0"/>
    <x v="8"/>
    <x v="8"/>
    <x v="3"/>
    <d v="2020-07-01T00:00:00"/>
    <x v="48"/>
    <n v="384"/>
    <n v="8.9"/>
    <n v="3417.6000000000004"/>
    <n v="10"/>
    <n v="1.0999999999999996"/>
    <n v="3840"/>
    <n v="1996.7999999999988"/>
    <n v="422.39999999999964"/>
    <n v="0.12359550561797741"/>
  </r>
  <r>
    <x v="0"/>
    <x v="4"/>
    <x v="4"/>
    <x v="1"/>
    <d v="2020-09-17T00:00:00"/>
    <x v="49"/>
    <n v="395"/>
    <n v="17"/>
    <n v="6715"/>
    <n v="16"/>
    <n v="-1"/>
    <n v="6320"/>
    <n v="-1769.6999999999998"/>
    <n v="-395"/>
    <n v="-5.8823529411764705E-2"/>
  </r>
  <r>
    <x v="0"/>
    <x v="1"/>
    <x v="1"/>
    <x v="1"/>
    <d v="2020-07-22T00:00:00"/>
    <x v="50"/>
    <n v="258"/>
    <n v="14"/>
    <n v="3612"/>
    <n v="12"/>
    <n v="-2"/>
    <n v="3096"/>
    <n v="1897"/>
    <n v="-516"/>
    <n v="-0.14285714285714285"/>
  </r>
  <r>
    <x v="1"/>
    <x v="1"/>
    <x v="1"/>
    <x v="1"/>
    <d v="2020-11-04T00:00:00"/>
    <x v="51"/>
    <n v="398"/>
    <n v="14"/>
    <n v="5572"/>
    <n v="14"/>
    <n v="0"/>
    <n v="5572"/>
    <n v="1897"/>
    <n v="0"/>
    <n v="0"/>
  </r>
  <r>
    <x v="0"/>
    <x v="4"/>
    <x v="4"/>
    <x v="1"/>
    <d v="2020-08-07T00:00:00"/>
    <x v="52"/>
    <n v="425"/>
    <n v="17"/>
    <n v="7225"/>
    <n v="15"/>
    <n v="-2"/>
    <n v="6375"/>
    <n v="-1769.6999999999998"/>
    <n v="-850"/>
    <n v="-0.11764705882352941"/>
  </r>
  <r>
    <x v="2"/>
    <x v="4"/>
    <x v="4"/>
    <x v="1"/>
    <d v="2020-05-07T00:00:00"/>
    <x v="53"/>
    <n v="186"/>
    <n v="17"/>
    <n v="3162"/>
    <n v="17"/>
    <n v="0"/>
    <n v="3162"/>
    <n v="-1769.6999999999998"/>
    <n v="0"/>
    <n v="0"/>
  </r>
  <r>
    <x v="0"/>
    <x v="8"/>
    <x v="8"/>
    <x v="3"/>
    <d v="2020-10-14T00:00:00"/>
    <x v="54"/>
    <n v="471"/>
    <n v="8.9"/>
    <n v="4191.9000000000005"/>
    <n v="10"/>
    <n v="1.0999999999999996"/>
    <n v="4710"/>
    <n v="1996.7999999999988"/>
    <n v="518.09999999999945"/>
    <n v="0.12359550561797739"/>
  </r>
  <r>
    <x v="1"/>
    <x v="8"/>
    <x v="8"/>
    <x v="3"/>
    <d v="2020-07-19T00:00:00"/>
    <x v="55"/>
    <n v="379"/>
    <n v="8.9"/>
    <n v="3373.1"/>
    <n v="9"/>
    <n v="9.9999999999999645E-2"/>
    <n v="3411"/>
    <n v="1996.7999999999988"/>
    <n v="37.900000000000091"/>
    <n v="1.1235955056179803E-2"/>
  </r>
  <r>
    <x v="0"/>
    <x v="5"/>
    <x v="5"/>
    <x v="3"/>
    <d v="2020-10-05T00:00:00"/>
    <x v="34"/>
    <n v="378"/>
    <n v="12.6"/>
    <n v="4762.8"/>
    <n v="13"/>
    <n v="0.40000000000000036"/>
    <n v="4914"/>
    <n v="1015.0000000000005"/>
    <n v="151.19999999999982"/>
    <n v="3.174603174603171E-2"/>
  </r>
  <r>
    <x v="1"/>
    <x v="3"/>
    <x v="3"/>
    <x v="2"/>
    <d v="2020-09-28T00:00:00"/>
    <x v="56"/>
    <n v="346"/>
    <n v="15.4"/>
    <n v="5328.4000000000005"/>
    <n v="14"/>
    <n v="-1.4000000000000004"/>
    <n v="4844"/>
    <n v="1203.5999999999967"/>
    <n v="-484.40000000000055"/>
    <n v="-9.0909090909091009E-2"/>
  </r>
  <r>
    <x v="2"/>
    <x v="1"/>
    <x v="1"/>
    <x v="1"/>
    <d v="2020-07-07T00:00:00"/>
    <x v="57"/>
    <n v="195"/>
    <n v="14"/>
    <n v="2730"/>
    <n v="17"/>
    <n v="3"/>
    <n v="3315"/>
    <n v="1897"/>
    <n v="585"/>
    <n v="0.21428571428571427"/>
  </r>
  <r>
    <x v="0"/>
    <x v="5"/>
    <x v="5"/>
    <x v="3"/>
    <d v="2020-10-27T00:00:00"/>
    <x v="58"/>
    <n v="258"/>
    <n v="12.6"/>
    <n v="3250.7999999999997"/>
    <n v="13"/>
    <n v="0.40000000000000036"/>
    <n v="3354"/>
    <n v="1015.0000000000005"/>
    <n v="103.20000000000027"/>
    <n v="3.1746031746031834E-2"/>
  </r>
  <r>
    <x v="0"/>
    <x v="3"/>
    <x v="3"/>
    <x v="2"/>
    <d v="2020-01-21T00:00:00"/>
    <x v="59"/>
    <n v="281"/>
    <n v="15.4"/>
    <n v="4327.4000000000005"/>
    <n v="15"/>
    <n v="-0.40000000000000036"/>
    <n v="4215"/>
    <n v="1203.5999999999967"/>
    <n v="-112.40000000000055"/>
    <n v="-2.5974025974026097E-2"/>
  </r>
  <r>
    <x v="2"/>
    <x v="3"/>
    <x v="3"/>
    <x v="2"/>
    <d v="2020-11-22T00:00:00"/>
    <x v="60"/>
    <n v="241"/>
    <n v="15.4"/>
    <n v="3711.4"/>
    <n v="16"/>
    <n v="0.59999999999999964"/>
    <n v="3856"/>
    <n v="1203.5999999999967"/>
    <n v="144.59999999999991"/>
    <n v="3.8961038961038932E-2"/>
  </r>
  <r>
    <x v="1"/>
    <x v="6"/>
    <x v="6"/>
    <x v="0"/>
    <d v="2020-12-14T00:00:00"/>
    <x v="61"/>
    <n v="355"/>
    <n v="10.8"/>
    <n v="3834.0000000000005"/>
    <n v="10"/>
    <n v="-0.80000000000000071"/>
    <n v="3550"/>
    <n v="-535.40000000000168"/>
    <n v="-284.00000000000045"/>
    <n v="-7.4074074074074181E-2"/>
  </r>
  <r>
    <x v="1"/>
    <x v="0"/>
    <x v="0"/>
    <x v="0"/>
    <d v="2020-12-13T00:00:00"/>
    <x v="62"/>
    <n v="495"/>
    <n v="12"/>
    <n v="5940"/>
    <n v="12"/>
    <n v="0"/>
    <n v="5940"/>
    <n v="1758"/>
    <n v="0"/>
    <n v="0"/>
  </r>
  <r>
    <x v="2"/>
    <x v="0"/>
    <x v="0"/>
    <x v="0"/>
    <d v="2020-03-15T00:00:00"/>
    <x v="63"/>
    <n v="185"/>
    <n v="12"/>
    <n v="2220"/>
    <n v="12"/>
    <n v="0"/>
    <n v="2220"/>
    <n v="1758"/>
    <n v="0"/>
    <n v="0"/>
  </r>
  <r>
    <x v="2"/>
    <x v="2"/>
    <x v="2"/>
    <x v="1"/>
    <d v="2020-10-20T00:00:00"/>
    <x v="64"/>
    <n v="435"/>
    <n v="7.8"/>
    <n v="3393"/>
    <n v="8"/>
    <n v="0.20000000000000018"/>
    <n v="3480"/>
    <n v="-528.59999999999991"/>
    <n v="87"/>
    <n v="2.564102564102564E-2"/>
  </r>
  <r>
    <x v="0"/>
    <x v="7"/>
    <x v="7"/>
    <x v="2"/>
    <d v="2020-12-27T00:00:00"/>
    <x v="12"/>
    <n v="147"/>
    <n v="15"/>
    <n v="2205"/>
    <n v="15"/>
    <n v="0"/>
    <n v="2205"/>
    <n v="-510"/>
    <n v="0"/>
    <n v="0"/>
  </r>
  <r>
    <x v="0"/>
    <x v="4"/>
    <x v="4"/>
    <x v="1"/>
    <d v="2020-09-22T00:00:00"/>
    <x v="9"/>
    <n v="451"/>
    <n v="17"/>
    <n v="7667"/>
    <n v="16.3"/>
    <n v="-0.69999999999999929"/>
    <n v="7351.3"/>
    <n v="-1769.6999999999998"/>
    <n v="-315.69999999999982"/>
    <n v="-4.1176470588235273E-2"/>
  </r>
  <r>
    <x v="1"/>
    <x v="8"/>
    <x v="8"/>
    <x v="3"/>
    <d v="2020-03-20T00:00:00"/>
    <x v="65"/>
    <n v="127"/>
    <n v="8.9"/>
    <n v="1130.3"/>
    <n v="10"/>
    <n v="1.0999999999999996"/>
    <n v="1270"/>
    <n v="1996.7999999999988"/>
    <n v="139.70000000000005"/>
    <n v="0.12359550561797758"/>
  </r>
  <r>
    <x v="1"/>
    <x v="0"/>
    <x v="0"/>
    <x v="0"/>
    <d v="2020-12-04T00:00:00"/>
    <x v="66"/>
    <n v="323"/>
    <n v="12"/>
    <n v="3876"/>
    <n v="13"/>
    <n v="1"/>
    <n v="4199"/>
    <n v="1758"/>
    <n v="323"/>
    <n v="8.3333333333333329E-2"/>
  </r>
  <r>
    <x v="2"/>
    <x v="7"/>
    <x v="7"/>
    <x v="2"/>
    <d v="2020-12-04T00:00:00"/>
    <x v="66"/>
    <n v="134"/>
    <n v="15"/>
    <n v="2010"/>
    <n v="14"/>
    <n v="-1"/>
    <n v="1876"/>
    <n v="-510"/>
    <n v="-134"/>
    <n v="-6.6666666666666666E-2"/>
  </r>
  <r>
    <x v="1"/>
    <x v="1"/>
    <x v="1"/>
    <x v="1"/>
    <d v="2020-12-31T00:00:00"/>
    <x v="67"/>
    <n v="335"/>
    <n v="14"/>
    <n v="4690"/>
    <n v="14"/>
    <n v="0"/>
    <n v="4690"/>
    <n v="1897"/>
    <n v="0"/>
    <n v="0"/>
  </r>
  <r>
    <x v="0"/>
    <x v="1"/>
    <x v="1"/>
    <x v="1"/>
    <d v="2020-06-25T00:00:00"/>
    <x v="68"/>
    <n v="405"/>
    <n v="14"/>
    <n v="5670"/>
    <n v="15"/>
    <n v="1"/>
    <n v="6075"/>
    <n v="1897"/>
    <n v="405"/>
    <n v="7.1428571428571425E-2"/>
  </r>
  <r>
    <x v="1"/>
    <x v="0"/>
    <x v="0"/>
    <x v="0"/>
    <d v="2020-09-05T00:00:00"/>
    <x v="69"/>
    <n v="104"/>
    <n v="12"/>
    <n v="1248"/>
    <n v="13"/>
    <n v="1"/>
    <n v="1352"/>
    <n v="1758"/>
    <n v="104"/>
    <n v="8.3333333333333329E-2"/>
  </r>
  <r>
    <x v="1"/>
    <x v="7"/>
    <x v="7"/>
    <x v="2"/>
    <d v="2020-01-21T00:00:00"/>
    <x v="59"/>
    <n v="176"/>
    <n v="15"/>
    <n v="2640"/>
    <n v="14"/>
    <n v="-1"/>
    <n v="2464"/>
    <n v="-510"/>
    <n v="-176"/>
    <n v="-6.6666666666666666E-2"/>
  </r>
  <r>
    <x v="1"/>
    <x v="4"/>
    <x v="4"/>
    <x v="1"/>
    <d v="2020-09-24T00:00:00"/>
    <x v="70"/>
    <n v="182"/>
    <n v="17"/>
    <n v="3094"/>
    <n v="18"/>
    <n v="1"/>
    <n v="3276"/>
    <n v="-1769.6999999999998"/>
    <n v="182"/>
    <n v="5.8823529411764705E-2"/>
  </r>
  <r>
    <x v="2"/>
    <x v="6"/>
    <x v="6"/>
    <x v="0"/>
    <d v="2020-06-30T00:00:00"/>
    <x v="71"/>
    <n v="130"/>
    <n v="10.8"/>
    <n v="1404"/>
    <n v="12"/>
    <n v="1.1999999999999993"/>
    <n v="1560"/>
    <n v="-535.40000000000168"/>
    <n v="156"/>
    <n v="0.1111111111111111"/>
  </r>
  <r>
    <x v="0"/>
    <x v="7"/>
    <x v="7"/>
    <x v="2"/>
    <d v="2020-08-22T00:00:00"/>
    <x v="72"/>
    <n v="200"/>
    <n v="15"/>
    <n v="3000"/>
    <n v="14"/>
    <n v="-1"/>
    <n v="2800"/>
    <n v="-510"/>
    <n v="-200"/>
    <n v="-6.6666666666666666E-2"/>
  </r>
  <r>
    <x v="2"/>
    <x v="1"/>
    <x v="1"/>
    <x v="1"/>
    <d v="2020-03-06T00:00:00"/>
    <x v="73"/>
    <n v="176"/>
    <n v="14"/>
    <n v="2464"/>
    <n v="15"/>
    <n v="1"/>
    <n v="2640"/>
    <n v="1897"/>
    <n v="176"/>
    <n v="7.1428571428571425E-2"/>
  </r>
  <r>
    <x v="0"/>
    <x v="3"/>
    <x v="3"/>
    <x v="2"/>
    <d v="2020-04-11T00:00:00"/>
    <x v="74"/>
    <n v="450"/>
    <n v="15.4"/>
    <n v="6930"/>
    <n v="15"/>
    <n v="-0.40000000000000036"/>
    <n v="6750"/>
    <n v="1203.5999999999967"/>
    <n v="-180"/>
    <n v="-2.5974025974025976E-2"/>
  </r>
  <r>
    <x v="0"/>
    <x v="8"/>
    <x v="8"/>
    <x v="3"/>
    <d v="2020-02-08T00:00:00"/>
    <x v="75"/>
    <n v="169"/>
    <n v="8.9"/>
    <n v="1504.1000000000001"/>
    <n v="9"/>
    <n v="9.9999999999999645E-2"/>
    <n v="1521"/>
    <n v="1996.7999999999988"/>
    <n v="16.899999999999864"/>
    <n v="1.1235955056179683E-2"/>
  </r>
  <r>
    <x v="2"/>
    <x v="4"/>
    <x v="4"/>
    <x v="1"/>
    <d v="2020-04-15T00:00:00"/>
    <x v="76"/>
    <n v="301"/>
    <n v="17"/>
    <n v="5117"/>
    <n v="16"/>
    <n v="-1"/>
    <n v="4816"/>
    <n v="-1769.6999999999998"/>
    <n v="-301"/>
    <n v="-5.8823529411764705E-2"/>
  </r>
  <r>
    <x v="1"/>
    <x v="4"/>
    <x v="4"/>
    <x v="1"/>
    <d v="2020-07-03T00:00:00"/>
    <x v="77"/>
    <n v="127"/>
    <n v="17"/>
    <n v="2159"/>
    <n v="18"/>
    <n v="1"/>
    <n v="2286"/>
    <n v="-1769.6999999999998"/>
    <n v="127"/>
    <n v="5.8823529411764705E-2"/>
  </r>
  <r>
    <x v="0"/>
    <x v="1"/>
    <x v="1"/>
    <x v="1"/>
    <d v="2020-03-11T00:00:00"/>
    <x v="78"/>
    <n v="263"/>
    <n v="14"/>
    <n v="3682"/>
    <n v="15"/>
    <n v="1"/>
    <n v="3945"/>
    <n v="1897"/>
    <n v="263"/>
    <n v="7.1428571428571425E-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18E0F71-A912-494D-AB70-C5B3E6366A87}" name="sectors" cacheId="0" applyNumberFormats="0" applyBorderFormats="0" applyFontFormats="0" applyPatternFormats="0" applyAlignmentFormats="0" applyWidthHeightFormats="1" dataCaption="Values" updatedVersion="6" minRefreshableVersion="3" useAutoFormatting="1" rowGrandTotals="0" itemPrintTitles="1" createdVersion="6" indent="0" outline="1" outlineData="1" multipleFieldFilters="0">
  <location ref="O3:O7" firstHeaderRow="1" firstDataRow="1" firstDataCol="1"/>
  <pivotFields count="16">
    <pivotField showAll="0">
      <items count="4">
        <item x="0"/>
        <item x="2"/>
        <item x="1"/>
        <item t="default"/>
      </items>
    </pivotField>
    <pivotField showAll="0"/>
    <pivotField showAll="0">
      <items count="10">
        <item x="0"/>
        <item x="7"/>
        <item x="1"/>
        <item x="8"/>
        <item x="4"/>
        <item x="6"/>
        <item x="3"/>
        <item x="2"/>
        <item x="5"/>
        <item t="default"/>
      </items>
    </pivotField>
    <pivotField axis="axisRow" showAll="0">
      <items count="5">
        <item x="0"/>
        <item x="1"/>
        <item x="3"/>
        <item x="2"/>
        <item t="default"/>
      </items>
    </pivotField>
    <pivotField numFmtId="165" showAll="0"/>
    <pivotField numFmtId="166" showAll="0"/>
    <pivotField showAll="0"/>
    <pivotField numFmtId="167" showAll="0"/>
    <pivotField numFmtId="168" showAll="0"/>
    <pivotField numFmtId="167" showAll="0"/>
    <pivotField numFmtId="167" showAll="0"/>
    <pivotField numFmtId="167" showAll="0"/>
    <pivotField numFmtId="167" showAll="0"/>
    <pivotField numFmtId="168" showAll="0"/>
    <pivotField numFmtId="9" showAll="0"/>
    <pivotField showAll="0" defaultSubtotal="0">
      <items count="14">
        <item x="0"/>
        <item x="1"/>
        <item x="2"/>
        <item x="3"/>
        <item x="4"/>
        <item x="5"/>
        <item x="6"/>
        <item x="7"/>
        <item x="8"/>
        <item x="9"/>
        <item x="10"/>
        <item x="11"/>
        <item x="12"/>
        <item x="13"/>
      </items>
    </pivotField>
  </pivotFields>
  <rowFields count="1">
    <field x="3"/>
  </rowFields>
  <rowItems count="4">
    <i>
      <x/>
    </i>
    <i>
      <x v="1"/>
    </i>
    <i>
      <x v="2"/>
    </i>
    <i>
      <x v="3"/>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63944FF-427A-4656-B555-13C59DDE7170}" name="Sector"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L3:M8" firstHeaderRow="1" firstDataRow="1" firstDataCol="1"/>
  <pivotFields count="16">
    <pivotField showAll="0">
      <items count="4">
        <item x="0"/>
        <item x="2"/>
        <item x="1"/>
        <item t="default"/>
      </items>
    </pivotField>
    <pivotField showAll="0"/>
    <pivotField showAll="0">
      <items count="10">
        <item x="0"/>
        <item x="7"/>
        <item x="1"/>
        <item x="8"/>
        <item x="4"/>
        <item x="6"/>
        <item x="3"/>
        <item x="2"/>
        <item x="5"/>
        <item t="default"/>
      </items>
    </pivotField>
    <pivotField axis="axisRow" showAll="0">
      <items count="5">
        <item x="0"/>
        <item x="1"/>
        <item x="3"/>
        <item x="2"/>
        <item t="default"/>
      </items>
    </pivotField>
    <pivotField numFmtId="165" showAll="0"/>
    <pivotField numFmtId="166" showAll="0"/>
    <pivotField showAll="0"/>
    <pivotField numFmtId="167" showAll="0"/>
    <pivotField numFmtId="168" showAll="0"/>
    <pivotField numFmtId="167" showAll="0"/>
    <pivotField numFmtId="167" showAll="0"/>
    <pivotField numFmtId="167" showAll="0"/>
    <pivotField numFmtId="167" showAll="0"/>
    <pivotField dataField="1" numFmtId="168" showAll="0"/>
    <pivotField numFmtId="9" showAll="0"/>
    <pivotField showAll="0" defaultSubtotal="0">
      <items count="14">
        <item x="0"/>
        <item x="1"/>
        <item x="2"/>
        <item x="3"/>
        <item x="4"/>
        <item x="5"/>
        <item x="6"/>
        <item x="7"/>
        <item x="8"/>
        <item x="9"/>
        <item x="10"/>
        <item x="11"/>
        <item x="12"/>
        <item x="13"/>
      </items>
    </pivotField>
  </pivotFields>
  <rowFields count="1">
    <field x="3"/>
  </rowFields>
  <rowItems count="5">
    <i>
      <x/>
    </i>
    <i>
      <x v="1"/>
    </i>
    <i>
      <x v="2"/>
    </i>
    <i>
      <x v="3"/>
    </i>
    <i t="grand">
      <x/>
    </i>
  </rowItems>
  <colItems count="1">
    <i/>
  </colItems>
  <dataFields count="1">
    <dataField name="Sum of Gain(Lose) Value" fld="13" baseField="0" baseItem="0" numFmtId="168"/>
  </dataFields>
  <formats count="1">
    <format dxfId="0">
      <pivotArea outline="0" collapsedLevelsAreSubtotals="1" fieldPosition="0"/>
    </format>
  </formats>
  <chartFormats count="3">
    <chartFormat chart="2" format="11" series="1">
      <pivotArea type="data" outline="0" fieldPosition="0">
        <references count="1">
          <reference field="4294967294" count="1" selected="0">
            <x v="0"/>
          </reference>
        </references>
      </pivotArea>
    </chartFormat>
    <chartFormat chart="2" format="12">
      <pivotArea type="data" outline="0" fieldPosition="0">
        <references count="2">
          <reference field="4294967294" count="1" selected="0">
            <x v="0"/>
          </reference>
          <reference field="3" count="1" selected="0">
            <x v="0"/>
          </reference>
        </references>
      </pivotArea>
    </chartFormat>
    <chartFormat chart="2" format="13">
      <pivotArea type="data" outline="0" fieldPosition="0">
        <references count="2">
          <reference field="4294967294" count="1" selected="0">
            <x v="0"/>
          </reference>
          <reference field="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003FAF0-B475-4299-80C0-F8E2D4E4BB7E}" name="statistics"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T3:X13" firstHeaderRow="0" firstDataRow="1" firstDataCol="1"/>
  <pivotFields count="16">
    <pivotField showAll="0">
      <items count="4">
        <item x="0"/>
        <item x="2"/>
        <item x="1"/>
        <item t="default"/>
      </items>
    </pivotField>
    <pivotField axis="axisRow" showAll="0">
      <items count="10">
        <item x="0"/>
        <item x="7"/>
        <item x="1"/>
        <item x="8"/>
        <item x="4"/>
        <item x="6"/>
        <item x="3"/>
        <item x="2"/>
        <item x="5"/>
        <item t="default"/>
      </items>
    </pivotField>
    <pivotField showAll="0">
      <items count="10">
        <item x="0"/>
        <item x="7"/>
        <item x="1"/>
        <item x="8"/>
        <item x="4"/>
        <item x="6"/>
        <item x="3"/>
        <item x="2"/>
        <item x="5"/>
        <item t="default"/>
      </items>
    </pivotField>
    <pivotField showAll="0">
      <items count="5">
        <item x="0"/>
        <item x="1"/>
        <item x="3"/>
        <item x="2"/>
        <item t="default"/>
      </items>
    </pivotField>
    <pivotField numFmtId="165" showAll="0"/>
    <pivotField numFmtId="166" showAll="0"/>
    <pivotField showAll="0"/>
    <pivotField numFmtId="167" showAll="0"/>
    <pivotField dataField="1" numFmtId="168" showAll="0"/>
    <pivotField dataField="1" numFmtId="167" showAll="0"/>
    <pivotField numFmtId="167" showAll="0"/>
    <pivotField numFmtId="167" showAll="0"/>
    <pivotField numFmtId="167" showAll="0"/>
    <pivotField dataField="1" numFmtId="168" showAll="0"/>
    <pivotField dataField="1" numFmtId="9" showAll="0"/>
    <pivotField showAll="0" defaultSubtotal="0">
      <items count="14">
        <item x="0"/>
        <item x="1"/>
        <item x="2"/>
        <item x="3"/>
        <item x="4"/>
        <item x="5"/>
        <item x="6"/>
        <item x="7"/>
        <item x="8"/>
        <item x="9"/>
        <item x="10"/>
        <item x="11"/>
        <item x="12"/>
        <item x="13"/>
      </items>
    </pivotField>
  </pivotFields>
  <rowFields count="1">
    <field x="1"/>
  </rowFields>
  <rowItems count="10">
    <i>
      <x/>
    </i>
    <i>
      <x v="1"/>
    </i>
    <i>
      <x v="2"/>
    </i>
    <i>
      <x v="3"/>
    </i>
    <i>
      <x v="4"/>
    </i>
    <i>
      <x v="5"/>
    </i>
    <i>
      <x v="6"/>
    </i>
    <i>
      <x v="7"/>
    </i>
    <i>
      <x v="8"/>
    </i>
    <i t="grand">
      <x/>
    </i>
  </rowItems>
  <colFields count="1">
    <field x="-2"/>
  </colFields>
  <colItems count="4">
    <i>
      <x/>
    </i>
    <i i="1">
      <x v="1"/>
    </i>
    <i i="2">
      <x v="2"/>
    </i>
    <i i="3">
      <x v="3"/>
    </i>
  </colItems>
  <dataFields count="4">
    <dataField name="Average of Current Price" fld="9" subtotal="average" baseField="0" baseItem="0" numFmtId="168"/>
    <dataField name="Sum of Total Value" fld="8" baseField="0" baseItem="0"/>
    <dataField name="Sum of Gain(Lose) Value" fld="13" baseField="0" baseItem="0"/>
    <dataField name="Sum of Gain(Lose) %" fld="14" baseField="0" baseItem="0" numFmtId="9"/>
  </dataFields>
  <formats count="2">
    <format dxfId="2">
      <pivotArea outline="0" collapsedLevelsAreSubtotals="1" fieldPosition="0"/>
    </format>
    <format dxfId="1">
      <pivotArea outline="0" collapsedLevelsAreSubtotals="1" fieldPosition="0">
        <references count="1">
          <reference field="4294967294" count="1" selected="0">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B076218-1CAA-4E97-8728-C9CEB0C4978D}" name="stocks" cacheId="0" applyNumberFormats="0" applyBorderFormats="0" applyFontFormats="0" applyPatternFormats="0" applyAlignmentFormats="0" applyWidthHeightFormats="1" dataCaption="Values" updatedVersion="6" minRefreshableVersion="3" useAutoFormatting="1" rowGrandTotals="0" itemPrintTitles="1" createdVersion="6" indent="0" outline="1" outlineData="1" multipleFieldFilters="0">
  <location ref="Q3:Q12" firstHeaderRow="1" firstDataRow="1" firstDataCol="1"/>
  <pivotFields count="16">
    <pivotField showAll="0">
      <items count="4">
        <item x="0"/>
        <item x="2"/>
        <item x="1"/>
        <item t="default"/>
      </items>
    </pivotField>
    <pivotField axis="axisRow" showAll="0">
      <items count="10">
        <item x="0"/>
        <item x="7"/>
        <item x="1"/>
        <item x="8"/>
        <item x="4"/>
        <item x="6"/>
        <item x="3"/>
        <item x="2"/>
        <item x="5"/>
        <item t="default"/>
      </items>
    </pivotField>
    <pivotField showAll="0">
      <items count="10">
        <item x="0"/>
        <item x="7"/>
        <item x="1"/>
        <item x="8"/>
        <item x="4"/>
        <item x="6"/>
        <item x="3"/>
        <item x="2"/>
        <item x="5"/>
        <item t="default"/>
      </items>
    </pivotField>
    <pivotField showAll="0">
      <items count="5">
        <item x="0"/>
        <item x="1"/>
        <item x="3"/>
        <item x="2"/>
        <item t="default"/>
      </items>
    </pivotField>
    <pivotField numFmtId="165" showAll="0"/>
    <pivotField numFmtId="166" showAll="0"/>
    <pivotField showAll="0"/>
    <pivotField numFmtId="167" showAll="0"/>
    <pivotField numFmtId="168" showAll="0"/>
    <pivotField numFmtId="167" showAll="0"/>
    <pivotField numFmtId="167" showAll="0"/>
    <pivotField numFmtId="167" showAll="0"/>
    <pivotField numFmtId="167" showAll="0"/>
    <pivotField numFmtId="168" showAll="0"/>
    <pivotField numFmtId="9" showAll="0"/>
    <pivotField showAll="0" defaultSubtotal="0">
      <items count="14">
        <item x="0"/>
        <item x="1"/>
        <item x="2"/>
        <item x="3"/>
        <item x="4"/>
        <item x="5"/>
        <item x="6"/>
        <item x="7"/>
        <item x="8"/>
        <item x="9"/>
        <item x="10"/>
        <item x="11"/>
        <item x="12"/>
        <item x="13"/>
      </items>
    </pivotField>
  </pivotFields>
  <rowFields count="1">
    <field x="1"/>
  </rowFields>
  <rowItems count="9">
    <i>
      <x/>
    </i>
    <i>
      <x v="1"/>
    </i>
    <i>
      <x v="2"/>
    </i>
    <i>
      <x v="3"/>
    </i>
    <i>
      <x v="4"/>
    </i>
    <i>
      <x v="5"/>
    </i>
    <i>
      <x v="6"/>
    </i>
    <i>
      <x v="7"/>
    </i>
    <i>
      <x v="8"/>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97BD6E8-B979-46E9-B165-D237A84D1A70}" name="Change in price"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H3:J13" firstHeaderRow="0" firstDataRow="1" firstDataCol="1"/>
  <pivotFields count="16">
    <pivotField showAll="0">
      <items count="4">
        <item x="0"/>
        <item x="2"/>
        <item x="1"/>
        <item t="default"/>
      </items>
    </pivotField>
    <pivotField showAll="0"/>
    <pivotField axis="axisRow" showAll="0">
      <items count="10">
        <item x="0"/>
        <item x="7"/>
        <item x="1"/>
        <item x="8"/>
        <item x="4"/>
        <item x="6"/>
        <item x="3"/>
        <item x="2"/>
        <item x="5"/>
        <item t="default"/>
      </items>
    </pivotField>
    <pivotField showAll="0">
      <items count="5">
        <item x="0"/>
        <item x="1"/>
        <item x="3"/>
        <item x="2"/>
        <item t="default"/>
      </items>
    </pivotField>
    <pivotField numFmtId="165" showAll="0"/>
    <pivotField numFmtId="166"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dataField="1" numFmtId="167" showAll="0"/>
    <pivotField numFmtId="168" showAll="0"/>
    <pivotField numFmtId="167" showAll="0"/>
    <pivotField dataField="1" numFmtId="167" showAll="0"/>
    <pivotField numFmtId="167" showAll="0"/>
    <pivotField numFmtId="167" showAll="0"/>
    <pivotField numFmtId="168" showAll="0"/>
    <pivotField numFmtId="9" showAll="0"/>
    <pivotField showAll="0" defaultSubtotal="0">
      <items count="14">
        <item x="0"/>
        <item x="1"/>
        <item x="2"/>
        <item x="3"/>
        <item x="4"/>
        <item x="5"/>
        <item x="6"/>
        <item x="7"/>
        <item x="8"/>
        <item x="9"/>
        <item x="10"/>
        <item x="11"/>
        <item x="12"/>
        <item x="13"/>
      </items>
    </pivotField>
  </pivotFields>
  <rowFields count="1">
    <field x="2"/>
  </rowFields>
  <rowItems count="10">
    <i>
      <x/>
    </i>
    <i>
      <x v="1"/>
    </i>
    <i>
      <x v="2"/>
    </i>
    <i>
      <x v="3"/>
    </i>
    <i>
      <x v="4"/>
    </i>
    <i>
      <x v="5"/>
    </i>
    <i>
      <x v="6"/>
    </i>
    <i>
      <x v="7"/>
    </i>
    <i>
      <x v="8"/>
    </i>
    <i t="grand">
      <x/>
    </i>
  </rowItems>
  <colFields count="1">
    <field x="-2"/>
  </colFields>
  <colItems count="2">
    <i>
      <x/>
    </i>
    <i i="1">
      <x v="1"/>
    </i>
  </colItems>
  <dataFields count="2">
    <dataField name="Purchasing Price." fld="7" subtotal="average" baseField="0" baseItem="0"/>
    <dataField name="Change In Price." fld="10" baseField="0" baseItem="0"/>
  </dataFields>
  <formats count="1">
    <format dxfId="3">
      <pivotArea outline="0" collapsedLevelsAreSubtotals="1" fieldPosition="0"/>
    </format>
  </formats>
  <chartFormats count="2">
    <chartFormat chart="2" format="5" series="1">
      <pivotArea type="data" outline="0" fieldPosition="0">
        <references count="1">
          <reference field="4294967294" count="1" selected="0">
            <x v="1"/>
          </reference>
        </references>
      </pivotArea>
    </chartFormat>
    <chartFormat chart="2" format="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EFC6724F-0763-473A-B51F-39E2092EAE30}" name="gain and lose"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4">
  <location ref="B3:C16" firstHeaderRow="1" firstDataRow="1" firstDataCol="1"/>
  <pivotFields count="16">
    <pivotField showAll="0">
      <items count="4">
        <item x="0"/>
        <item x="2"/>
        <item x="1"/>
        <item t="default"/>
      </items>
    </pivotField>
    <pivotField showAll="0"/>
    <pivotField showAll="0">
      <items count="10">
        <item x="0"/>
        <item x="7"/>
        <item x="1"/>
        <item x="8"/>
        <item x="4"/>
        <item x="6"/>
        <item x="3"/>
        <item x="2"/>
        <item x="5"/>
        <item t="default"/>
      </items>
    </pivotField>
    <pivotField showAll="0">
      <items count="5">
        <item x="0"/>
        <item x="1"/>
        <item x="3"/>
        <item x="2"/>
        <item t="default"/>
      </items>
    </pivotField>
    <pivotField numFmtId="165" showAll="0"/>
    <pivotField axis="axisRow" numFmtId="166"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numFmtId="167" showAll="0"/>
    <pivotField numFmtId="168" showAll="0"/>
    <pivotField numFmtId="167" showAll="0"/>
    <pivotField numFmtId="167" showAll="0"/>
    <pivotField numFmtId="167" showAll="0"/>
    <pivotField numFmtId="167" showAll="0"/>
    <pivotField numFmtId="168" showAll="0"/>
    <pivotField dataField="1" numFmtId="9" showAll="0"/>
    <pivotField axis="axisRow" showAll="0">
      <items count="15">
        <item sd="0" x="0"/>
        <item sd="0" x="1"/>
        <item sd="0" x="2"/>
        <item sd="0" x="3"/>
        <item sd="0" x="4"/>
        <item sd="0" x="5"/>
        <item sd="0" x="6"/>
        <item sd="0" x="7"/>
        <item sd="0" x="8"/>
        <item sd="0" x="9"/>
        <item sd="0" x="10"/>
        <item sd="0" x="11"/>
        <item sd="0" x="12"/>
        <item sd="0" x="13"/>
        <item t="default" sd="0"/>
      </items>
    </pivotField>
  </pivotFields>
  <rowFields count="2">
    <field x="15"/>
    <field x="5"/>
  </rowFields>
  <rowItems count="13">
    <i>
      <x v="1"/>
    </i>
    <i>
      <x v="2"/>
    </i>
    <i>
      <x v="3"/>
    </i>
    <i>
      <x v="4"/>
    </i>
    <i>
      <x v="5"/>
    </i>
    <i>
      <x v="6"/>
    </i>
    <i>
      <x v="7"/>
    </i>
    <i>
      <x v="8"/>
    </i>
    <i>
      <x v="9"/>
    </i>
    <i>
      <x v="10"/>
    </i>
    <i>
      <x v="11"/>
    </i>
    <i>
      <x v="12"/>
    </i>
    <i t="grand">
      <x/>
    </i>
  </rowItems>
  <colItems count="1">
    <i/>
  </colItems>
  <dataFields count="1">
    <dataField name="Sum of Gain(Lose) %" fld="14" baseField="0" baseItem="0" numFmtId="9"/>
  </dataFields>
  <formats count="1">
    <format dxfId="4">
      <pivotArea outline="0" collapsedLevelsAreSubtotals="1" fieldPosition="0"/>
    </format>
  </formats>
  <chartFormats count="1">
    <chartFormat chart="3"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15D9E60-B4D8-4138-AFE1-5940893F70C2}" name="running total"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5">
  <location ref="E3:F16" firstHeaderRow="1" firstDataRow="1" firstDataCol="1"/>
  <pivotFields count="16">
    <pivotField showAll="0">
      <items count="4">
        <item x="0"/>
        <item x="2"/>
        <item x="1"/>
        <item t="default"/>
      </items>
    </pivotField>
    <pivotField showAll="0"/>
    <pivotField showAll="0">
      <items count="10">
        <item x="0"/>
        <item x="7"/>
        <item x="1"/>
        <item x="8"/>
        <item x="4"/>
        <item x="6"/>
        <item x="3"/>
        <item x="2"/>
        <item x="5"/>
        <item t="default"/>
      </items>
    </pivotField>
    <pivotField showAll="0">
      <items count="5">
        <item x="0"/>
        <item x="1"/>
        <item x="3"/>
        <item x="2"/>
        <item t="default"/>
      </items>
    </pivotField>
    <pivotField numFmtId="165" showAll="0"/>
    <pivotField axis="axisRow" numFmtId="166"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numFmtId="167" showAll="0"/>
    <pivotField numFmtId="168" showAll="0"/>
    <pivotField numFmtId="167" showAll="0"/>
    <pivotField numFmtId="167" showAll="0"/>
    <pivotField numFmtId="167" showAll="0"/>
    <pivotField numFmtId="167" showAll="0"/>
    <pivotField dataField="1" numFmtId="168" showAll="0"/>
    <pivotField numFmtId="9" showAll="0"/>
    <pivotField axis="axisRow" showAll="0" defaultSubtotal="0">
      <items count="14">
        <item sd="0" x="0"/>
        <item sd="0" x="1"/>
        <item sd="0" x="2"/>
        <item sd="0" x="3"/>
        <item sd="0" x="4"/>
        <item sd="0" x="5"/>
        <item sd="0" x="6"/>
        <item sd="0" x="7"/>
        <item sd="0" x="8"/>
        <item sd="0" x="9"/>
        <item sd="0" x="10"/>
        <item sd="0" x="11"/>
        <item sd="0" x="12"/>
        <item sd="0" x="13"/>
      </items>
    </pivotField>
  </pivotFields>
  <rowFields count="2">
    <field x="15"/>
    <field x="5"/>
  </rowFields>
  <rowItems count="13">
    <i>
      <x v="1"/>
    </i>
    <i>
      <x v="2"/>
    </i>
    <i>
      <x v="3"/>
    </i>
    <i>
      <x v="4"/>
    </i>
    <i>
      <x v="5"/>
    </i>
    <i>
      <x v="6"/>
    </i>
    <i>
      <x v="7"/>
    </i>
    <i>
      <x v="8"/>
    </i>
    <i>
      <x v="9"/>
    </i>
    <i>
      <x v="10"/>
    </i>
    <i>
      <x v="11"/>
    </i>
    <i>
      <x v="12"/>
    </i>
    <i t="grand">
      <x/>
    </i>
  </rowItems>
  <colItems count="1">
    <i/>
  </colItems>
  <dataFields count="1">
    <dataField name="Accumulated Growth" fld="13" showDataAs="runTotal" baseField="15" baseItem="2"/>
  </dataFields>
  <formats count="1">
    <format dxfId="5">
      <pivotArea outline="0" collapsedLevelsAreSubtotals="1" fieldPosition="0"/>
    </format>
  </formats>
  <chartFormats count="1">
    <chartFormat chart="3"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s" xr10:uid="{7F3D0403-5541-4232-B89E-EC22B4A856B4}" sourceName="Months">
  <pivotTables>
    <pivotTable tabId="12" name="Change in price"/>
    <pivotTable tabId="12" name="Sector"/>
    <pivotTable tabId="12" name="sectors"/>
    <pivotTable tabId="12" name="statistics"/>
    <pivotTable tabId="12" name="stocks"/>
  </pivotTables>
  <data>
    <tabular pivotCacheId="304934201">
      <items count="14">
        <i x="1" s="1"/>
        <i x="2" s="1"/>
        <i x="3" s="1"/>
        <i x="4" s="1"/>
        <i x="5" s="1"/>
        <i x="6" s="1"/>
        <i x="7" s="1"/>
        <i x="8" s="1"/>
        <i x="9" s="1"/>
        <i x="10" s="1"/>
        <i x="11" s="1"/>
        <i x="12" s="1"/>
        <i x="0" s="1" nd="1"/>
        <i x="13"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mpany_Name" xr10:uid="{29D9FAA3-02C3-4BC8-B7BA-0995FA1BA4A4}" sourceName="Company Name">
  <pivotTables>
    <pivotTable tabId="12" name="Sector"/>
    <pivotTable tabId="12" name="sectors"/>
    <pivotTable tabId="12" name="stocks"/>
    <pivotTable tabId="12" name="Change in price"/>
    <pivotTable tabId="12" name="gain and lose"/>
    <pivotTable tabId="12" name="running total"/>
    <pivotTable tabId="12" name="statistics"/>
  </pivotTables>
  <data>
    <tabular pivotCacheId="304934201">
      <items count="3">
        <i x="0" s="1"/>
        <i x="2" s="1"/>
        <i x="1" s="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icker_Symbol" xr10:uid="{9D4F3C58-C2A9-4F8B-AE62-06EE5FB4E3BB}" sourceName="Ticker Symbol">
  <pivotTables>
    <pivotTable tabId="12" name="Sector"/>
    <pivotTable tabId="12" name="sectors"/>
    <pivotTable tabId="12" name="stocks"/>
    <pivotTable tabId="12" name="Change in price"/>
    <pivotTable tabId="12" name="gain and lose"/>
    <pivotTable tabId="12" name="running total"/>
    <pivotTable tabId="12" name="statistics"/>
  </pivotTables>
  <data>
    <tabular pivotCacheId="304934201">
      <items count="9">
        <i x="0" s="1"/>
        <i x="7" s="1"/>
        <i x="1" s="1"/>
        <i x="8" s="1"/>
        <i x="4" s="1"/>
        <i x="6" s="1"/>
        <i x="3" s="1"/>
        <i x="2" s="1"/>
        <i x="5" s="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ctor" xr10:uid="{9EF8AF13-454B-4C05-94FC-947A8824D481}" sourceName="Sector">
  <pivotTables>
    <pivotTable tabId="12" name="Sector"/>
    <pivotTable tabId="12" name="sectors"/>
    <pivotTable tabId="12" name="stocks"/>
    <pivotTable tabId="12" name="Change in price"/>
    <pivotTable tabId="12" name="gain and lose"/>
    <pivotTable tabId="12" name="running total"/>
    <pivotTable tabId="12" name="statistics"/>
  </pivotTables>
  <data>
    <tabular pivotCacheId="304934201">
      <items count="4">
        <i x="0" s="1"/>
        <i x="1" s="1"/>
        <i x="3" s="1"/>
        <i x="2" s="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s" xr10:uid="{C74ACD72-0D45-4FA7-9E99-15ECF93ED2B9}" cache="Slicer_Months" caption="Months" columnCount="6" style="Slicer Style 1 3" rowHeight="225425"/>
  <slicer name="Company Name" xr10:uid="{38579864-CF26-4EEC-8EEE-4ACA478D5695}" cache="Slicer_Company_Name" caption="Company Name" style="Slicer Style 1 3" rowHeight="225425"/>
  <slicer name="Ticker Symbol" xr10:uid="{D06CF00E-1818-4D0F-A574-791B3D4C76DE}" cache="Slicer_Ticker_Symbol" caption="Stock Symbol" style="Slicer Style 1 3" rowHeight="225425"/>
  <slicer name="Sector" xr10:uid="{C1B73207-884F-4764-818F-C7FFC5454413}" cache="Slicer_Sector" caption="Sector" style="Slicer Style 1 3" rowHeight="22542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DB1E88E-B14B-4A8C-95F0-23254B5F8A65}" name="Stock" displayName="Stock" ref="B22:P112" totalsRowShown="0" headerRowDxfId="25" dataDxfId="23" headerRowBorderDxfId="24" tableBorderDxfId="22" totalsRowBorderDxfId="21">
  <autoFilter ref="B22:P112" xr:uid="{A3069E84-B5B2-49C7-ABA5-EAB4678DE1EF}"/>
  <tableColumns count="15">
    <tableColumn id="1" xr3:uid="{C1C023B3-B031-4668-B6AF-D42F2252A966}" name="Company Name" dataDxfId="20"/>
    <tableColumn id="13" xr3:uid="{B814C527-0611-4BC0-AC85-B239A43AEDF2}" name="Stock" dataDxfId="19"/>
    <tableColumn id="14" xr3:uid="{94BCA9B8-8798-491C-8455-D4DF6DF3417E}" name="Ticker Symbol" dataDxfId="18">
      <calculatedColumnFormula>IFERROR(INDEX(Database!C:C,MATCH(Stock[[#This Row],[Stock]],Database!B:B,0)),"")</calculatedColumnFormula>
    </tableColumn>
    <tableColumn id="9" xr3:uid="{09988A16-AA51-493D-81F5-A96E1D049E14}" name="Sector" dataDxfId="17">
      <calculatedColumnFormula>IFERROR(INDEX(Database!D:D,MATCH(Stock[[#This Row],[Stock]],Database!B:B,0)),"")</calculatedColumnFormula>
    </tableColumn>
    <tableColumn id="11" xr3:uid="{D2909BA1-A962-4AF3-BBE4-EA37095E560F}" name="Purchase Date" dataDxfId="16"/>
    <tableColumn id="2" xr3:uid="{ED5EDF21-E908-4A03-B9AB-651BE8E70EF0}" name="Month" dataDxfId="15">
      <calculatedColumnFormula>IF(Stock[[#This Row],[Purchase Date]]="","",Stock[[#This Row],[Purchase Date]])</calculatedColumnFormula>
    </tableColumn>
    <tableColumn id="8" xr3:uid="{FCCAFFDA-4473-40C1-8949-46EFA8B9DCA8}" name="Shares" dataDxfId="14"/>
    <tableColumn id="7" xr3:uid="{A9CAE794-581B-499A-981E-E52F69996A25}" name="Purchasing Price" dataDxfId="13">
      <calculatedColumnFormula>IFERROR(INDEX(Database!E:E,MATCH(Stock[[#This Row],[Stock]],Database!B:B,0)),"")</calculatedColumnFormula>
    </tableColumn>
    <tableColumn id="6" xr3:uid="{39D4C39F-DE05-4A9E-B5A6-AA921406F8B2}" name="Total Value" dataDxfId="12">
      <calculatedColumnFormula>IF(OR(Stock[[#This Row],[Purchasing Price]]="",Stock[[#This Row],[Shares]]=""),"",Stock[[#This Row],[Purchasing Price]]*Stock[[#This Row],[Shares]])</calculatedColumnFormula>
    </tableColumn>
    <tableColumn id="5" xr3:uid="{6045A146-6640-45D2-B32F-2D324E6909A8}" name="Current Price" dataDxfId="11"/>
    <tableColumn id="15" xr3:uid="{55D36962-0C9D-457F-BFBD-F4DF89AFB0AA}" name="Change In Price" dataDxfId="10" dataCellStyle="Hyperlink">
      <calculatedColumnFormula>IF(OR(Stock[[#This Row],[Current Price]]="",Stock[[#This Row],[Purchasing Price]]=""),"",Stock[[#This Row],[Current Price]]-Stock[[#This Row],[Purchasing Price]])</calculatedColumnFormula>
    </tableColumn>
    <tableColumn id="10" xr3:uid="{36CE08CE-AFAA-44C2-AC0A-762715F0EAFA}" name="Gross Current Value" dataDxfId="9">
      <calculatedColumnFormula>IF(OR(Stock[[#This Row],[Current Price]]="",Stock[[#This Row],[Shares]]=""),"",Stock[[#This Row],[Current Price]]*Stock[[#This Row],[Shares]])</calculatedColumnFormula>
    </tableColumn>
    <tableColumn id="4" xr3:uid="{D83AA7EE-B2F1-4682-BEC8-2E512E2CFB6F}" name="Accumulated Gowth Value" dataDxfId="8">
      <calculatedColumnFormula>SUMIF(C:C,Stock[[#This Row],[Stock]],O:O)</calculatedColumnFormula>
    </tableColumn>
    <tableColumn id="3" xr3:uid="{1E0C847F-29DE-4AC2-ABBB-F643908CE218}" name="Gain(Lose) Value" dataDxfId="7">
      <calculatedColumnFormula>IF(OR(Stock[[#This Row],[Gross Current Value]]="",Stock[[#This Row],[Total Value]]=""),"",Stock[[#This Row],[Gross Current Value]]-Stock[[#This Row],[Total Value]])</calculatedColumnFormula>
    </tableColumn>
    <tableColumn id="12" xr3:uid="{FF81C187-F8CF-4C2A-8688-B44AFA3A087D}" name="Gain(Lose) %" dataDxfId="6" dataCellStyle="Percent">
      <calculatedColumnFormula>IF(OR(Stock[[#This Row],[Gain(Lose) Value]]="",Stock[[#This Row],[Total Value]]=""),"",Stock[[#This Row],[Gain(Lose) Value]]/Stock[[#This Row],[Total Value]])</calculatedColumnFormula>
    </tableColumn>
  </tableColumns>
  <tableStyleInfo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ustomProperty" Target="../customProperty1.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table" Target="../tables/table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6647F2-CBE2-4E30-B5AE-E4E40867A560}">
  <sheetPr codeName="Sheet1">
    <tabColor rgb="FFC00000"/>
  </sheetPr>
  <dimension ref="A1:D55"/>
  <sheetViews>
    <sheetView showGridLines="0" showRowColHeaders="0" tabSelected="1" topLeftCell="A29" zoomScale="85" zoomScaleNormal="85" workbookViewId="0">
      <pane xSplit="3" topLeftCell="D1" activePane="topRight" state="frozen"/>
      <selection pane="topRight" activeCell="C50" sqref="C50:K65"/>
    </sheetView>
  </sheetViews>
  <sheetFormatPr defaultColWidth="10.140625" defaultRowHeight="15" x14ac:dyDescent="0.2"/>
  <cols>
    <col min="1" max="1" width="26" style="5" bestFit="1" customWidth="1"/>
    <col min="2" max="2" width="22.85546875" style="2" customWidth="1"/>
    <col min="3" max="3" width="26.7109375" style="2" customWidth="1"/>
    <col min="4" max="16384" width="10.140625" style="2"/>
  </cols>
  <sheetData>
    <row r="1" spans="1:4" x14ac:dyDescent="0.2">
      <c r="A1" s="1"/>
    </row>
    <row r="2" spans="1:4" x14ac:dyDescent="0.2">
      <c r="A2" s="1"/>
    </row>
    <row r="3" spans="1:4" x14ac:dyDescent="0.2">
      <c r="A3" s="1"/>
    </row>
    <row r="4" spans="1:4" ht="3.6" customHeight="1" x14ac:dyDescent="0.2">
      <c r="A4" s="1"/>
    </row>
    <row r="5" spans="1:4" ht="12.75" x14ac:dyDescent="0.2">
      <c r="A5" s="6" t="s">
        <v>1</v>
      </c>
      <c r="B5" s="3" t="s">
        <v>0</v>
      </c>
      <c r="D5" s="3" t="s">
        <v>26</v>
      </c>
    </row>
    <row r="7" spans="1:4" ht="12.75" x14ac:dyDescent="0.2">
      <c r="A7" s="7"/>
      <c r="B7" s="3" t="s">
        <v>2</v>
      </c>
      <c r="D7" s="2" t="s">
        <v>108</v>
      </c>
    </row>
    <row r="8" spans="1:4" ht="12.75" x14ac:dyDescent="0.2">
      <c r="A8" s="7" t="s">
        <v>101</v>
      </c>
    </row>
    <row r="9" spans="1:4" ht="12.75" x14ac:dyDescent="0.2">
      <c r="A9" s="7" t="s">
        <v>19</v>
      </c>
    </row>
    <row r="10" spans="1:4" ht="12.75" x14ac:dyDescent="0.2">
      <c r="A10" s="7"/>
    </row>
    <row r="11" spans="1:4" ht="12.75" x14ac:dyDescent="0.2">
      <c r="A11" s="7"/>
      <c r="B11" s="3" t="s">
        <v>99</v>
      </c>
    </row>
    <row r="12" spans="1:4" ht="12.75" x14ac:dyDescent="0.2">
      <c r="A12" s="7"/>
      <c r="C12" s="60" t="s">
        <v>27</v>
      </c>
      <c r="D12" s="2" t="s">
        <v>102</v>
      </c>
    </row>
    <row r="13" spans="1:4" ht="12.75" x14ac:dyDescent="0.2">
      <c r="A13" s="7"/>
      <c r="C13" s="60" t="s">
        <v>31</v>
      </c>
      <c r="D13" s="2" t="s">
        <v>109</v>
      </c>
    </row>
    <row r="14" spans="1:4" ht="12.75" x14ac:dyDescent="0.2">
      <c r="A14" s="7"/>
      <c r="C14" s="60" t="s">
        <v>30</v>
      </c>
      <c r="D14" s="2" t="s">
        <v>110</v>
      </c>
    </row>
    <row r="15" spans="1:4" ht="12.75" x14ac:dyDescent="0.2">
      <c r="A15" s="7"/>
      <c r="C15" s="60" t="s">
        <v>43</v>
      </c>
      <c r="D15" s="2" t="s">
        <v>111</v>
      </c>
    </row>
    <row r="16" spans="1:4" ht="12.75" x14ac:dyDescent="0.2">
      <c r="A16" s="7"/>
      <c r="C16" s="60"/>
      <c r="D16" s="2" t="s">
        <v>112</v>
      </c>
    </row>
    <row r="17" spans="1:4" ht="12.75" x14ac:dyDescent="0.2">
      <c r="A17" s="7"/>
      <c r="C17" s="60" t="s">
        <v>33</v>
      </c>
      <c r="D17" s="2" t="s">
        <v>100</v>
      </c>
    </row>
    <row r="18" spans="1:4" ht="12.75" x14ac:dyDescent="0.2">
      <c r="A18" s="7"/>
      <c r="B18" s="11"/>
      <c r="C18" s="10" t="s">
        <v>32</v>
      </c>
      <c r="D18" s="2" t="s">
        <v>103</v>
      </c>
    </row>
    <row r="19" spans="1:4" x14ac:dyDescent="0.2">
      <c r="C19" s="60" t="s">
        <v>42</v>
      </c>
      <c r="D19" s="2" t="s">
        <v>104</v>
      </c>
    </row>
    <row r="20" spans="1:4" x14ac:dyDescent="0.2">
      <c r="C20" s="60" t="s">
        <v>45</v>
      </c>
      <c r="D20" s="2" t="s">
        <v>113</v>
      </c>
    </row>
    <row r="21" spans="1:4" x14ac:dyDescent="0.2">
      <c r="C21" s="60" t="s">
        <v>34</v>
      </c>
      <c r="D21" s="2" t="s">
        <v>114</v>
      </c>
    </row>
    <row r="22" spans="1:4" x14ac:dyDescent="0.2">
      <c r="C22" s="60"/>
    </row>
    <row r="23" spans="1:4" ht="12.75" x14ac:dyDescent="0.2">
      <c r="A23" s="7"/>
    </row>
    <row r="24" spans="1:4" ht="12.75" x14ac:dyDescent="0.2">
      <c r="A24" s="7"/>
      <c r="B24" s="3" t="s">
        <v>3</v>
      </c>
      <c r="D24" s="3">
        <v>2</v>
      </c>
    </row>
    <row r="25" spans="1:4" ht="12.75" x14ac:dyDescent="0.2">
      <c r="A25" s="7"/>
    </row>
    <row r="26" spans="1:4" x14ac:dyDescent="0.2">
      <c r="B26" s="3" t="s">
        <v>4</v>
      </c>
      <c r="C26" s="8"/>
      <c r="D26" s="9"/>
    </row>
    <row r="27" spans="1:4" ht="12.75" x14ac:dyDescent="0.2">
      <c r="A27" s="7"/>
      <c r="B27" s="3"/>
      <c r="C27" s="12" t="s">
        <v>101</v>
      </c>
      <c r="D27" s="2" t="s">
        <v>115</v>
      </c>
    </row>
    <row r="28" spans="1:4" ht="12.75" x14ac:dyDescent="0.2">
      <c r="A28" s="7"/>
      <c r="B28" s="3"/>
      <c r="C28" s="12" t="s">
        <v>19</v>
      </c>
      <c r="D28" s="2" t="s">
        <v>116</v>
      </c>
    </row>
    <row r="29" spans="1:4" ht="12.75" x14ac:dyDescent="0.2">
      <c r="A29" s="7"/>
      <c r="B29" s="3"/>
      <c r="C29" s="12"/>
    </row>
    <row r="30" spans="1:4" ht="12.75" customHeight="1" x14ac:dyDescent="0.2">
      <c r="C30" s="4"/>
    </row>
    <row r="31" spans="1:4" ht="12.75" customHeight="1" x14ac:dyDescent="0.2">
      <c r="B31" s="3" t="s">
        <v>5</v>
      </c>
      <c r="C31" s="4" t="s">
        <v>6</v>
      </c>
      <c r="D31" s="2" t="s">
        <v>117</v>
      </c>
    </row>
    <row r="32" spans="1:4" ht="12.75" customHeight="1" x14ac:dyDescent="0.2">
      <c r="C32" s="4" t="s">
        <v>7</v>
      </c>
      <c r="D32" s="2" t="s">
        <v>118</v>
      </c>
    </row>
    <row r="33" spans="3:4" ht="12.75" customHeight="1" x14ac:dyDescent="0.2">
      <c r="C33" s="4" t="s">
        <v>8</v>
      </c>
      <c r="D33" s="2" t="s">
        <v>119</v>
      </c>
    </row>
    <row r="34" spans="3:4" ht="12.75" customHeight="1" x14ac:dyDescent="0.2">
      <c r="C34" s="4" t="s">
        <v>9</v>
      </c>
      <c r="D34" s="2" t="s">
        <v>105</v>
      </c>
    </row>
    <row r="35" spans="3:4" ht="12.75" customHeight="1" x14ac:dyDescent="0.2">
      <c r="C35" s="4" t="s">
        <v>10</v>
      </c>
      <c r="D35" s="2" t="s">
        <v>120</v>
      </c>
    </row>
    <row r="36" spans="3:4" ht="12.75" customHeight="1" x14ac:dyDescent="0.2">
      <c r="C36" s="4" t="s">
        <v>11</v>
      </c>
      <c r="D36" s="2" t="s">
        <v>121</v>
      </c>
    </row>
    <row r="37" spans="3:4" ht="12.75" customHeight="1" x14ac:dyDescent="0.2">
      <c r="C37" s="4" t="s">
        <v>12</v>
      </c>
      <c r="D37" s="2" t="s">
        <v>122</v>
      </c>
    </row>
    <row r="38" spans="3:4" ht="12.75" customHeight="1" x14ac:dyDescent="0.2">
      <c r="C38" s="4" t="s">
        <v>13</v>
      </c>
      <c r="D38" s="2" t="s">
        <v>123</v>
      </c>
    </row>
    <row r="39" spans="3:4" ht="12.75" customHeight="1" x14ac:dyDescent="0.2">
      <c r="C39" s="4" t="s">
        <v>14</v>
      </c>
      <c r="D39" s="2" t="s">
        <v>106</v>
      </c>
    </row>
    <row r="40" spans="3:4" ht="12.75" customHeight="1" x14ac:dyDescent="0.2">
      <c r="C40" s="4" t="s">
        <v>15</v>
      </c>
      <c r="D40" s="2" t="s">
        <v>124</v>
      </c>
    </row>
    <row r="41" spans="3:4" ht="12.75" customHeight="1" x14ac:dyDescent="0.2">
      <c r="C41" s="4" t="s">
        <v>16</v>
      </c>
      <c r="D41" s="2" t="s">
        <v>125</v>
      </c>
    </row>
    <row r="42" spans="3:4" ht="12.75" customHeight="1" x14ac:dyDescent="0.2">
      <c r="C42" s="4" t="s">
        <v>17</v>
      </c>
      <c r="D42" s="2" t="s">
        <v>126</v>
      </c>
    </row>
    <row r="43" spans="3:4" ht="12.75" customHeight="1" x14ac:dyDescent="0.2">
      <c r="C43" s="4" t="s">
        <v>18</v>
      </c>
      <c r="D43" s="2" t="s">
        <v>127</v>
      </c>
    </row>
    <row r="44" spans="3:4" ht="12.75" customHeight="1" x14ac:dyDescent="0.2">
      <c r="C44" s="4"/>
    </row>
    <row r="45" spans="3:4" ht="12.75" customHeight="1" x14ac:dyDescent="0.2"/>
    <row r="46" spans="3:4" ht="12.75" customHeight="1" x14ac:dyDescent="0.2">
      <c r="C46" s="4"/>
    </row>
    <row r="47" spans="3:4" ht="12.75" customHeight="1" x14ac:dyDescent="0.2">
      <c r="C47" s="4"/>
    </row>
    <row r="48" spans="3:4" ht="12.75" customHeight="1" x14ac:dyDescent="0.2">
      <c r="C48" s="4"/>
    </row>
    <row r="49" spans="3:4" ht="12.75" customHeight="1" x14ac:dyDescent="0.2">
      <c r="C49" s="4"/>
    </row>
    <row r="50" spans="3:4" x14ac:dyDescent="0.2">
      <c r="C50" s="4"/>
    </row>
    <row r="51" spans="3:4" x14ac:dyDescent="0.2">
      <c r="C51" s="4"/>
    </row>
    <row r="52" spans="3:4" x14ac:dyDescent="0.2">
      <c r="C52" s="4"/>
      <c r="D52" s="14"/>
    </row>
    <row r="53" spans="3:4" x14ac:dyDescent="0.2">
      <c r="C53" s="4"/>
    </row>
    <row r="54" spans="3:4" x14ac:dyDescent="0.2">
      <c r="C54" s="4"/>
    </row>
    <row r="55" spans="3:4" x14ac:dyDescent="0.2">
      <c r="C55" s="4"/>
    </row>
  </sheetData>
  <conditionalFormatting sqref="D24">
    <cfRule type="iconSet" priority="1">
      <iconSet reverse="1">
        <cfvo type="percent" val="0"/>
        <cfvo type="num" val="1" gte="0"/>
        <cfvo type="num" val="2" gte="0"/>
      </iconSet>
    </cfRule>
  </conditionalFormatting>
  <hyperlinks>
    <hyperlink ref="A8" location="'Public Relationship'!A1" display="Public Relationship" xr:uid="{20C6A001-D3DB-40DD-8345-6487FB7EC561}"/>
    <hyperlink ref="A9" location="Database!A1" display="Database" xr:uid="{5C4D5A1C-1B73-4429-8871-BB9B71F5E6D9}"/>
  </hyperlinks>
  <pageMargins left="0.7" right="0.7" top="0.75" bottom="0.75" header="0.3" footer="0.3"/>
  <pageSetup paperSize="9" orientation="portrait" horizontalDpi="200" verticalDpi="200" r:id="rId1"/>
  <customProperties>
    <customPr name="EpmWorksheetKeyString_GUID" r:id="rId2"/>
  </customPropertie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F8ECFC-E1AE-44A5-9980-BA0C347C9CC4}">
  <sheetPr codeName="Sheet2">
    <tabColor rgb="FF50B47F"/>
  </sheetPr>
  <dimension ref="A1:T2021"/>
  <sheetViews>
    <sheetView showGridLines="0" showRowColHeaders="0" zoomScale="88" zoomScaleNormal="88" workbookViewId="0">
      <pane xSplit="1" ySplit="22" topLeftCell="B23" activePane="bottomRight" state="frozen"/>
      <selection pane="topRight" activeCell="B1" sqref="B1"/>
      <selection pane="bottomLeft" activeCell="A23" sqref="A23"/>
      <selection pane="bottomRight" activeCell="B23" sqref="B23"/>
    </sheetView>
  </sheetViews>
  <sheetFormatPr defaultColWidth="0" defaultRowHeight="30" customHeight="1" outlineLevelRow="1" x14ac:dyDescent="0.2"/>
  <cols>
    <col min="1" max="1" width="23.28515625" customWidth="1"/>
    <col min="2" max="16" width="18.7109375" customWidth="1"/>
    <col min="17" max="17" width="1.7109375" customWidth="1"/>
    <col min="18" max="20" width="0" hidden="1" customWidth="1"/>
    <col min="21" max="16384" width="9.140625" hidden="1"/>
  </cols>
  <sheetData>
    <row r="1" spans="2:3" s="13" customFormat="1" ht="13.15" customHeight="1" outlineLevel="1" x14ac:dyDescent="0.2">
      <c r="B1" s="71" t="s">
        <v>93</v>
      </c>
      <c r="C1" s="71"/>
    </row>
    <row r="2" spans="2:3" s="13" customFormat="1" ht="13.9" customHeight="1" outlineLevel="1" thickBot="1" x14ac:dyDescent="0.25">
      <c r="B2" s="72"/>
      <c r="C2" s="72"/>
    </row>
    <row r="3" spans="2:3" s="13" customFormat="1" ht="13.15" customHeight="1" outlineLevel="1" x14ac:dyDescent="0.2">
      <c r="B3" s="65" t="s">
        <v>91</v>
      </c>
      <c r="C3" s="65" t="s">
        <v>92</v>
      </c>
    </row>
    <row r="4" spans="2:3" s="13" customFormat="1" ht="13.15" customHeight="1" outlineLevel="1" x14ac:dyDescent="0.2">
      <c r="B4" s="66"/>
      <c r="C4" s="66"/>
    </row>
    <row r="5" spans="2:3" s="13" customFormat="1" ht="13.15" customHeight="1" outlineLevel="1" x14ac:dyDescent="0.2">
      <c r="B5" s="69">
        <f>IFERROR(SUM(Sheet1!P:P),"")</f>
        <v>4</v>
      </c>
      <c r="C5" s="69">
        <f>IFERROR(SUM(Sheet1!R:R),"")</f>
        <v>9</v>
      </c>
    </row>
    <row r="6" spans="2:3" s="13" customFormat="1" ht="13.15" customHeight="1" outlineLevel="1" x14ac:dyDescent="0.2">
      <c r="B6" s="69"/>
      <c r="C6" s="69"/>
    </row>
    <row r="7" spans="2:3" s="13" customFormat="1" ht="15" customHeight="1" outlineLevel="1" x14ac:dyDescent="0.2">
      <c r="B7" s="69"/>
      <c r="C7" s="69"/>
    </row>
    <row r="8" spans="2:3" s="13" customFormat="1" ht="15" customHeight="1" outlineLevel="1" thickBot="1" x14ac:dyDescent="0.25">
      <c r="B8" s="70"/>
      <c r="C8" s="70"/>
    </row>
    <row r="9" spans="2:3" s="13" customFormat="1" ht="15" customHeight="1" outlineLevel="1" x14ac:dyDescent="0.2">
      <c r="B9" s="65" t="s">
        <v>33</v>
      </c>
      <c r="C9" s="65" t="s">
        <v>98</v>
      </c>
    </row>
    <row r="10" spans="2:3" s="13" customFormat="1" ht="15" customHeight="1" outlineLevel="1" x14ac:dyDescent="0.2">
      <c r="B10" s="66"/>
      <c r="C10" s="66"/>
    </row>
    <row r="11" spans="2:3" s="13" customFormat="1" ht="15" customHeight="1" outlineLevel="1" x14ac:dyDescent="0.2">
      <c r="B11" s="61">
        <f>IFERROR(GETPIVOTDATA("Current Price",Sheet1!$T$3),"")</f>
        <v>13.523333333333332</v>
      </c>
      <c r="C11" s="63">
        <f>IFERROR(GETPIVOTDATA("Sum of Total Value",Sheet1!$T$3),"")</f>
        <v>357701.4</v>
      </c>
    </row>
    <row r="12" spans="2:3" s="13" customFormat="1" ht="15" customHeight="1" outlineLevel="1" x14ac:dyDescent="0.2">
      <c r="B12" s="61"/>
      <c r="C12" s="63"/>
    </row>
    <row r="13" spans="2:3" s="13" customFormat="1" ht="15" customHeight="1" outlineLevel="1" x14ac:dyDescent="0.2">
      <c r="B13" s="61"/>
      <c r="C13" s="63"/>
    </row>
    <row r="14" spans="2:3" s="13" customFormat="1" ht="15" customHeight="1" outlineLevel="1" thickBot="1" x14ac:dyDescent="0.25">
      <c r="B14" s="62"/>
      <c r="C14" s="64"/>
    </row>
    <row r="15" spans="2:3" s="13" customFormat="1" ht="15" customHeight="1" outlineLevel="1" x14ac:dyDescent="0.2">
      <c r="B15" s="65" t="s">
        <v>96</v>
      </c>
      <c r="C15" s="65" t="s">
        <v>97</v>
      </c>
    </row>
    <row r="16" spans="2:3" s="13" customFormat="1" ht="15" customHeight="1" outlineLevel="1" x14ac:dyDescent="0.2">
      <c r="B16" s="66"/>
      <c r="C16" s="66"/>
    </row>
    <row r="17" spans="1:16" s="13" customFormat="1" ht="15" customHeight="1" outlineLevel="1" x14ac:dyDescent="0.2">
      <c r="B17" s="63">
        <f>IFERROR(GETPIVOTDATA("Sum of Gain(Lose) Value",Sheet1!$T$3),"")</f>
        <v>4526.6999999999935</v>
      </c>
      <c r="C17" s="67">
        <f>IF(OR(C11="",B17=""),"",B17/C11)</f>
        <v>1.2654968641442256E-2</v>
      </c>
    </row>
    <row r="18" spans="1:16" s="13" customFormat="1" ht="15" customHeight="1" outlineLevel="1" x14ac:dyDescent="0.2">
      <c r="B18" s="63"/>
      <c r="C18" s="67"/>
    </row>
    <row r="19" spans="1:16" s="13" customFormat="1" ht="15" customHeight="1" outlineLevel="1" x14ac:dyDescent="0.2">
      <c r="B19" s="63"/>
      <c r="C19" s="67"/>
    </row>
    <row r="20" spans="1:16" s="13" customFormat="1" ht="15" customHeight="1" outlineLevel="1" thickBot="1" x14ac:dyDescent="0.25">
      <c r="B20" s="64"/>
      <c r="C20" s="68"/>
    </row>
    <row r="21" spans="1:16" s="13" customFormat="1" ht="15" customHeight="1" outlineLevel="1" x14ac:dyDescent="0.2"/>
    <row r="22" spans="1:16" s="16" customFormat="1" ht="60" customHeight="1" x14ac:dyDescent="0.2">
      <c r="A22" s="59" t="s">
        <v>41</v>
      </c>
      <c r="B22" s="33" t="s">
        <v>28</v>
      </c>
      <c r="C22" s="33" t="s">
        <v>27</v>
      </c>
      <c r="D22" s="33" t="s">
        <v>31</v>
      </c>
      <c r="E22" s="33" t="s">
        <v>30</v>
      </c>
      <c r="F22" s="33" t="s">
        <v>29</v>
      </c>
      <c r="G22" s="33" t="s">
        <v>44</v>
      </c>
      <c r="H22" s="33" t="s">
        <v>32</v>
      </c>
      <c r="I22" s="33" t="s">
        <v>43</v>
      </c>
      <c r="J22" s="33" t="s">
        <v>42</v>
      </c>
      <c r="K22" s="33" t="s">
        <v>33</v>
      </c>
      <c r="L22" s="33" t="s">
        <v>45</v>
      </c>
      <c r="M22" s="33" t="s">
        <v>34</v>
      </c>
      <c r="N22" s="33" t="s">
        <v>46</v>
      </c>
      <c r="O22" s="33" t="s">
        <v>35</v>
      </c>
      <c r="P22" s="33" t="s">
        <v>36</v>
      </c>
    </row>
    <row r="23" spans="1:16" s="24" customFormat="1" ht="30" customHeight="1" x14ac:dyDescent="0.2">
      <c r="A23" s="20" t="str">
        <f>IF(AND(B22&lt;&gt;"",B23=""),$A$22&amp;"---&gt;","")</f>
        <v/>
      </c>
      <c r="B23" s="27" t="s">
        <v>69</v>
      </c>
      <c r="C23" s="25" t="s">
        <v>47</v>
      </c>
      <c r="D23" s="32" t="str">
        <f>IFERROR(INDEX(Database!C:C,MATCH(Stock[[#This Row],[Stock]],Database!B:B,0)),"")</f>
        <v/>
      </c>
      <c r="E23" s="32" t="str">
        <f>IFERROR(INDEX(Database!D:D,MATCH(Stock[[#This Row],[Stock]],Database!B:B,0)),"")</f>
        <v/>
      </c>
      <c r="F23" s="27">
        <v>44112</v>
      </c>
      <c r="G23" s="39">
        <f>IF(Stock[[#This Row],[Purchase Date]]="","",Stock[[#This Row],[Purchase Date]])</f>
        <v>44112</v>
      </c>
      <c r="H23" s="28">
        <v>411</v>
      </c>
      <c r="I23" s="34" t="str">
        <f>IFERROR(INDEX(Database!E:E,MATCH(Stock[[#This Row],[Stock]],Database!B:B,0)),"")</f>
        <v/>
      </c>
      <c r="J23" s="35" t="str">
        <f>IF(OR(Stock[[#This Row],[Purchasing Price]]="",Stock[[#This Row],[Shares]]=""),"",Stock[[#This Row],[Purchasing Price]]*Stock[[#This Row],[Shares]])</f>
        <v/>
      </c>
      <c r="K23" s="37">
        <v>13</v>
      </c>
      <c r="L23" s="36" t="str">
        <f>IF(OR(Stock[[#This Row],[Current Price]]="",Stock[[#This Row],[Purchasing Price]]=""),"",Stock[[#This Row],[Current Price]]-Stock[[#This Row],[Purchasing Price]])</f>
        <v/>
      </c>
      <c r="M23" s="34">
        <f>IF(OR(Stock[[#This Row],[Current Price]]="",Stock[[#This Row],[Shares]]=""),"",Stock[[#This Row],[Current Price]]*Stock[[#This Row],[Shares]])</f>
        <v>5343</v>
      </c>
      <c r="N23" s="34">
        <f>SUMIF(C:C,Stock[[#This Row],[Stock]],O:O)</f>
        <v>0</v>
      </c>
      <c r="O23" s="35" t="str">
        <f>IF(OR(Stock[[#This Row],[Gross Current Value]]="",Stock[[#This Row],[Total Value]]=""),"",Stock[[#This Row],[Gross Current Value]]-Stock[[#This Row],[Total Value]])</f>
        <v/>
      </c>
      <c r="P23" s="38" t="str">
        <f>IF(OR(Stock[[#This Row],[Gain(Lose) Value]]="",Stock[[#This Row],[Total Value]]=""),"",Stock[[#This Row],[Gain(Lose) Value]]/Stock[[#This Row],[Total Value]])</f>
        <v/>
      </c>
    </row>
    <row r="24" spans="1:16" ht="30" customHeight="1" x14ac:dyDescent="0.2">
      <c r="A24" s="20" t="str">
        <f t="shared" ref="A24:A87" si="0">IF(AND(B23&lt;&gt;"",B24=""),$A$22&amp;"---&gt;","")</f>
        <v/>
      </c>
      <c r="B24" s="42" t="s">
        <v>71</v>
      </c>
      <c r="C24" s="43" t="s">
        <v>58</v>
      </c>
      <c r="D24" s="44" t="str">
        <f>IFERROR(INDEX(Database!C:C,MATCH(Stock[[#This Row],[Stock]],Database!B:B,0)),"")</f>
        <v>BBB</v>
      </c>
      <c r="E24" s="44" t="str">
        <f>IFERROR(INDEX(Database!D:D,MATCH(Stock[[#This Row],[Stock]],Database!B:B,0)),"")</f>
        <v>Sector 2</v>
      </c>
      <c r="F24" s="42">
        <v>44086</v>
      </c>
      <c r="G24" s="45">
        <f>IF(Stock[[#This Row],[Purchase Date]]="","",Stock[[#This Row],[Purchase Date]])</f>
        <v>44086</v>
      </c>
      <c r="H24" s="46">
        <v>157</v>
      </c>
      <c r="I24" s="47">
        <f>IFERROR(INDEX(Database!E:E,MATCH(Stock[[#This Row],[Stock]],Database!B:B,0)),"")</f>
        <v>14</v>
      </c>
      <c r="J24" s="48">
        <f>IF(OR(Stock[[#This Row],[Purchasing Price]]="",Stock[[#This Row],[Shares]]=""),"",Stock[[#This Row],[Purchasing Price]]*Stock[[#This Row],[Shares]])</f>
        <v>2198</v>
      </c>
      <c r="K24" s="49">
        <v>14</v>
      </c>
      <c r="L24" s="50">
        <f>IF(OR(Stock[[#This Row],[Current Price]]="",Stock[[#This Row],[Purchasing Price]]=""),"",Stock[[#This Row],[Current Price]]-Stock[[#This Row],[Purchasing Price]])</f>
        <v>0</v>
      </c>
      <c r="M24" s="51">
        <f>IF(OR(Stock[[#This Row],[Current Price]]="",Stock[[#This Row],[Shares]]=""),"",Stock[[#This Row],[Current Price]]*Stock[[#This Row],[Shares]])</f>
        <v>2198</v>
      </c>
      <c r="N24" s="47">
        <f>SUMIF(C:C,Stock[[#This Row],[Stock]],O:O)</f>
        <v>1897</v>
      </c>
      <c r="O24" s="48">
        <f>IF(OR(Stock[[#This Row],[Gross Current Value]]="",Stock[[#This Row],[Total Value]]=""),"",Stock[[#This Row],[Gross Current Value]]-Stock[[#This Row],[Total Value]])</f>
        <v>0</v>
      </c>
      <c r="P24" s="52">
        <f>IF(OR(Stock[[#This Row],[Gain(Lose) Value]]="",Stock[[#This Row],[Total Value]]=""),"",Stock[[#This Row],[Gain(Lose) Value]]/Stock[[#This Row],[Total Value]])</f>
        <v>0</v>
      </c>
    </row>
    <row r="25" spans="1:16" ht="30" customHeight="1" x14ac:dyDescent="0.2">
      <c r="A25" s="20" t="str">
        <f t="shared" si="0"/>
        <v/>
      </c>
      <c r="B25" s="42" t="s">
        <v>71</v>
      </c>
      <c r="C25" s="43" t="s">
        <v>50</v>
      </c>
      <c r="D25" s="44" t="str">
        <f>IFERROR(INDEX(Database!C:C,MATCH(Stock[[#This Row],[Stock]],Database!B:B,0)),"")</f>
        <v>DBA</v>
      </c>
      <c r="E25" s="44" t="str">
        <f>IFERROR(INDEX(Database!D:D,MATCH(Stock[[#This Row],[Stock]],Database!B:B,0)),"")</f>
        <v>Sector 2</v>
      </c>
      <c r="F25" s="42">
        <v>44114</v>
      </c>
      <c r="G25" s="45">
        <f>IF(Stock[[#This Row],[Purchase Date]]="","",Stock[[#This Row],[Purchase Date]])</f>
        <v>44114</v>
      </c>
      <c r="H25" s="46">
        <v>340</v>
      </c>
      <c r="I25" s="47">
        <f>IFERROR(INDEX(Database!E:E,MATCH(Stock[[#This Row],[Stock]],Database!B:B,0)),"")</f>
        <v>7.8</v>
      </c>
      <c r="J25" s="48">
        <f>IF(OR(Stock[[#This Row],[Purchasing Price]]="",Stock[[#This Row],[Shares]]=""),"",Stock[[#This Row],[Purchasing Price]]*Stock[[#This Row],[Shares]])</f>
        <v>2652</v>
      </c>
      <c r="K25" s="49">
        <v>8</v>
      </c>
      <c r="L25" s="50">
        <f>IF(OR(Stock[[#This Row],[Current Price]]="",Stock[[#This Row],[Purchasing Price]]=""),"",Stock[[#This Row],[Current Price]]-Stock[[#This Row],[Purchasing Price]])</f>
        <v>0.20000000000000018</v>
      </c>
      <c r="M25" s="51">
        <f>IF(OR(Stock[[#This Row],[Current Price]]="",Stock[[#This Row],[Shares]]=""),"",Stock[[#This Row],[Current Price]]*Stock[[#This Row],[Shares]])</f>
        <v>2720</v>
      </c>
      <c r="N25" s="47">
        <f>SUMIF(C:C,Stock[[#This Row],[Stock]],O:O)</f>
        <v>-528.59999999999991</v>
      </c>
      <c r="O25" s="48">
        <f>IF(OR(Stock[[#This Row],[Gross Current Value]]="",Stock[[#This Row],[Total Value]]=""),"",Stock[[#This Row],[Gross Current Value]]-Stock[[#This Row],[Total Value]])</f>
        <v>68</v>
      </c>
      <c r="P25" s="52">
        <f>IF(OR(Stock[[#This Row],[Gain(Lose) Value]]="",Stock[[#This Row],[Total Value]]=""),"",Stock[[#This Row],[Gain(Lose) Value]]/Stock[[#This Row],[Total Value]])</f>
        <v>2.564102564102564E-2</v>
      </c>
    </row>
    <row r="26" spans="1:16" ht="30" customHeight="1" x14ac:dyDescent="0.2">
      <c r="A26" s="20" t="str">
        <f t="shared" si="0"/>
        <v/>
      </c>
      <c r="B26" s="42" t="s">
        <v>71</v>
      </c>
      <c r="C26" s="43" t="s">
        <v>49</v>
      </c>
      <c r="D26" s="44" t="str">
        <f>IFERROR(INDEX(Database!C:C,MATCH(Stock[[#This Row],[Stock]],Database!B:B,0)),"")</f>
        <v>CDA</v>
      </c>
      <c r="E26" s="44" t="str">
        <f>IFERROR(INDEX(Database!D:D,MATCH(Stock[[#This Row],[Stock]],Database!B:B,0)),"")</f>
        <v>Sector 4</v>
      </c>
      <c r="F26" s="42">
        <v>43854</v>
      </c>
      <c r="G26" s="45">
        <f>IF(Stock[[#This Row],[Purchase Date]]="","",Stock[[#This Row],[Purchase Date]])</f>
        <v>43854</v>
      </c>
      <c r="H26" s="46">
        <v>300</v>
      </c>
      <c r="I26" s="47">
        <f>IFERROR(INDEX(Database!E:E,MATCH(Stock[[#This Row],[Stock]],Database!B:B,0)),"")</f>
        <v>15.4</v>
      </c>
      <c r="J26" s="48">
        <f>IF(OR(Stock[[#This Row],[Purchasing Price]]="",Stock[[#This Row],[Shares]]=""),"",Stock[[#This Row],[Purchasing Price]]*Stock[[#This Row],[Shares]])</f>
        <v>4620</v>
      </c>
      <c r="K26" s="49">
        <v>17</v>
      </c>
      <c r="L26" s="50">
        <f>IF(OR(Stock[[#This Row],[Current Price]]="",Stock[[#This Row],[Purchasing Price]]=""),"",Stock[[#This Row],[Current Price]]-Stock[[#This Row],[Purchasing Price]])</f>
        <v>1.5999999999999996</v>
      </c>
      <c r="M26" s="51">
        <f>IF(OR(Stock[[#This Row],[Current Price]]="",Stock[[#This Row],[Shares]]=""),"",Stock[[#This Row],[Current Price]]*Stock[[#This Row],[Shares]])</f>
        <v>5100</v>
      </c>
      <c r="N26" s="47">
        <f>SUMIF(C:C,Stock[[#This Row],[Stock]],O:O)</f>
        <v>1203.5999999999967</v>
      </c>
      <c r="O26" s="48">
        <f>IF(OR(Stock[[#This Row],[Gross Current Value]]="",Stock[[#This Row],[Total Value]]=""),"",Stock[[#This Row],[Gross Current Value]]-Stock[[#This Row],[Total Value]])</f>
        <v>480</v>
      </c>
      <c r="P26" s="52">
        <f>IF(OR(Stock[[#This Row],[Gain(Lose) Value]]="",Stock[[#This Row],[Total Value]]=""),"",Stock[[#This Row],[Gain(Lose) Value]]/Stock[[#This Row],[Total Value]])</f>
        <v>0.1038961038961039</v>
      </c>
    </row>
    <row r="27" spans="1:16" ht="30" customHeight="1" x14ac:dyDescent="0.2">
      <c r="A27" s="20" t="str">
        <f t="shared" si="0"/>
        <v/>
      </c>
      <c r="B27" s="42" t="s">
        <v>71</v>
      </c>
      <c r="C27" s="43" t="s">
        <v>56</v>
      </c>
      <c r="D27" s="44" t="str">
        <f>IFERROR(INDEX(Database!C:C,MATCH(Stock[[#This Row],[Stock]],Database!B:B,0)),"")</f>
        <v>CBC</v>
      </c>
      <c r="E27" s="44" t="str">
        <f>IFERROR(INDEX(Database!D:D,MATCH(Stock[[#This Row],[Stock]],Database!B:B,0)),"")</f>
        <v>Sector 2</v>
      </c>
      <c r="F27" s="42">
        <v>43922</v>
      </c>
      <c r="G27" s="45">
        <f>IF(Stock[[#This Row],[Purchase Date]]="","",Stock[[#This Row],[Purchase Date]])</f>
        <v>43922</v>
      </c>
      <c r="H27" s="46">
        <v>475</v>
      </c>
      <c r="I27" s="47">
        <f>IFERROR(INDEX(Database!E:E,MATCH(Stock[[#This Row],[Stock]],Database!B:B,0)),"")</f>
        <v>17</v>
      </c>
      <c r="J27" s="48">
        <f>IF(OR(Stock[[#This Row],[Purchasing Price]]="",Stock[[#This Row],[Shares]]=""),"",Stock[[#This Row],[Purchasing Price]]*Stock[[#This Row],[Shares]])</f>
        <v>8075</v>
      </c>
      <c r="K27" s="49">
        <v>17</v>
      </c>
      <c r="L27" s="50">
        <f>IF(OR(Stock[[#This Row],[Current Price]]="",Stock[[#This Row],[Purchasing Price]]=""),"",Stock[[#This Row],[Current Price]]-Stock[[#This Row],[Purchasing Price]])</f>
        <v>0</v>
      </c>
      <c r="M27" s="51">
        <f>IF(OR(Stock[[#This Row],[Current Price]]="",Stock[[#This Row],[Shares]]=""),"",Stock[[#This Row],[Current Price]]*Stock[[#This Row],[Shares]])</f>
        <v>8075</v>
      </c>
      <c r="N27" s="47">
        <f>SUMIF(C:C,Stock[[#This Row],[Stock]],O:O)</f>
        <v>-1769.6999999999998</v>
      </c>
      <c r="O27" s="48">
        <f>IF(OR(Stock[[#This Row],[Gross Current Value]]="",Stock[[#This Row],[Total Value]]=""),"",Stock[[#This Row],[Gross Current Value]]-Stock[[#This Row],[Total Value]])</f>
        <v>0</v>
      </c>
      <c r="P27" s="52">
        <f>IF(OR(Stock[[#This Row],[Gain(Lose) Value]]="",Stock[[#This Row],[Total Value]]=""),"",Stock[[#This Row],[Gain(Lose) Value]]/Stock[[#This Row],[Total Value]])</f>
        <v>0</v>
      </c>
    </row>
    <row r="28" spans="1:16" ht="30" customHeight="1" x14ac:dyDescent="0.2">
      <c r="A28" s="20" t="str">
        <f t="shared" si="0"/>
        <v/>
      </c>
      <c r="B28" s="42" t="s">
        <v>71</v>
      </c>
      <c r="C28" s="43" t="s">
        <v>55</v>
      </c>
      <c r="D28" s="44" t="str">
        <f>IFERROR(INDEX(Database!C:C,MATCH(Stock[[#This Row],[Stock]],Database!B:B,0)),"")</f>
        <v>DDD</v>
      </c>
      <c r="E28" s="44" t="str">
        <f>IFERROR(INDEX(Database!D:D,MATCH(Stock[[#This Row],[Stock]],Database!B:B,0)),"")</f>
        <v>Sector 3</v>
      </c>
      <c r="F28" s="42">
        <v>43893</v>
      </c>
      <c r="G28" s="45">
        <f>IF(Stock[[#This Row],[Purchase Date]]="","",Stock[[#This Row],[Purchase Date]])</f>
        <v>43893</v>
      </c>
      <c r="H28" s="46">
        <v>106</v>
      </c>
      <c r="I28" s="47">
        <f>IFERROR(INDEX(Database!E:E,MATCH(Stock[[#This Row],[Stock]],Database!B:B,0)),"")</f>
        <v>12.6</v>
      </c>
      <c r="J28" s="48">
        <f>IF(OR(Stock[[#This Row],[Purchasing Price]]="",Stock[[#This Row],[Shares]]=""),"",Stock[[#This Row],[Purchasing Price]]*Stock[[#This Row],[Shares]])</f>
        <v>1335.6</v>
      </c>
      <c r="K28" s="49">
        <v>15</v>
      </c>
      <c r="L28" s="50">
        <f>IF(OR(Stock[[#This Row],[Current Price]]="",Stock[[#This Row],[Purchasing Price]]=""),"",Stock[[#This Row],[Current Price]]-Stock[[#This Row],[Purchasing Price]])</f>
        <v>2.4000000000000004</v>
      </c>
      <c r="M28" s="51">
        <f>IF(OR(Stock[[#This Row],[Current Price]]="",Stock[[#This Row],[Shares]]=""),"",Stock[[#This Row],[Current Price]]*Stock[[#This Row],[Shares]])</f>
        <v>1590</v>
      </c>
      <c r="N28" s="47">
        <f>SUMIF(C:C,Stock[[#This Row],[Stock]],O:O)</f>
        <v>1015.0000000000005</v>
      </c>
      <c r="O28" s="48">
        <f>IF(OR(Stock[[#This Row],[Gross Current Value]]="",Stock[[#This Row],[Total Value]]=""),"",Stock[[#This Row],[Gross Current Value]]-Stock[[#This Row],[Total Value]])</f>
        <v>254.40000000000009</v>
      </c>
      <c r="P28" s="52">
        <f>IF(OR(Stock[[#This Row],[Gain(Lose) Value]]="",Stock[[#This Row],[Total Value]]=""),"",Stock[[#This Row],[Gain(Lose) Value]]/Stock[[#This Row],[Total Value]])</f>
        <v>0.19047619047619055</v>
      </c>
    </row>
    <row r="29" spans="1:16" ht="30" customHeight="1" x14ac:dyDescent="0.2">
      <c r="A29" s="20" t="str">
        <f t="shared" si="0"/>
        <v/>
      </c>
      <c r="B29" s="42" t="s">
        <v>71</v>
      </c>
      <c r="C29" s="43" t="s">
        <v>48</v>
      </c>
      <c r="D29" s="44" t="str">
        <f>IFERROR(INDEX(Database!C:C,MATCH(Stock[[#This Row],[Stock]],Database!B:B,0)),"")</f>
        <v>CCC</v>
      </c>
      <c r="E29" s="44" t="str">
        <f>IFERROR(INDEX(Database!D:D,MATCH(Stock[[#This Row],[Stock]],Database!B:B,0)),"")</f>
        <v>Sector 1</v>
      </c>
      <c r="F29" s="42">
        <v>44006</v>
      </c>
      <c r="G29" s="45">
        <f>IF(Stock[[#This Row],[Purchase Date]]="","",Stock[[#This Row],[Purchase Date]])</f>
        <v>44006</v>
      </c>
      <c r="H29" s="46">
        <v>208</v>
      </c>
      <c r="I29" s="47">
        <f>IFERROR(INDEX(Database!E:E,MATCH(Stock[[#This Row],[Stock]],Database!B:B,0)),"")</f>
        <v>10.8</v>
      </c>
      <c r="J29" s="48">
        <f>IF(OR(Stock[[#This Row],[Purchasing Price]]="",Stock[[#This Row],[Shares]]=""),"",Stock[[#This Row],[Purchasing Price]]*Stock[[#This Row],[Shares]])</f>
        <v>2246.4</v>
      </c>
      <c r="K29" s="49">
        <v>10</v>
      </c>
      <c r="L29" s="50">
        <f>IF(OR(Stock[[#This Row],[Current Price]]="",Stock[[#This Row],[Purchasing Price]]=""),"",Stock[[#This Row],[Current Price]]-Stock[[#This Row],[Purchasing Price]])</f>
        <v>-0.80000000000000071</v>
      </c>
      <c r="M29" s="51">
        <f>IF(OR(Stock[[#This Row],[Current Price]]="",Stock[[#This Row],[Shares]]=""),"",Stock[[#This Row],[Current Price]]*Stock[[#This Row],[Shares]])</f>
        <v>2080</v>
      </c>
      <c r="N29" s="47">
        <f>SUMIF(C:C,Stock[[#This Row],[Stock]],O:O)</f>
        <v>-535.40000000000168</v>
      </c>
      <c r="O29" s="48">
        <f>IF(OR(Stock[[#This Row],[Gross Current Value]]="",Stock[[#This Row],[Total Value]]=""),"",Stock[[#This Row],[Gross Current Value]]-Stock[[#This Row],[Total Value]])</f>
        <v>-166.40000000000009</v>
      </c>
      <c r="P29" s="52">
        <f>IF(OR(Stock[[#This Row],[Gain(Lose) Value]]="",Stock[[#This Row],[Total Value]]=""),"",Stock[[#This Row],[Gain(Lose) Value]]/Stock[[#This Row],[Total Value]])</f>
        <v>-7.4074074074074112E-2</v>
      </c>
    </row>
    <row r="30" spans="1:16" ht="30" customHeight="1" x14ac:dyDescent="0.2">
      <c r="A30" s="20" t="str">
        <f t="shared" si="0"/>
        <v/>
      </c>
      <c r="B30" s="42" t="s">
        <v>69</v>
      </c>
      <c r="C30" s="43" t="s">
        <v>55</v>
      </c>
      <c r="D30" s="44" t="str">
        <f>IFERROR(INDEX(Database!C:C,MATCH(Stock[[#This Row],[Stock]],Database!B:B,0)),"")</f>
        <v>DDD</v>
      </c>
      <c r="E30" s="44" t="str">
        <f>IFERROR(INDEX(Database!D:D,MATCH(Stock[[#This Row],[Stock]],Database!B:B,0)),"")</f>
        <v>Sector 3</v>
      </c>
      <c r="F30" s="42">
        <v>44073</v>
      </c>
      <c r="G30" s="45">
        <f>IF(Stock[[#This Row],[Purchase Date]]="","",Stock[[#This Row],[Purchase Date]])</f>
        <v>44073</v>
      </c>
      <c r="H30" s="46">
        <v>464</v>
      </c>
      <c r="I30" s="47">
        <f>IFERROR(INDEX(Database!E:E,MATCH(Stock[[#This Row],[Stock]],Database!B:B,0)),"")</f>
        <v>12.6</v>
      </c>
      <c r="J30" s="48">
        <f>IF(OR(Stock[[#This Row],[Purchasing Price]]="",Stock[[#This Row],[Shares]]=""),"",Stock[[#This Row],[Purchasing Price]]*Stock[[#This Row],[Shares]])</f>
        <v>5846.4</v>
      </c>
      <c r="K30" s="49">
        <v>14</v>
      </c>
      <c r="L30" s="50">
        <f>IF(OR(Stock[[#This Row],[Current Price]]="",Stock[[#This Row],[Purchasing Price]]=""),"",Stock[[#This Row],[Current Price]]-Stock[[#This Row],[Purchasing Price]])</f>
        <v>1.4000000000000004</v>
      </c>
      <c r="M30" s="51">
        <f>IF(OR(Stock[[#This Row],[Current Price]]="",Stock[[#This Row],[Shares]]=""),"",Stock[[#This Row],[Current Price]]*Stock[[#This Row],[Shares]])</f>
        <v>6496</v>
      </c>
      <c r="N30" s="47">
        <f>SUMIF(C:C,Stock[[#This Row],[Stock]],O:O)</f>
        <v>1015.0000000000005</v>
      </c>
      <c r="O30" s="48">
        <f>IF(OR(Stock[[#This Row],[Gross Current Value]]="",Stock[[#This Row],[Total Value]]=""),"",Stock[[#This Row],[Gross Current Value]]-Stock[[#This Row],[Total Value]])</f>
        <v>649.60000000000036</v>
      </c>
      <c r="P30" s="52">
        <f>IF(OR(Stock[[#This Row],[Gain(Lose) Value]]="",Stock[[#This Row],[Total Value]]=""),"",Stock[[#This Row],[Gain(Lose) Value]]/Stock[[#This Row],[Total Value]])</f>
        <v>0.11111111111111117</v>
      </c>
    </row>
    <row r="31" spans="1:16" ht="30" customHeight="1" x14ac:dyDescent="0.2">
      <c r="A31" s="20" t="str">
        <f t="shared" si="0"/>
        <v/>
      </c>
      <c r="B31" s="42" t="s">
        <v>71</v>
      </c>
      <c r="C31" s="43" t="s">
        <v>47</v>
      </c>
      <c r="D31" s="44" t="str">
        <f>IFERROR(INDEX(Database!C:C,MATCH(Stock[[#This Row],[Stock]],Database!B:B,0)),"")</f>
        <v/>
      </c>
      <c r="E31" s="44" t="str">
        <f>IFERROR(INDEX(Database!D:D,MATCH(Stock[[#This Row],[Stock]],Database!B:B,0)),"")</f>
        <v/>
      </c>
      <c r="F31" s="42">
        <v>43970</v>
      </c>
      <c r="G31" s="45">
        <f>IF(Stock[[#This Row],[Purchase Date]]="","",Stock[[#This Row],[Purchase Date]])</f>
        <v>43970</v>
      </c>
      <c r="H31" s="46">
        <v>189</v>
      </c>
      <c r="I31" s="47" t="str">
        <f>IFERROR(INDEX(Database!E:E,MATCH(Stock[[#This Row],[Stock]],Database!B:B,0)),"")</f>
        <v/>
      </c>
      <c r="J31" s="48" t="str">
        <f>IF(OR(Stock[[#This Row],[Purchasing Price]]="",Stock[[#This Row],[Shares]]=""),"",Stock[[#This Row],[Purchasing Price]]*Stock[[#This Row],[Shares]])</f>
        <v/>
      </c>
      <c r="K31" s="49">
        <v>13</v>
      </c>
      <c r="L31" s="50" t="str">
        <f>IF(OR(Stock[[#This Row],[Current Price]]="",Stock[[#This Row],[Purchasing Price]]=""),"",Stock[[#This Row],[Current Price]]-Stock[[#This Row],[Purchasing Price]])</f>
        <v/>
      </c>
      <c r="M31" s="51">
        <f>IF(OR(Stock[[#This Row],[Current Price]]="",Stock[[#This Row],[Shares]]=""),"",Stock[[#This Row],[Current Price]]*Stock[[#This Row],[Shares]])</f>
        <v>2457</v>
      </c>
      <c r="N31" s="47">
        <f>SUMIF(C:C,Stock[[#This Row],[Stock]],O:O)</f>
        <v>0</v>
      </c>
      <c r="O31" s="48" t="str">
        <f>IF(OR(Stock[[#This Row],[Gross Current Value]]="",Stock[[#This Row],[Total Value]]=""),"",Stock[[#This Row],[Gross Current Value]]-Stock[[#This Row],[Total Value]])</f>
        <v/>
      </c>
      <c r="P31" s="52" t="str">
        <f>IF(OR(Stock[[#This Row],[Gain(Lose) Value]]="",Stock[[#This Row],[Total Value]]=""),"",Stock[[#This Row],[Gain(Lose) Value]]/Stock[[#This Row],[Total Value]])</f>
        <v/>
      </c>
    </row>
    <row r="32" spans="1:16" ht="30" customHeight="1" x14ac:dyDescent="0.2">
      <c r="A32" s="20" t="str">
        <f t="shared" si="0"/>
        <v/>
      </c>
      <c r="B32" s="42" t="s">
        <v>71</v>
      </c>
      <c r="C32" s="43" t="s">
        <v>57</v>
      </c>
      <c r="D32" s="44" t="str">
        <f>IFERROR(INDEX(Database!C:C,MATCH(Stock[[#This Row],[Stock]],Database!B:B,0)),"")</f>
        <v>ACC</v>
      </c>
      <c r="E32" s="44" t="str">
        <f>IFERROR(INDEX(Database!D:D,MATCH(Stock[[#This Row],[Stock]],Database!B:B,0)),"")</f>
        <v>Sector 4</v>
      </c>
      <c r="F32" s="42">
        <v>44096</v>
      </c>
      <c r="G32" s="45">
        <f>IF(Stock[[#This Row],[Purchase Date]]="","",Stock[[#This Row],[Purchase Date]])</f>
        <v>44096</v>
      </c>
      <c r="H32" s="46">
        <v>202</v>
      </c>
      <c r="I32" s="47">
        <f>IFERROR(INDEX(Database!E:E,MATCH(Stock[[#This Row],[Stock]],Database!B:B,0)),"")</f>
        <v>15</v>
      </c>
      <c r="J32" s="48">
        <f>IF(OR(Stock[[#This Row],[Purchasing Price]]="",Stock[[#This Row],[Shares]]=""),"",Stock[[#This Row],[Purchasing Price]]*Stock[[#This Row],[Shares]])</f>
        <v>3030</v>
      </c>
      <c r="K32" s="49">
        <v>15</v>
      </c>
      <c r="L32" s="50">
        <f>IF(OR(Stock[[#This Row],[Current Price]]="",Stock[[#This Row],[Purchasing Price]]=""),"",Stock[[#This Row],[Current Price]]-Stock[[#This Row],[Purchasing Price]])</f>
        <v>0</v>
      </c>
      <c r="M32" s="51">
        <f>IF(OR(Stock[[#This Row],[Current Price]]="",Stock[[#This Row],[Shares]]=""),"",Stock[[#This Row],[Current Price]]*Stock[[#This Row],[Shares]])</f>
        <v>3030</v>
      </c>
      <c r="N32" s="47">
        <f>SUMIF(C:C,Stock[[#This Row],[Stock]],O:O)</f>
        <v>-510</v>
      </c>
      <c r="O32" s="48">
        <f>IF(OR(Stock[[#This Row],[Gross Current Value]]="",Stock[[#This Row],[Total Value]]=""),"",Stock[[#This Row],[Gross Current Value]]-Stock[[#This Row],[Total Value]])</f>
        <v>0</v>
      </c>
      <c r="P32" s="52">
        <f>IF(OR(Stock[[#This Row],[Gain(Lose) Value]]="",Stock[[#This Row],[Total Value]]=""),"",Stock[[#This Row],[Gain(Lose) Value]]/Stock[[#This Row],[Total Value]])</f>
        <v>0</v>
      </c>
    </row>
    <row r="33" spans="1:16" ht="30" customHeight="1" x14ac:dyDescent="0.2">
      <c r="A33" s="20" t="str">
        <f t="shared" si="0"/>
        <v/>
      </c>
      <c r="B33" s="42" t="s">
        <v>69</v>
      </c>
      <c r="C33" s="43" t="s">
        <v>58</v>
      </c>
      <c r="D33" s="44" t="str">
        <f>IFERROR(INDEX(Database!C:C,MATCH(Stock[[#This Row],[Stock]],Database!B:B,0)),"")</f>
        <v>BBB</v>
      </c>
      <c r="E33" s="44" t="str">
        <f>IFERROR(INDEX(Database!D:D,MATCH(Stock[[#This Row],[Stock]],Database!B:B,0)),"")</f>
        <v>Sector 2</v>
      </c>
      <c r="F33" s="42">
        <v>43899</v>
      </c>
      <c r="G33" s="45">
        <f>IF(Stock[[#This Row],[Purchase Date]]="","",Stock[[#This Row],[Purchase Date]])</f>
        <v>43899</v>
      </c>
      <c r="H33" s="46">
        <v>332</v>
      </c>
      <c r="I33" s="47">
        <f>IFERROR(INDEX(Database!E:E,MATCH(Stock[[#This Row],[Stock]],Database!B:B,0)),"")</f>
        <v>14</v>
      </c>
      <c r="J33" s="48">
        <f>IF(OR(Stock[[#This Row],[Purchasing Price]]="",Stock[[#This Row],[Shares]]=""),"",Stock[[#This Row],[Purchasing Price]]*Stock[[#This Row],[Shares]])</f>
        <v>4648</v>
      </c>
      <c r="K33" s="49">
        <v>16</v>
      </c>
      <c r="L33" s="50">
        <f>IF(OR(Stock[[#This Row],[Current Price]]="",Stock[[#This Row],[Purchasing Price]]=""),"",Stock[[#This Row],[Current Price]]-Stock[[#This Row],[Purchasing Price]])</f>
        <v>2</v>
      </c>
      <c r="M33" s="51">
        <f>IF(OR(Stock[[#This Row],[Current Price]]="",Stock[[#This Row],[Shares]]=""),"",Stock[[#This Row],[Current Price]]*Stock[[#This Row],[Shares]])</f>
        <v>5312</v>
      </c>
      <c r="N33" s="47">
        <f>SUMIF(C:C,Stock[[#This Row],[Stock]],O:O)</f>
        <v>1897</v>
      </c>
      <c r="O33" s="48">
        <f>IF(OR(Stock[[#This Row],[Gross Current Value]]="",Stock[[#This Row],[Total Value]]=""),"",Stock[[#This Row],[Gross Current Value]]-Stock[[#This Row],[Total Value]])</f>
        <v>664</v>
      </c>
      <c r="P33" s="52">
        <f>IF(OR(Stock[[#This Row],[Gain(Lose) Value]]="",Stock[[#This Row],[Total Value]]=""),"",Stock[[#This Row],[Gain(Lose) Value]]/Stock[[#This Row],[Total Value]])</f>
        <v>0.14285714285714285</v>
      </c>
    </row>
    <row r="34" spans="1:16" ht="30" customHeight="1" x14ac:dyDescent="0.2">
      <c r="A34" s="20" t="str">
        <f t="shared" si="0"/>
        <v/>
      </c>
      <c r="B34" s="42" t="s">
        <v>71</v>
      </c>
      <c r="C34" s="43" t="s">
        <v>56</v>
      </c>
      <c r="D34" s="44" t="str">
        <f>IFERROR(INDEX(Database!C:C,MATCH(Stock[[#This Row],[Stock]],Database!B:B,0)),"")</f>
        <v>CBC</v>
      </c>
      <c r="E34" s="44" t="str">
        <f>IFERROR(INDEX(Database!D:D,MATCH(Stock[[#This Row],[Stock]],Database!B:B,0)),"")</f>
        <v>Sector 2</v>
      </c>
      <c r="F34" s="42">
        <v>43969</v>
      </c>
      <c r="G34" s="45">
        <f>IF(Stock[[#This Row],[Purchase Date]]="","",Stock[[#This Row],[Purchase Date]])</f>
        <v>43969</v>
      </c>
      <c r="H34" s="46">
        <v>171</v>
      </c>
      <c r="I34" s="47">
        <f>IFERROR(INDEX(Database!E:E,MATCH(Stock[[#This Row],[Stock]],Database!B:B,0)),"")</f>
        <v>17</v>
      </c>
      <c r="J34" s="48">
        <f>IF(OR(Stock[[#This Row],[Purchasing Price]]="",Stock[[#This Row],[Shares]]=""),"",Stock[[#This Row],[Purchasing Price]]*Stock[[#This Row],[Shares]])</f>
        <v>2907</v>
      </c>
      <c r="K34" s="49">
        <v>16</v>
      </c>
      <c r="L34" s="50">
        <f>IF(OR(Stock[[#This Row],[Current Price]]="",Stock[[#This Row],[Purchasing Price]]=""),"",Stock[[#This Row],[Current Price]]-Stock[[#This Row],[Purchasing Price]])</f>
        <v>-1</v>
      </c>
      <c r="M34" s="51">
        <f>IF(OR(Stock[[#This Row],[Current Price]]="",Stock[[#This Row],[Shares]]=""),"",Stock[[#This Row],[Current Price]]*Stock[[#This Row],[Shares]])</f>
        <v>2736</v>
      </c>
      <c r="N34" s="47">
        <f>SUMIF(C:C,Stock[[#This Row],[Stock]],O:O)</f>
        <v>-1769.6999999999998</v>
      </c>
      <c r="O34" s="48">
        <f>IF(OR(Stock[[#This Row],[Gross Current Value]]="",Stock[[#This Row],[Total Value]]=""),"",Stock[[#This Row],[Gross Current Value]]-Stock[[#This Row],[Total Value]])</f>
        <v>-171</v>
      </c>
      <c r="P34" s="52">
        <f>IF(OR(Stock[[#This Row],[Gain(Lose) Value]]="",Stock[[#This Row],[Total Value]]=""),"",Stock[[#This Row],[Gain(Lose) Value]]/Stock[[#This Row],[Total Value]])</f>
        <v>-5.8823529411764705E-2</v>
      </c>
    </row>
    <row r="35" spans="1:16" ht="30" customHeight="1" x14ac:dyDescent="0.2">
      <c r="A35" s="20" t="str">
        <f t="shared" si="0"/>
        <v/>
      </c>
      <c r="B35" s="42" t="s">
        <v>71</v>
      </c>
      <c r="C35" s="43" t="s">
        <v>49</v>
      </c>
      <c r="D35" s="44" t="str">
        <f>IFERROR(INDEX(Database!C:C,MATCH(Stock[[#This Row],[Stock]],Database!B:B,0)),"")</f>
        <v>CDA</v>
      </c>
      <c r="E35" s="44" t="str">
        <f>IFERROR(INDEX(Database!D:D,MATCH(Stock[[#This Row],[Stock]],Database!B:B,0)),"")</f>
        <v>Sector 4</v>
      </c>
      <c r="F35" s="42">
        <v>44192</v>
      </c>
      <c r="G35" s="45">
        <f>IF(Stock[[#This Row],[Purchase Date]]="","",Stock[[#This Row],[Purchase Date]])</f>
        <v>44192</v>
      </c>
      <c r="H35" s="46">
        <v>441</v>
      </c>
      <c r="I35" s="47">
        <f>IFERROR(INDEX(Database!E:E,MATCH(Stock[[#This Row],[Stock]],Database!B:B,0)),"")</f>
        <v>15.4</v>
      </c>
      <c r="J35" s="48">
        <f>IF(OR(Stock[[#This Row],[Purchasing Price]]="",Stock[[#This Row],[Shares]]=""),"",Stock[[#This Row],[Purchasing Price]]*Stock[[#This Row],[Shares]])</f>
        <v>6791.4000000000005</v>
      </c>
      <c r="K35" s="49">
        <v>16</v>
      </c>
      <c r="L35" s="50">
        <f>IF(OR(Stock[[#This Row],[Current Price]]="",Stock[[#This Row],[Purchasing Price]]=""),"",Stock[[#This Row],[Current Price]]-Stock[[#This Row],[Purchasing Price]])</f>
        <v>0.59999999999999964</v>
      </c>
      <c r="M35" s="51">
        <f>IF(OR(Stock[[#This Row],[Current Price]]="",Stock[[#This Row],[Shares]]=""),"",Stock[[#This Row],[Current Price]]*Stock[[#This Row],[Shares]])</f>
        <v>7056</v>
      </c>
      <c r="N35" s="47">
        <f>SUMIF(C:C,Stock[[#This Row],[Stock]],O:O)</f>
        <v>1203.5999999999967</v>
      </c>
      <c r="O35" s="48">
        <f>IF(OR(Stock[[#This Row],[Gross Current Value]]="",Stock[[#This Row],[Total Value]]=""),"",Stock[[#This Row],[Gross Current Value]]-Stock[[#This Row],[Total Value]])</f>
        <v>264.59999999999945</v>
      </c>
      <c r="P35" s="52">
        <f>IF(OR(Stock[[#This Row],[Gain(Lose) Value]]="",Stock[[#This Row],[Total Value]]=""),"",Stock[[#This Row],[Gain(Lose) Value]]/Stock[[#This Row],[Total Value]])</f>
        <v>3.8961038961038877E-2</v>
      </c>
    </row>
    <row r="36" spans="1:16" ht="30" customHeight="1" x14ac:dyDescent="0.2">
      <c r="A36" s="20" t="str">
        <f t="shared" si="0"/>
        <v/>
      </c>
      <c r="B36" s="42" t="s">
        <v>70</v>
      </c>
      <c r="C36" s="43" t="s">
        <v>55</v>
      </c>
      <c r="D36" s="44" t="str">
        <f>IFERROR(INDEX(Database!C:C,MATCH(Stock[[#This Row],[Stock]],Database!B:B,0)),"")</f>
        <v>DDD</v>
      </c>
      <c r="E36" s="44" t="str">
        <f>IFERROR(INDEX(Database!D:D,MATCH(Stock[[#This Row],[Stock]],Database!B:B,0)),"")</f>
        <v>Sector 3</v>
      </c>
      <c r="F36" s="42">
        <v>44113</v>
      </c>
      <c r="G36" s="45">
        <f>IF(Stock[[#This Row],[Purchase Date]]="","",Stock[[#This Row],[Purchase Date]])</f>
        <v>44113</v>
      </c>
      <c r="H36" s="46">
        <v>249</v>
      </c>
      <c r="I36" s="47">
        <f>IFERROR(INDEX(Database!E:E,MATCH(Stock[[#This Row],[Stock]],Database!B:B,0)),"")</f>
        <v>12.6</v>
      </c>
      <c r="J36" s="48">
        <f>IF(OR(Stock[[#This Row],[Purchasing Price]]="",Stock[[#This Row],[Shares]]=""),"",Stock[[#This Row],[Purchasing Price]]*Stock[[#This Row],[Shares]])</f>
        <v>3137.4</v>
      </c>
      <c r="K36" s="49">
        <v>13</v>
      </c>
      <c r="L36" s="50">
        <f>IF(OR(Stock[[#This Row],[Current Price]]="",Stock[[#This Row],[Purchasing Price]]=""),"",Stock[[#This Row],[Current Price]]-Stock[[#This Row],[Purchasing Price]])</f>
        <v>0.40000000000000036</v>
      </c>
      <c r="M36" s="51">
        <f>IF(OR(Stock[[#This Row],[Current Price]]="",Stock[[#This Row],[Shares]]=""),"",Stock[[#This Row],[Current Price]]*Stock[[#This Row],[Shares]])</f>
        <v>3237</v>
      </c>
      <c r="N36" s="47">
        <f>SUMIF(C:C,Stock[[#This Row],[Stock]],O:O)</f>
        <v>1015.0000000000005</v>
      </c>
      <c r="O36" s="48">
        <f>IF(OR(Stock[[#This Row],[Gross Current Value]]="",Stock[[#This Row],[Total Value]]=""),"",Stock[[#This Row],[Gross Current Value]]-Stock[[#This Row],[Total Value]])</f>
        <v>99.599999999999909</v>
      </c>
      <c r="P36" s="52">
        <f>IF(OR(Stock[[#This Row],[Gain(Lose) Value]]="",Stock[[#This Row],[Total Value]]=""),"",Stock[[#This Row],[Gain(Lose) Value]]/Stock[[#This Row],[Total Value]])</f>
        <v>3.1746031746031717E-2</v>
      </c>
    </row>
    <row r="37" spans="1:16" ht="30" customHeight="1" x14ac:dyDescent="0.2">
      <c r="A37" s="20" t="str">
        <f t="shared" si="0"/>
        <v/>
      </c>
      <c r="B37" s="42" t="s">
        <v>69</v>
      </c>
      <c r="C37" s="43" t="s">
        <v>49</v>
      </c>
      <c r="D37" s="44" t="str">
        <f>IFERROR(INDEX(Database!C:C,MATCH(Stock[[#This Row],[Stock]],Database!B:B,0)),"")</f>
        <v>CDA</v>
      </c>
      <c r="E37" s="44" t="str">
        <f>IFERROR(INDEX(Database!D:D,MATCH(Stock[[#This Row],[Stock]],Database!B:B,0)),"")</f>
        <v>Sector 4</v>
      </c>
      <c r="F37" s="42">
        <v>44170</v>
      </c>
      <c r="G37" s="45">
        <f>IF(Stock[[#This Row],[Purchase Date]]="","",Stock[[#This Row],[Purchase Date]])</f>
        <v>44170</v>
      </c>
      <c r="H37" s="46">
        <v>330</v>
      </c>
      <c r="I37" s="47">
        <f>IFERROR(INDEX(Database!E:E,MATCH(Stock[[#This Row],[Stock]],Database!B:B,0)),"")</f>
        <v>15.4</v>
      </c>
      <c r="J37" s="48">
        <f>IF(OR(Stock[[#This Row],[Purchasing Price]]="",Stock[[#This Row],[Shares]]=""),"",Stock[[#This Row],[Purchasing Price]]*Stock[[#This Row],[Shares]])</f>
        <v>5082</v>
      </c>
      <c r="K37" s="49">
        <v>15</v>
      </c>
      <c r="L37" s="50">
        <f>IF(OR(Stock[[#This Row],[Current Price]]="",Stock[[#This Row],[Purchasing Price]]=""),"",Stock[[#This Row],[Current Price]]-Stock[[#This Row],[Purchasing Price]])</f>
        <v>-0.40000000000000036</v>
      </c>
      <c r="M37" s="51">
        <f>IF(OR(Stock[[#This Row],[Current Price]]="",Stock[[#This Row],[Shares]]=""),"",Stock[[#This Row],[Current Price]]*Stock[[#This Row],[Shares]])</f>
        <v>4950</v>
      </c>
      <c r="N37" s="47">
        <f>SUMIF(C:C,Stock[[#This Row],[Stock]],O:O)</f>
        <v>1203.5999999999967</v>
      </c>
      <c r="O37" s="48">
        <f>IF(OR(Stock[[#This Row],[Gross Current Value]]="",Stock[[#This Row],[Total Value]]=""),"",Stock[[#This Row],[Gross Current Value]]-Stock[[#This Row],[Total Value]])</f>
        <v>-132</v>
      </c>
      <c r="P37" s="52">
        <f>IF(OR(Stock[[#This Row],[Gain(Lose) Value]]="",Stock[[#This Row],[Total Value]]=""),"",Stock[[#This Row],[Gain(Lose) Value]]/Stock[[#This Row],[Total Value]])</f>
        <v>-2.5974025974025976E-2</v>
      </c>
    </row>
    <row r="38" spans="1:16" ht="30" customHeight="1" x14ac:dyDescent="0.2">
      <c r="A38" s="20" t="str">
        <f t="shared" si="0"/>
        <v/>
      </c>
      <c r="B38" s="42" t="s">
        <v>71</v>
      </c>
      <c r="C38" s="43" t="s">
        <v>55</v>
      </c>
      <c r="D38" s="44" t="str">
        <f>IFERROR(INDEX(Database!C:C,MATCH(Stock[[#This Row],[Stock]],Database!B:B,0)),"")</f>
        <v>DDD</v>
      </c>
      <c r="E38" s="44" t="str">
        <f>IFERROR(INDEX(Database!D:D,MATCH(Stock[[#This Row],[Stock]],Database!B:B,0)),"")</f>
        <v>Sector 3</v>
      </c>
      <c r="F38" s="42">
        <v>43942</v>
      </c>
      <c r="G38" s="45">
        <f>IF(Stock[[#This Row],[Purchase Date]]="","",Stock[[#This Row],[Purchase Date]])</f>
        <v>43942</v>
      </c>
      <c r="H38" s="46">
        <v>452</v>
      </c>
      <c r="I38" s="47">
        <f>IFERROR(INDEX(Database!E:E,MATCH(Stock[[#This Row],[Stock]],Database!B:B,0)),"")</f>
        <v>12.6</v>
      </c>
      <c r="J38" s="48">
        <f>IF(OR(Stock[[#This Row],[Purchasing Price]]="",Stock[[#This Row],[Shares]]=""),"",Stock[[#This Row],[Purchasing Price]]*Stock[[#This Row],[Shares]])</f>
        <v>5695.2</v>
      </c>
      <c r="K38" s="49">
        <v>14</v>
      </c>
      <c r="L38" s="50">
        <f>IF(OR(Stock[[#This Row],[Current Price]]="",Stock[[#This Row],[Purchasing Price]]=""),"",Stock[[#This Row],[Current Price]]-Stock[[#This Row],[Purchasing Price]])</f>
        <v>1.4000000000000004</v>
      </c>
      <c r="M38" s="51">
        <f>IF(OR(Stock[[#This Row],[Current Price]]="",Stock[[#This Row],[Shares]]=""),"",Stock[[#This Row],[Current Price]]*Stock[[#This Row],[Shares]])</f>
        <v>6328</v>
      </c>
      <c r="N38" s="47">
        <f>SUMIF(C:C,Stock[[#This Row],[Stock]],O:O)</f>
        <v>1015.0000000000005</v>
      </c>
      <c r="O38" s="48">
        <f>IF(OR(Stock[[#This Row],[Gross Current Value]]="",Stock[[#This Row],[Total Value]]=""),"",Stock[[#This Row],[Gross Current Value]]-Stock[[#This Row],[Total Value]])</f>
        <v>632.80000000000018</v>
      </c>
      <c r="P38" s="52">
        <f>IF(OR(Stock[[#This Row],[Gain(Lose) Value]]="",Stock[[#This Row],[Total Value]]=""),"",Stock[[#This Row],[Gain(Lose) Value]]/Stock[[#This Row],[Total Value]])</f>
        <v>0.11111111111111115</v>
      </c>
    </row>
    <row r="39" spans="1:16" ht="30" customHeight="1" x14ac:dyDescent="0.2">
      <c r="A39" s="20" t="str">
        <f t="shared" si="0"/>
        <v/>
      </c>
      <c r="B39" s="42" t="s">
        <v>69</v>
      </c>
      <c r="C39" s="43" t="s">
        <v>49</v>
      </c>
      <c r="D39" s="44" t="str">
        <f>IFERROR(INDEX(Database!C:C,MATCH(Stock[[#This Row],[Stock]],Database!B:B,0)),"")</f>
        <v>CDA</v>
      </c>
      <c r="E39" s="44" t="str">
        <f>IFERROR(INDEX(Database!D:D,MATCH(Stock[[#This Row],[Stock]],Database!B:B,0)),"")</f>
        <v>Sector 4</v>
      </c>
      <c r="F39" s="42">
        <v>43845</v>
      </c>
      <c r="G39" s="45">
        <f>IF(Stock[[#This Row],[Purchase Date]]="","",Stock[[#This Row],[Purchase Date]])</f>
        <v>43845</v>
      </c>
      <c r="H39" s="46">
        <v>394</v>
      </c>
      <c r="I39" s="47">
        <f>IFERROR(INDEX(Database!E:E,MATCH(Stock[[#This Row],[Stock]],Database!B:B,0)),"")</f>
        <v>15.4</v>
      </c>
      <c r="J39" s="48">
        <f>IF(OR(Stock[[#This Row],[Purchasing Price]]="",Stock[[#This Row],[Shares]]=""),"",Stock[[#This Row],[Purchasing Price]]*Stock[[#This Row],[Shares]])</f>
        <v>6067.6</v>
      </c>
      <c r="K39" s="49">
        <v>16</v>
      </c>
      <c r="L39" s="50">
        <f>IF(OR(Stock[[#This Row],[Current Price]]="",Stock[[#This Row],[Purchasing Price]]=""),"",Stock[[#This Row],[Current Price]]-Stock[[#This Row],[Purchasing Price]])</f>
        <v>0.59999999999999964</v>
      </c>
      <c r="M39" s="51">
        <f>IF(OR(Stock[[#This Row],[Current Price]]="",Stock[[#This Row],[Shares]]=""),"",Stock[[#This Row],[Current Price]]*Stock[[#This Row],[Shares]])</f>
        <v>6304</v>
      </c>
      <c r="N39" s="47">
        <f>SUMIF(C:C,Stock[[#This Row],[Stock]],O:O)</f>
        <v>1203.5999999999967</v>
      </c>
      <c r="O39" s="48">
        <f>IF(OR(Stock[[#This Row],[Gross Current Value]]="",Stock[[#This Row],[Total Value]]=""),"",Stock[[#This Row],[Gross Current Value]]-Stock[[#This Row],[Total Value]])</f>
        <v>236.39999999999964</v>
      </c>
      <c r="P39" s="52">
        <f>IF(OR(Stock[[#This Row],[Gain(Lose) Value]]="",Stock[[#This Row],[Total Value]]=""),"",Stock[[#This Row],[Gain(Lose) Value]]/Stock[[#This Row],[Total Value]])</f>
        <v>3.8961038961038898E-2</v>
      </c>
    </row>
    <row r="40" spans="1:16" ht="30" customHeight="1" x14ac:dyDescent="0.2">
      <c r="A40" s="20" t="str">
        <f t="shared" si="0"/>
        <v/>
      </c>
      <c r="B40" s="42" t="s">
        <v>70</v>
      </c>
      <c r="C40" s="43" t="s">
        <v>49</v>
      </c>
      <c r="D40" s="44" t="str">
        <f>IFERROR(INDEX(Database!C:C,MATCH(Stock[[#This Row],[Stock]],Database!B:B,0)),"")</f>
        <v>CDA</v>
      </c>
      <c r="E40" s="44" t="str">
        <f>IFERROR(INDEX(Database!D:D,MATCH(Stock[[#This Row],[Stock]],Database!B:B,0)),"")</f>
        <v>Sector 4</v>
      </c>
      <c r="F40" s="42">
        <v>44042</v>
      </c>
      <c r="G40" s="45">
        <f>IF(Stock[[#This Row],[Purchase Date]]="","",Stock[[#This Row],[Purchase Date]])</f>
        <v>44042</v>
      </c>
      <c r="H40" s="46">
        <v>175</v>
      </c>
      <c r="I40" s="47">
        <f>IFERROR(INDEX(Database!E:E,MATCH(Stock[[#This Row],[Stock]],Database!B:B,0)),"")</f>
        <v>15.4</v>
      </c>
      <c r="J40" s="48">
        <f>IF(OR(Stock[[#This Row],[Purchasing Price]]="",Stock[[#This Row],[Shares]]=""),"",Stock[[#This Row],[Purchasing Price]]*Stock[[#This Row],[Shares]])</f>
        <v>2695</v>
      </c>
      <c r="K40" s="49">
        <v>15</v>
      </c>
      <c r="L40" s="50">
        <f>IF(OR(Stock[[#This Row],[Current Price]]="",Stock[[#This Row],[Purchasing Price]]=""),"",Stock[[#This Row],[Current Price]]-Stock[[#This Row],[Purchasing Price]])</f>
        <v>-0.40000000000000036</v>
      </c>
      <c r="M40" s="51">
        <f>IF(OR(Stock[[#This Row],[Current Price]]="",Stock[[#This Row],[Shares]]=""),"",Stock[[#This Row],[Current Price]]*Stock[[#This Row],[Shares]])</f>
        <v>2625</v>
      </c>
      <c r="N40" s="47">
        <f>SUMIF(C:C,Stock[[#This Row],[Stock]],O:O)</f>
        <v>1203.5999999999967</v>
      </c>
      <c r="O40" s="48">
        <f>IF(OR(Stock[[#This Row],[Gross Current Value]]="",Stock[[#This Row],[Total Value]]=""),"",Stock[[#This Row],[Gross Current Value]]-Stock[[#This Row],[Total Value]])</f>
        <v>-70</v>
      </c>
      <c r="P40" s="52">
        <f>IF(OR(Stock[[#This Row],[Gain(Lose) Value]]="",Stock[[#This Row],[Total Value]]=""),"",Stock[[#This Row],[Gain(Lose) Value]]/Stock[[#This Row],[Total Value]])</f>
        <v>-2.5974025974025976E-2</v>
      </c>
    </row>
    <row r="41" spans="1:16" ht="30" customHeight="1" x14ac:dyDescent="0.2">
      <c r="A41" s="20" t="str">
        <f t="shared" si="0"/>
        <v/>
      </c>
      <c r="B41" s="27" t="s">
        <v>69</v>
      </c>
      <c r="C41" s="25" t="s">
        <v>56</v>
      </c>
      <c r="D41" s="32" t="str">
        <f>IFERROR(INDEX(Database!C:C,MATCH(Stock[[#This Row],[Stock]],Database!B:B,0)),"")</f>
        <v>CBC</v>
      </c>
      <c r="E41" s="32" t="str">
        <f>IFERROR(INDEX(Database!D:D,MATCH(Stock[[#This Row],[Stock]],Database!B:B,0)),"")</f>
        <v>Sector 2</v>
      </c>
      <c r="F41" s="27">
        <v>44037</v>
      </c>
      <c r="G41" s="39">
        <f>IF(Stock[[#This Row],[Purchase Date]]="","",Stock[[#This Row],[Purchase Date]])</f>
        <v>44037</v>
      </c>
      <c r="H41" s="28">
        <v>440</v>
      </c>
      <c r="I41" s="34">
        <f>IFERROR(INDEX(Database!E:E,MATCH(Stock[[#This Row],[Stock]],Database!B:B,0)),"")</f>
        <v>17</v>
      </c>
      <c r="J41" s="35">
        <f>IF(OR(Stock[[#This Row],[Purchasing Price]]="",Stock[[#This Row],[Shares]]=""),"",Stock[[#This Row],[Purchasing Price]]*Stock[[#This Row],[Shares]])</f>
        <v>7480</v>
      </c>
      <c r="K41" s="40">
        <v>17</v>
      </c>
      <c r="L41" s="36">
        <f>IF(OR(Stock[[#This Row],[Current Price]]="",Stock[[#This Row],[Purchasing Price]]=""),"",Stock[[#This Row],[Current Price]]-Stock[[#This Row],[Purchasing Price]])</f>
        <v>0</v>
      </c>
      <c r="M41" s="41">
        <f>IF(OR(Stock[[#This Row],[Current Price]]="",Stock[[#This Row],[Shares]]=""),"",Stock[[#This Row],[Current Price]]*Stock[[#This Row],[Shares]])</f>
        <v>7480</v>
      </c>
      <c r="N41" s="34">
        <f>SUMIF(C:C,Stock[[#This Row],[Stock]],O:O)</f>
        <v>-1769.6999999999998</v>
      </c>
      <c r="O41" s="35">
        <f>IF(OR(Stock[[#This Row],[Gross Current Value]]="",Stock[[#This Row],[Total Value]]=""),"",Stock[[#This Row],[Gross Current Value]]-Stock[[#This Row],[Total Value]])</f>
        <v>0</v>
      </c>
      <c r="P41" s="38">
        <f>IF(OR(Stock[[#This Row],[Gain(Lose) Value]]="",Stock[[#This Row],[Total Value]]=""),"",Stock[[#This Row],[Gain(Lose) Value]]/Stock[[#This Row],[Total Value]])</f>
        <v>0</v>
      </c>
    </row>
    <row r="42" spans="1:16" ht="30" customHeight="1" x14ac:dyDescent="0.2">
      <c r="A42" s="20" t="str">
        <f t="shared" si="0"/>
        <v/>
      </c>
      <c r="B42" s="27" t="s">
        <v>71</v>
      </c>
      <c r="C42" s="25" t="s">
        <v>48</v>
      </c>
      <c r="D42" s="32" t="str">
        <f>IFERROR(INDEX(Database!C:C,MATCH(Stock[[#This Row],[Stock]],Database!B:B,0)),"")</f>
        <v>CCC</v>
      </c>
      <c r="E42" s="32" t="str">
        <f>IFERROR(INDEX(Database!D:D,MATCH(Stock[[#This Row],[Stock]],Database!B:B,0)),"")</f>
        <v>Sector 1</v>
      </c>
      <c r="F42" s="27">
        <v>43833</v>
      </c>
      <c r="G42" s="39">
        <f>IF(Stock[[#This Row],[Purchase Date]]="","",Stock[[#This Row],[Purchase Date]])</f>
        <v>43833</v>
      </c>
      <c r="H42" s="28">
        <v>165</v>
      </c>
      <c r="I42" s="34">
        <f>IFERROR(INDEX(Database!E:E,MATCH(Stock[[#This Row],[Stock]],Database!B:B,0)),"")</f>
        <v>10.8</v>
      </c>
      <c r="J42" s="35">
        <f>IF(OR(Stock[[#This Row],[Purchasing Price]]="",Stock[[#This Row],[Shares]]=""),"",Stock[[#This Row],[Purchasing Price]]*Stock[[#This Row],[Shares]])</f>
        <v>1782.0000000000002</v>
      </c>
      <c r="K42" s="40">
        <v>11</v>
      </c>
      <c r="L42" s="36">
        <f>IF(OR(Stock[[#This Row],[Current Price]]="",Stock[[#This Row],[Purchasing Price]]=""),"",Stock[[#This Row],[Current Price]]-Stock[[#This Row],[Purchasing Price]])</f>
        <v>0.19999999999999929</v>
      </c>
      <c r="M42" s="41">
        <f>IF(OR(Stock[[#This Row],[Current Price]]="",Stock[[#This Row],[Shares]]=""),"",Stock[[#This Row],[Current Price]]*Stock[[#This Row],[Shares]])</f>
        <v>1815</v>
      </c>
      <c r="N42" s="34">
        <f>SUMIF(C:C,Stock[[#This Row],[Stock]],O:O)</f>
        <v>-535.40000000000168</v>
      </c>
      <c r="O42" s="35">
        <f>IF(OR(Stock[[#This Row],[Gross Current Value]]="",Stock[[#This Row],[Total Value]]=""),"",Stock[[#This Row],[Gross Current Value]]-Stock[[#This Row],[Total Value]])</f>
        <v>32.999999999999773</v>
      </c>
      <c r="P42" s="38">
        <f>IF(OR(Stock[[#This Row],[Gain(Lose) Value]]="",Stock[[#This Row],[Total Value]]=""),"",Stock[[#This Row],[Gain(Lose) Value]]/Stock[[#This Row],[Total Value]])</f>
        <v>1.8518518518518389E-2</v>
      </c>
    </row>
    <row r="43" spans="1:16" ht="30" customHeight="1" x14ac:dyDescent="0.2">
      <c r="A43" s="20" t="str">
        <f t="shared" si="0"/>
        <v/>
      </c>
      <c r="B43" s="27" t="s">
        <v>69</v>
      </c>
      <c r="C43" s="25" t="s">
        <v>47</v>
      </c>
      <c r="D43" s="32" t="str">
        <f>IFERROR(INDEX(Database!C:C,MATCH(Stock[[#This Row],[Stock]],Database!B:B,0)),"")</f>
        <v/>
      </c>
      <c r="E43" s="32" t="str">
        <f>IFERROR(INDEX(Database!D:D,MATCH(Stock[[#This Row],[Stock]],Database!B:B,0)),"")</f>
        <v/>
      </c>
      <c r="F43" s="27">
        <v>44156</v>
      </c>
      <c r="G43" s="39">
        <f>IF(Stock[[#This Row],[Purchase Date]]="","",Stock[[#This Row],[Purchase Date]])</f>
        <v>44156</v>
      </c>
      <c r="H43" s="28">
        <v>159</v>
      </c>
      <c r="I43" s="34" t="str">
        <f>IFERROR(INDEX(Database!E:E,MATCH(Stock[[#This Row],[Stock]],Database!B:B,0)),"")</f>
        <v/>
      </c>
      <c r="J43" s="35" t="str">
        <f>IF(OR(Stock[[#This Row],[Purchasing Price]]="",Stock[[#This Row],[Shares]]=""),"",Stock[[#This Row],[Purchasing Price]]*Stock[[#This Row],[Shares]])</f>
        <v/>
      </c>
      <c r="K43" s="40">
        <v>12</v>
      </c>
      <c r="L43" s="36" t="str">
        <f>IF(OR(Stock[[#This Row],[Current Price]]="",Stock[[#This Row],[Purchasing Price]]=""),"",Stock[[#This Row],[Current Price]]-Stock[[#This Row],[Purchasing Price]])</f>
        <v/>
      </c>
      <c r="M43" s="41">
        <f>IF(OR(Stock[[#This Row],[Current Price]]="",Stock[[#This Row],[Shares]]=""),"",Stock[[#This Row],[Current Price]]*Stock[[#This Row],[Shares]])</f>
        <v>1908</v>
      </c>
      <c r="N43" s="34">
        <f>SUMIF(C:C,Stock[[#This Row],[Stock]],O:O)</f>
        <v>0</v>
      </c>
      <c r="O43" s="35" t="str">
        <f>IF(OR(Stock[[#This Row],[Gross Current Value]]="",Stock[[#This Row],[Total Value]]=""),"",Stock[[#This Row],[Gross Current Value]]-Stock[[#This Row],[Total Value]])</f>
        <v/>
      </c>
      <c r="P43" s="38" t="str">
        <f>IF(OR(Stock[[#This Row],[Gain(Lose) Value]]="",Stock[[#This Row],[Total Value]]=""),"",Stock[[#This Row],[Gain(Lose) Value]]/Stock[[#This Row],[Total Value]])</f>
        <v/>
      </c>
    </row>
    <row r="44" spans="1:16" ht="30" customHeight="1" x14ac:dyDescent="0.2">
      <c r="A44" s="20" t="str">
        <f t="shared" si="0"/>
        <v/>
      </c>
      <c r="B44" s="27" t="s">
        <v>71</v>
      </c>
      <c r="C44" s="25" t="s">
        <v>49</v>
      </c>
      <c r="D44" s="32" t="str">
        <f>IFERROR(INDEX(Database!C:C,MATCH(Stock[[#This Row],[Stock]],Database!B:B,0)),"")</f>
        <v>CDA</v>
      </c>
      <c r="E44" s="32" t="str">
        <f>IFERROR(INDEX(Database!D:D,MATCH(Stock[[#This Row],[Stock]],Database!B:B,0)),"")</f>
        <v>Sector 4</v>
      </c>
      <c r="F44" s="27">
        <v>44044</v>
      </c>
      <c r="G44" s="39">
        <f>IF(Stock[[#This Row],[Purchase Date]]="","",Stock[[#This Row],[Purchase Date]])</f>
        <v>44044</v>
      </c>
      <c r="H44" s="28">
        <v>471</v>
      </c>
      <c r="I44" s="34">
        <f>IFERROR(INDEX(Database!E:E,MATCH(Stock[[#This Row],[Stock]],Database!B:B,0)),"")</f>
        <v>15.4</v>
      </c>
      <c r="J44" s="35">
        <f>IF(OR(Stock[[#This Row],[Purchasing Price]]="",Stock[[#This Row],[Shares]]=""),"",Stock[[#This Row],[Purchasing Price]]*Stock[[#This Row],[Shares]])</f>
        <v>7253.4000000000005</v>
      </c>
      <c r="K44" s="40">
        <v>16</v>
      </c>
      <c r="L44" s="36">
        <f>IF(OR(Stock[[#This Row],[Current Price]]="",Stock[[#This Row],[Purchasing Price]]=""),"",Stock[[#This Row],[Current Price]]-Stock[[#This Row],[Purchasing Price]])</f>
        <v>0.59999999999999964</v>
      </c>
      <c r="M44" s="41">
        <f>IF(OR(Stock[[#This Row],[Current Price]]="",Stock[[#This Row],[Shares]]=""),"",Stock[[#This Row],[Current Price]]*Stock[[#This Row],[Shares]])</f>
        <v>7536</v>
      </c>
      <c r="N44" s="34">
        <f>SUMIF(C:C,Stock[[#This Row],[Stock]],O:O)</f>
        <v>1203.5999999999967</v>
      </c>
      <c r="O44" s="35">
        <f>IF(OR(Stock[[#This Row],[Gross Current Value]]="",Stock[[#This Row],[Total Value]]=""),"",Stock[[#This Row],[Gross Current Value]]-Stock[[#This Row],[Total Value]])</f>
        <v>282.59999999999945</v>
      </c>
      <c r="P44" s="38">
        <f>IF(OR(Stock[[#This Row],[Gain(Lose) Value]]="",Stock[[#This Row],[Total Value]]=""),"",Stock[[#This Row],[Gain(Lose) Value]]/Stock[[#This Row],[Total Value]])</f>
        <v>3.8961038961038884E-2</v>
      </c>
    </row>
    <row r="45" spans="1:16" ht="30" customHeight="1" x14ac:dyDescent="0.2">
      <c r="A45" s="20" t="str">
        <f t="shared" si="0"/>
        <v/>
      </c>
      <c r="B45" s="27" t="s">
        <v>71</v>
      </c>
      <c r="C45" s="25" t="s">
        <v>49</v>
      </c>
      <c r="D45" s="32" t="str">
        <f>IFERROR(INDEX(Database!C:C,MATCH(Stock[[#This Row],[Stock]],Database!B:B,0)),"")</f>
        <v>CDA</v>
      </c>
      <c r="E45" s="32" t="str">
        <f>IFERROR(INDEX(Database!D:D,MATCH(Stock[[#This Row],[Stock]],Database!B:B,0)),"")</f>
        <v>Sector 4</v>
      </c>
      <c r="F45" s="27">
        <v>44016</v>
      </c>
      <c r="G45" s="39">
        <f>IF(Stock[[#This Row],[Purchase Date]]="","",Stock[[#This Row],[Purchase Date]])</f>
        <v>44016</v>
      </c>
      <c r="H45" s="28">
        <v>160</v>
      </c>
      <c r="I45" s="34">
        <f>IFERROR(INDEX(Database!E:E,MATCH(Stock[[#This Row],[Stock]],Database!B:B,0)),"")</f>
        <v>15.4</v>
      </c>
      <c r="J45" s="35">
        <f>IF(OR(Stock[[#This Row],[Purchasing Price]]="",Stock[[#This Row],[Shares]]=""),"",Stock[[#This Row],[Purchasing Price]]*Stock[[#This Row],[Shares]])</f>
        <v>2464</v>
      </c>
      <c r="K45" s="40">
        <v>17</v>
      </c>
      <c r="L45" s="36">
        <f>IF(OR(Stock[[#This Row],[Current Price]]="",Stock[[#This Row],[Purchasing Price]]=""),"",Stock[[#This Row],[Current Price]]-Stock[[#This Row],[Purchasing Price]])</f>
        <v>1.5999999999999996</v>
      </c>
      <c r="M45" s="41">
        <f>IF(OR(Stock[[#This Row],[Current Price]]="",Stock[[#This Row],[Shares]]=""),"",Stock[[#This Row],[Current Price]]*Stock[[#This Row],[Shares]])</f>
        <v>2720</v>
      </c>
      <c r="N45" s="34">
        <f>SUMIF(C:C,Stock[[#This Row],[Stock]],O:O)</f>
        <v>1203.5999999999967</v>
      </c>
      <c r="O45" s="35">
        <f>IF(OR(Stock[[#This Row],[Gross Current Value]]="",Stock[[#This Row],[Total Value]]=""),"",Stock[[#This Row],[Gross Current Value]]-Stock[[#This Row],[Total Value]])</f>
        <v>256</v>
      </c>
      <c r="P45" s="38">
        <f>IF(OR(Stock[[#This Row],[Gain(Lose) Value]]="",Stock[[#This Row],[Total Value]]=""),"",Stock[[#This Row],[Gain(Lose) Value]]/Stock[[#This Row],[Total Value]])</f>
        <v>0.1038961038961039</v>
      </c>
    </row>
    <row r="46" spans="1:16" ht="30" customHeight="1" x14ac:dyDescent="0.2">
      <c r="A46" s="20" t="str">
        <f t="shared" si="0"/>
        <v/>
      </c>
      <c r="B46" s="27" t="s">
        <v>69</v>
      </c>
      <c r="C46" s="25" t="s">
        <v>58</v>
      </c>
      <c r="D46" s="32" t="str">
        <f>IFERROR(INDEX(Database!C:C,MATCH(Stock[[#This Row],[Stock]],Database!B:B,0)),"")</f>
        <v>BBB</v>
      </c>
      <c r="E46" s="32" t="str">
        <f>IFERROR(INDEX(Database!D:D,MATCH(Stock[[#This Row],[Stock]],Database!B:B,0)),"")</f>
        <v>Sector 2</v>
      </c>
      <c r="F46" s="27">
        <v>43909</v>
      </c>
      <c r="G46" s="39">
        <f>IF(Stock[[#This Row],[Purchase Date]]="","",Stock[[#This Row],[Purchase Date]])</f>
        <v>43909</v>
      </c>
      <c r="H46" s="28">
        <v>170</v>
      </c>
      <c r="I46" s="34">
        <f>IFERROR(INDEX(Database!E:E,MATCH(Stock[[#This Row],[Stock]],Database!B:B,0)),"")</f>
        <v>14</v>
      </c>
      <c r="J46" s="35">
        <f>IF(OR(Stock[[#This Row],[Purchasing Price]]="",Stock[[#This Row],[Shares]]=""),"",Stock[[#This Row],[Purchasing Price]]*Stock[[#This Row],[Shares]])</f>
        <v>2380</v>
      </c>
      <c r="K46" s="40">
        <v>15</v>
      </c>
      <c r="L46" s="36">
        <f>IF(OR(Stock[[#This Row],[Current Price]]="",Stock[[#This Row],[Purchasing Price]]=""),"",Stock[[#This Row],[Current Price]]-Stock[[#This Row],[Purchasing Price]])</f>
        <v>1</v>
      </c>
      <c r="M46" s="41">
        <f>IF(OR(Stock[[#This Row],[Current Price]]="",Stock[[#This Row],[Shares]]=""),"",Stock[[#This Row],[Current Price]]*Stock[[#This Row],[Shares]])</f>
        <v>2550</v>
      </c>
      <c r="N46" s="34">
        <f>SUMIF(C:C,Stock[[#This Row],[Stock]],O:O)</f>
        <v>1897</v>
      </c>
      <c r="O46" s="35">
        <f>IF(OR(Stock[[#This Row],[Gross Current Value]]="",Stock[[#This Row],[Total Value]]=""),"",Stock[[#This Row],[Gross Current Value]]-Stock[[#This Row],[Total Value]])</f>
        <v>170</v>
      </c>
      <c r="P46" s="38">
        <f>IF(OR(Stock[[#This Row],[Gain(Lose) Value]]="",Stock[[#This Row],[Total Value]]=""),"",Stock[[#This Row],[Gain(Lose) Value]]/Stock[[#This Row],[Total Value]])</f>
        <v>7.1428571428571425E-2</v>
      </c>
    </row>
    <row r="47" spans="1:16" ht="30" customHeight="1" x14ac:dyDescent="0.2">
      <c r="A47" s="20" t="str">
        <f t="shared" si="0"/>
        <v/>
      </c>
      <c r="B47" s="27" t="s">
        <v>69</v>
      </c>
      <c r="C47" s="25" t="s">
        <v>50</v>
      </c>
      <c r="D47" s="32" t="str">
        <f>IFERROR(INDEX(Database!C:C,MATCH(Stock[[#This Row],[Stock]],Database!B:B,0)),"")</f>
        <v>DBA</v>
      </c>
      <c r="E47" s="32" t="str">
        <f>IFERROR(INDEX(Database!D:D,MATCH(Stock[[#This Row],[Stock]],Database!B:B,0)),"")</f>
        <v>Sector 2</v>
      </c>
      <c r="F47" s="27">
        <v>44064</v>
      </c>
      <c r="G47" s="39">
        <f>IF(Stock[[#This Row],[Purchase Date]]="","",Stock[[#This Row],[Purchase Date]])</f>
        <v>44064</v>
      </c>
      <c r="H47" s="28">
        <v>300</v>
      </c>
      <c r="I47" s="34">
        <f>IFERROR(INDEX(Database!E:E,MATCH(Stock[[#This Row],[Stock]],Database!B:B,0)),"")</f>
        <v>7.8</v>
      </c>
      <c r="J47" s="35">
        <f>IF(OR(Stock[[#This Row],[Purchasing Price]]="",Stock[[#This Row],[Shares]]=""),"",Stock[[#This Row],[Purchasing Price]]*Stock[[#This Row],[Shares]])</f>
        <v>2340</v>
      </c>
      <c r="K47" s="40">
        <v>7</v>
      </c>
      <c r="L47" s="36">
        <f>IF(OR(Stock[[#This Row],[Current Price]]="",Stock[[#This Row],[Purchasing Price]]=""),"",Stock[[#This Row],[Current Price]]-Stock[[#This Row],[Purchasing Price]])</f>
        <v>-0.79999999999999982</v>
      </c>
      <c r="M47" s="41">
        <f>IF(OR(Stock[[#This Row],[Current Price]]="",Stock[[#This Row],[Shares]]=""),"",Stock[[#This Row],[Current Price]]*Stock[[#This Row],[Shares]])</f>
        <v>2100</v>
      </c>
      <c r="N47" s="34">
        <f>SUMIF(C:C,Stock[[#This Row],[Stock]],O:O)</f>
        <v>-528.59999999999991</v>
      </c>
      <c r="O47" s="35">
        <f>IF(OR(Stock[[#This Row],[Gross Current Value]]="",Stock[[#This Row],[Total Value]]=""),"",Stock[[#This Row],[Gross Current Value]]-Stock[[#This Row],[Total Value]])</f>
        <v>-240</v>
      </c>
      <c r="P47" s="38">
        <f>IF(OR(Stock[[#This Row],[Gain(Lose) Value]]="",Stock[[#This Row],[Total Value]]=""),"",Stock[[#This Row],[Gain(Lose) Value]]/Stock[[#This Row],[Total Value]])</f>
        <v>-0.10256410256410256</v>
      </c>
    </row>
    <row r="48" spans="1:16" ht="30" customHeight="1" x14ac:dyDescent="0.2">
      <c r="A48" s="20" t="str">
        <f t="shared" si="0"/>
        <v/>
      </c>
      <c r="B48" s="27" t="s">
        <v>69</v>
      </c>
      <c r="C48" s="25" t="s">
        <v>56</v>
      </c>
      <c r="D48" s="32" t="str">
        <f>IFERROR(INDEX(Database!C:C,MATCH(Stock[[#This Row],[Stock]],Database!B:B,0)),"")</f>
        <v>CBC</v>
      </c>
      <c r="E48" s="32" t="str">
        <f>IFERROR(INDEX(Database!D:D,MATCH(Stock[[#This Row],[Stock]],Database!B:B,0)),"")</f>
        <v>Sector 2</v>
      </c>
      <c r="F48" s="27">
        <v>43839</v>
      </c>
      <c r="G48" s="39">
        <f>IF(Stock[[#This Row],[Purchase Date]]="","",Stock[[#This Row],[Purchase Date]])</f>
        <v>43839</v>
      </c>
      <c r="H48" s="28">
        <v>334</v>
      </c>
      <c r="I48" s="34">
        <f>IFERROR(INDEX(Database!E:E,MATCH(Stock[[#This Row],[Stock]],Database!B:B,0)),"")</f>
        <v>17</v>
      </c>
      <c r="J48" s="35">
        <f>IF(OR(Stock[[#This Row],[Purchasing Price]]="",Stock[[#This Row],[Shares]]=""),"",Stock[[#This Row],[Purchasing Price]]*Stock[[#This Row],[Shares]])</f>
        <v>5678</v>
      </c>
      <c r="K48" s="40">
        <v>17</v>
      </c>
      <c r="L48" s="36">
        <f>IF(OR(Stock[[#This Row],[Current Price]]="",Stock[[#This Row],[Purchasing Price]]=""),"",Stock[[#This Row],[Current Price]]-Stock[[#This Row],[Purchasing Price]])</f>
        <v>0</v>
      </c>
      <c r="M48" s="41">
        <f>IF(OR(Stock[[#This Row],[Current Price]]="",Stock[[#This Row],[Shares]]=""),"",Stock[[#This Row],[Current Price]]*Stock[[#This Row],[Shares]])</f>
        <v>5678</v>
      </c>
      <c r="N48" s="34">
        <f>SUMIF(C:C,Stock[[#This Row],[Stock]],O:O)</f>
        <v>-1769.6999999999998</v>
      </c>
      <c r="O48" s="35">
        <f>IF(OR(Stock[[#This Row],[Gross Current Value]]="",Stock[[#This Row],[Total Value]]=""),"",Stock[[#This Row],[Gross Current Value]]-Stock[[#This Row],[Total Value]])</f>
        <v>0</v>
      </c>
      <c r="P48" s="38">
        <f>IF(OR(Stock[[#This Row],[Gain(Lose) Value]]="",Stock[[#This Row],[Total Value]]=""),"",Stock[[#This Row],[Gain(Lose) Value]]/Stock[[#This Row],[Total Value]])</f>
        <v>0</v>
      </c>
    </row>
    <row r="49" spans="1:16" ht="30" customHeight="1" x14ac:dyDescent="0.2">
      <c r="A49" s="20" t="str">
        <f t="shared" si="0"/>
        <v/>
      </c>
      <c r="B49" s="27" t="s">
        <v>70</v>
      </c>
      <c r="C49" s="25" t="s">
        <v>48</v>
      </c>
      <c r="D49" s="32" t="str">
        <f>IFERROR(INDEX(Database!C:C,MATCH(Stock[[#This Row],[Stock]],Database!B:B,0)),"")</f>
        <v>CCC</v>
      </c>
      <c r="E49" s="32" t="str">
        <f>IFERROR(INDEX(Database!D:D,MATCH(Stock[[#This Row],[Stock]],Database!B:B,0)),"")</f>
        <v>Sector 1</v>
      </c>
      <c r="F49" s="27">
        <v>44062</v>
      </c>
      <c r="G49" s="39">
        <f>IF(Stock[[#This Row],[Purchase Date]]="","",Stock[[#This Row],[Purchase Date]])</f>
        <v>44062</v>
      </c>
      <c r="H49" s="28">
        <v>259</v>
      </c>
      <c r="I49" s="34">
        <f>IFERROR(INDEX(Database!E:E,MATCH(Stock[[#This Row],[Stock]],Database!B:B,0)),"")</f>
        <v>10.8</v>
      </c>
      <c r="J49" s="35">
        <f>IF(OR(Stock[[#This Row],[Purchasing Price]]="",Stock[[#This Row],[Shares]]=""),"",Stock[[#This Row],[Purchasing Price]]*Stock[[#This Row],[Shares]])</f>
        <v>2797.2000000000003</v>
      </c>
      <c r="K49" s="40">
        <v>11</v>
      </c>
      <c r="L49" s="36">
        <f>IF(OR(Stock[[#This Row],[Current Price]]="",Stock[[#This Row],[Purchasing Price]]=""),"",Stock[[#This Row],[Current Price]]-Stock[[#This Row],[Purchasing Price]])</f>
        <v>0.19999999999999929</v>
      </c>
      <c r="M49" s="41">
        <f>IF(OR(Stock[[#This Row],[Current Price]]="",Stock[[#This Row],[Shares]]=""),"",Stock[[#This Row],[Current Price]]*Stock[[#This Row],[Shares]])</f>
        <v>2849</v>
      </c>
      <c r="N49" s="34">
        <f>SUMIF(C:C,Stock[[#This Row],[Stock]],O:O)</f>
        <v>-535.40000000000168</v>
      </c>
      <c r="O49" s="35">
        <f>IF(OR(Stock[[#This Row],[Gross Current Value]]="",Stock[[#This Row],[Total Value]]=""),"",Stock[[#This Row],[Gross Current Value]]-Stock[[#This Row],[Total Value]])</f>
        <v>51.799999999999727</v>
      </c>
      <c r="P49" s="38">
        <f>IF(OR(Stock[[#This Row],[Gain(Lose) Value]]="",Stock[[#This Row],[Total Value]]=""),"",Stock[[#This Row],[Gain(Lose) Value]]/Stock[[#This Row],[Total Value]])</f>
        <v>1.851851851851842E-2</v>
      </c>
    </row>
    <row r="50" spans="1:16" ht="30" customHeight="1" x14ac:dyDescent="0.2">
      <c r="A50" s="20" t="str">
        <f t="shared" si="0"/>
        <v/>
      </c>
      <c r="B50" s="27" t="s">
        <v>69</v>
      </c>
      <c r="C50" s="25" t="s">
        <v>47</v>
      </c>
      <c r="D50" s="32" t="str">
        <f>IFERROR(INDEX(Database!C:C,MATCH(Stock[[#This Row],[Stock]],Database!B:B,0)),"")</f>
        <v/>
      </c>
      <c r="E50" s="32" t="str">
        <f>IFERROR(INDEX(Database!D:D,MATCH(Stock[[#This Row],[Stock]],Database!B:B,0)),"")</f>
        <v/>
      </c>
      <c r="F50" s="27">
        <v>43924</v>
      </c>
      <c r="G50" s="39">
        <f>IF(Stock[[#This Row],[Purchase Date]]="","",Stock[[#This Row],[Purchase Date]])</f>
        <v>43924</v>
      </c>
      <c r="H50" s="28">
        <v>276</v>
      </c>
      <c r="I50" s="34" t="str">
        <f>IFERROR(INDEX(Database!E:E,MATCH(Stock[[#This Row],[Stock]],Database!B:B,0)),"")</f>
        <v/>
      </c>
      <c r="J50" s="35" t="str">
        <f>IF(OR(Stock[[#This Row],[Purchasing Price]]="",Stock[[#This Row],[Shares]]=""),"",Stock[[#This Row],[Purchasing Price]]*Stock[[#This Row],[Shares]])</f>
        <v/>
      </c>
      <c r="K50" s="40">
        <v>12</v>
      </c>
      <c r="L50" s="36" t="str">
        <f>IF(OR(Stock[[#This Row],[Current Price]]="",Stock[[#This Row],[Purchasing Price]]=""),"",Stock[[#This Row],[Current Price]]-Stock[[#This Row],[Purchasing Price]])</f>
        <v/>
      </c>
      <c r="M50" s="41">
        <f>IF(OR(Stock[[#This Row],[Current Price]]="",Stock[[#This Row],[Shares]]=""),"",Stock[[#This Row],[Current Price]]*Stock[[#This Row],[Shares]])</f>
        <v>3312</v>
      </c>
      <c r="N50" s="34">
        <f>SUMIF(C:C,Stock[[#This Row],[Stock]],O:O)</f>
        <v>0</v>
      </c>
      <c r="O50" s="35" t="str">
        <f>IF(OR(Stock[[#This Row],[Gross Current Value]]="",Stock[[#This Row],[Total Value]]=""),"",Stock[[#This Row],[Gross Current Value]]-Stock[[#This Row],[Total Value]])</f>
        <v/>
      </c>
      <c r="P50" s="38" t="str">
        <f>IF(OR(Stock[[#This Row],[Gain(Lose) Value]]="",Stock[[#This Row],[Total Value]]=""),"",Stock[[#This Row],[Gain(Lose) Value]]/Stock[[#This Row],[Total Value]])</f>
        <v/>
      </c>
    </row>
    <row r="51" spans="1:16" ht="30" customHeight="1" x14ac:dyDescent="0.2">
      <c r="A51" s="20" t="str">
        <f t="shared" si="0"/>
        <v/>
      </c>
      <c r="B51" s="27" t="s">
        <v>71</v>
      </c>
      <c r="C51" s="25" t="s">
        <v>55</v>
      </c>
      <c r="D51" s="32" t="str">
        <f>IFERROR(INDEX(Database!C:C,MATCH(Stock[[#This Row],[Stock]],Database!B:B,0)),"")</f>
        <v>DDD</v>
      </c>
      <c r="E51" s="32" t="str">
        <f>IFERROR(INDEX(Database!D:D,MATCH(Stock[[#This Row],[Stock]],Database!B:B,0)),"")</f>
        <v>Sector 3</v>
      </c>
      <c r="F51" s="27">
        <v>44191</v>
      </c>
      <c r="G51" s="39">
        <f>IF(Stock[[#This Row],[Purchase Date]]="","",Stock[[#This Row],[Purchase Date]])</f>
        <v>44191</v>
      </c>
      <c r="H51" s="28">
        <v>493</v>
      </c>
      <c r="I51" s="34">
        <f>IFERROR(INDEX(Database!E:E,MATCH(Stock[[#This Row],[Stock]],Database!B:B,0)),"")</f>
        <v>12.6</v>
      </c>
      <c r="J51" s="35">
        <f>IF(OR(Stock[[#This Row],[Purchasing Price]]="",Stock[[#This Row],[Shares]]=""),"",Stock[[#This Row],[Purchasing Price]]*Stock[[#This Row],[Shares]])</f>
        <v>6211.8</v>
      </c>
      <c r="K51" s="40">
        <v>11</v>
      </c>
      <c r="L51" s="36">
        <f>IF(OR(Stock[[#This Row],[Current Price]]="",Stock[[#This Row],[Purchasing Price]]=""),"",Stock[[#This Row],[Current Price]]-Stock[[#This Row],[Purchasing Price]])</f>
        <v>-1.5999999999999996</v>
      </c>
      <c r="M51" s="41">
        <f>IF(OR(Stock[[#This Row],[Current Price]]="",Stock[[#This Row],[Shares]]=""),"",Stock[[#This Row],[Current Price]]*Stock[[#This Row],[Shares]])</f>
        <v>5423</v>
      </c>
      <c r="N51" s="34">
        <f>SUMIF(C:C,Stock[[#This Row],[Stock]],O:O)</f>
        <v>1015.0000000000005</v>
      </c>
      <c r="O51" s="35">
        <f>IF(OR(Stock[[#This Row],[Gross Current Value]]="",Stock[[#This Row],[Total Value]]=""),"",Stock[[#This Row],[Gross Current Value]]-Stock[[#This Row],[Total Value]])</f>
        <v>-788.80000000000018</v>
      </c>
      <c r="P51" s="38">
        <f>IF(OR(Stock[[#This Row],[Gain(Lose) Value]]="",Stock[[#This Row],[Total Value]]=""),"",Stock[[#This Row],[Gain(Lose) Value]]/Stock[[#This Row],[Total Value]])</f>
        <v>-0.126984126984127</v>
      </c>
    </row>
    <row r="52" spans="1:16" ht="30" customHeight="1" x14ac:dyDescent="0.2">
      <c r="A52" s="20" t="str">
        <f t="shared" si="0"/>
        <v/>
      </c>
      <c r="B52" s="27" t="s">
        <v>70</v>
      </c>
      <c r="C52" s="25" t="s">
        <v>59</v>
      </c>
      <c r="D52" s="32" t="str">
        <f>IFERROR(INDEX(Database!C:C,MATCH(Stock[[#This Row],[Stock]],Database!B:B,0)),"")</f>
        <v>BCA</v>
      </c>
      <c r="E52" s="32" t="str">
        <f>IFERROR(INDEX(Database!D:D,MATCH(Stock[[#This Row],[Stock]],Database!B:B,0)),"")</f>
        <v>Sector 3</v>
      </c>
      <c r="F52" s="27">
        <v>43979</v>
      </c>
      <c r="G52" s="39">
        <f>IF(Stock[[#This Row],[Purchase Date]]="","",Stock[[#This Row],[Purchase Date]])</f>
        <v>43979</v>
      </c>
      <c r="H52" s="28">
        <v>278</v>
      </c>
      <c r="I52" s="34">
        <f>IFERROR(INDEX(Database!E:E,MATCH(Stock[[#This Row],[Stock]],Database!B:B,0)),"")</f>
        <v>8.9</v>
      </c>
      <c r="J52" s="35">
        <f>IF(OR(Stock[[#This Row],[Purchasing Price]]="",Stock[[#This Row],[Shares]]=""),"",Stock[[#This Row],[Purchasing Price]]*Stock[[#This Row],[Shares]])</f>
        <v>2474.2000000000003</v>
      </c>
      <c r="K52" s="40">
        <v>12</v>
      </c>
      <c r="L52" s="36">
        <f>IF(OR(Stock[[#This Row],[Current Price]]="",Stock[[#This Row],[Purchasing Price]]=""),"",Stock[[#This Row],[Current Price]]-Stock[[#This Row],[Purchasing Price]])</f>
        <v>3.0999999999999996</v>
      </c>
      <c r="M52" s="41">
        <f>IF(OR(Stock[[#This Row],[Current Price]]="",Stock[[#This Row],[Shares]]=""),"",Stock[[#This Row],[Current Price]]*Stock[[#This Row],[Shares]])</f>
        <v>3336</v>
      </c>
      <c r="N52" s="34">
        <f>SUMIF(C:C,Stock[[#This Row],[Stock]],O:O)</f>
        <v>1996.7999999999988</v>
      </c>
      <c r="O52" s="35">
        <f>IF(OR(Stock[[#This Row],[Gross Current Value]]="",Stock[[#This Row],[Total Value]]=""),"",Stock[[#This Row],[Gross Current Value]]-Stock[[#This Row],[Total Value]])</f>
        <v>861.79999999999973</v>
      </c>
      <c r="P52" s="38">
        <f>IF(OR(Stock[[#This Row],[Gain(Lose) Value]]="",Stock[[#This Row],[Total Value]]=""),"",Stock[[#This Row],[Gain(Lose) Value]]/Stock[[#This Row],[Total Value]])</f>
        <v>0.34831460674157289</v>
      </c>
    </row>
    <row r="53" spans="1:16" ht="30" customHeight="1" x14ac:dyDescent="0.2">
      <c r="A53" s="20" t="str">
        <f t="shared" si="0"/>
        <v/>
      </c>
      <c r="B53" s="27" t="s">
        <v>70</v>
      </c>
      <c r="C53" s="25" t="s">
        <v>49</v>
      </c>
      <c r="D53" s="32" t="str">
        <f>IFERROR(INDEX(Database!C:C,MATCH(Stock[[#This Row],[Stock]],Database!B:B,0)),"")</f>
        <v>CDA</v>
      </c>
      <c r="E53" s="32" t="str">
        <f>IFERROR(INDEX(Database!D:D,MATCH(Stock[[#This Row],[Stock]],Database!B:B,0)),"")</f>
        <v>Sector 4</v>
      </c>
      <c r="F53" s="27">
        <v>44137</v>
      </c>
      <c r="G53" s="39">
        <f>IF(Stock[[#This Row],[Purchase Date]]="","",Stock[[#This Row],[Purchase Date]])</f>
        <v>44137</v>
      </c>
      <c r="H53" s="28">
        <v>451</v>
      </c>
      <c r="I53" s="34">
        <f>IFERROR(INDEX(Database!E:E,MATCH(Stock[[#This Row],[Stock]],Database!B:B,0)),"")</f>
        <v>15.4</v>
      </c>
      <c r="J53" s="35">
        <f>IF(OR(Stock[[#This Row],[Purchasing Price]]="",Stock[[#This Row],[Shares]]=""),"",Stock[[#This Row],[Purchasing Price]]*Stock[[#This Row],[Shares]])</f>
        <v>6945.4000000000005</v>
      </c>
      <c r="K53" s="40">
        <v>17</v>
      </c>
      <c r="L53" s="36">
        <f>IF(OR(Stock[[#This Row],[Current Price]]="",Stock[[#This Row],[Purchasing Price]]=""),"",Stock[[#This Row],[Current Price]]-Stock[[#This Row],[Purchasing Price]])</f>
        <v>1.5999999999999996</v>
      </c>
      <c r="M53" s="41">
        <f>IF(OR(Stock[[#This Row],[Current Price]]="",Stock[[#This Row],[Shares]]=""),"",Stock[[#This Row],[Current Price]]*Stock[[#This Row],[Shares]])</f>
        <v>7667</v>
      </c>
      <c r="N53" s="34">
        <f>SUMIF(C:C,Stock[[#This Row],[Stock]],O:O)</f>
        <v>1203.5999999999967</v>
      </c>
      <c r="O53" s="35">
        <f>IF(OR(Stock[[#This Row],[Gross Current Value]]="",Stock[[#This Row],[Total Value]]=""),"",Stock[[#This Row],[Gross Current Value]]-Stock[[#This Row],[Total Value]])</f>
        <v>721.59999999999945</v>
      </c>
      <c r="P53" s="38">
        <f>IF(OR(Stock[[#This Row],[Gain(Lose) Value]]="",Stock[[#This Row],[Total Value]]=""),"",Stock[[#This Row],[Gain(Lose) Value]]/Stock[[#This Row],[Total Value]])</f>
        <v>0.10389610389610381</v>
      </c>
    </row>
    <row r="54" spans="1:16" ht="30" customHeight="1" x14ac:dyDescent="0.2">
      <c r="A54" s="20" t="str">
        <f t="shared" si="0"/>
        <v/>
      </c>
      <c r="B54" s="27" t="s">
        <v>70</v>
      </c>
      <c r="C54" s="25" t="s">
        <v>56</v>
      </c>
      <c r="D54" s="32" t="str">
        <f>IFERROR(INDEX(Database!C:C,MATCH(Stock[[#This Row],[Stock]],Database!B:B,0)),"")</f>
        <v>CBC</v>
      </c>
      <c r="E54" s="32" t="str">
        <f>IFERROR(INDEX(Database!D:D,MATCH(Stock[[#This Row],[Stock]],Database!B:B,0)),"")</f>
        <v>Sector 2</v>
      </c>
      <c r="F54" s="27">
        <v>43982</v>
      </c>
      <c r="G54" s="39">
        <f>IF(Stock[[#This Row],[Purchase Date]]="","",Stock[[#This Row],[Purchase Date]])</f>
        <v>43982</v>
      </c>
      <c r="H54" s="28">
        <v>436</v>
      </c>
      <c r="I54" s="34">
        <f>IFERROR(INDEX(Database!E:E,MATCH(Stock[[#This Row],[Stock]],Database!B:B,0)),"")</f>
        <v>17</v>
      </c>
      <c r="J54" s="35">
        <f>IF(OR(Stock[[#This Row],[Purchasing Price]]="",Stock[[#This Row],[Shares]]=""),"",Stock[[#This Row],[Purchasing Price]]*Stock[[#This Row],[Shares]])</f>
        <v>7412</v>
      </c>
      <c r="K54" s="40">
        <v>18</v>
      </c>
      <c r="L54" s="36">
        <f>IF(OR(Stock[[#This Row],[Current Price]]="",Stock[[#This Row],[Purchasing Price]]=""),"",Stock[[#This Row],[Current Price]]-Stock[[#This Row],[Purchasing Price]])</f>
        <v>1</v>
      </c>
      <c r="M54" s="41">
        <f>IF(OR(Stock[[#This Row],[Current Price]]="",Stock[[#This Row],[Shares]]=""),"",Stock[[#This Row],[Current Price]]*Stock[[#This Row],[Shares]])</f>
        <v>7848</v>
      </c>
      <c r="N54" s="34">
        <f>SUMIF(C:C,Stock[[#This Row],[Stock]],O:O)</f>
        <v>-1769.6999999999998</v>
      </c>
      <c r="O54" s="35">
        <f>IF(OR(Stock[[#This Row],[Gross Current Value]]="",Stock[[#This Row],[Total Value]]=""),"",Stock[[#This Row],[Gross Current Value]]-Stock[[#This Row],[Total Value]])</f>
        <v>436</v>
      </c>
      <c r="P54" s="38">
        <f>IF(OR(Stock[[#This Row],[Gain(Lose) Value]]="",Stock[[#This Row],[Total Value]]=""),"",Stock[[#This Row],[Gain(Lose) Value]]/Stock[[#This Row],[Total Value]])</f>
        <v>5.8823529411764705E-2</v>
      </c>
    </row>
    <row r="55" spans="1:16" ht="30" customHeight="1" x14ac:dyDescent="0.2">
      <c r="A55" s="20" t="str">
        <f t="shared" si="0"/>
        <v/>
      </c>
      <c r="B55" s="27" t="s">
        <v>70</v>
      </c>
      <c r="C55" s="25" t="s">
        <v>49</v>
      </c>
      <c r="D55" s="32" t="str">
        <f>IFERROR(INDEX(Database!C:C,MATCH(Stock[[#This Row],[Stock]],Database!B:B,0)),"")</f>
        <v>CDA</v>
      </c>
      <c r="E55" s="32" t="str">
        <f>IFERROR(INDEX(Database!D:D,MATCH(Stock[[#This Row],[Stock]],Database!B:B,0)),"")</f>
        <v>Sector 4</v>
      </c>
      <c r="F55" s="27">
        <v>44127</v>
      </c>
      <c r="G55" s="39">
        <f>IF(Stock[[#This Row],[Purchase Date]]="","",Stock[[#This Row],[Purchase Date]])</f>
        <v>44127</v>
      </c>
      <c r="H55" s="28">
        <v>292</v>
      </c>
      <c r="I55" s="34">
        <f>IFERROR(INDEX(Database!E:E,MATCH(Stock[[#This Row],[Stock]],Database!B:B,0)),"")</f>
        <v>15.4</v>
      </c>
      <c r="J55" s="35">
        <f>IF(OR(Stock[[#This Row],[Purchasing Price]]="",Stock[[#This Row],[Shares]]=""),"",Stock[[#This Row],[Purchasing Price]]*Stock[[#This Row],[Shares]])</f>
        <v>4496.8</v>
      </c>
      <c r="K55" s="40">
        <v>16</v>
      </c>
      <c r="L55" s="36">
        <f>IF(OR(Stock[[#This Row],[Current Price]]="",Stock[[#This Row],[Purchasing Price]]=""),"",Stock[[#This Row],[Current Price]]-Stock[[#This Row],[Purchasing Price]])</f>
        <v>0.59999999999999964</v>
      </c>
      <c r="M55" s="41">
        <f>IF(OR(Stock[[#This Row],[Current Price]]="",Stock[[#This Row],[Shares]]=""),"",Stock[[#This Row],[Current Price]]*Stock[[#This Row],[Shares]])</f>
        <v>4672</v>
      </c>
      <c r="N55" s="34">
        <f>SUMIF(C:C,Stock[[#This Row],[Stock]],O:O)</f>
        <v>1203.5999999999967</v>
      </c>
      <c r="O55" s="35">
        <f>IF(OR(Stock[[#This Row],[Gross Current Value]]="",Stock[[#This Row],[Total Value]]=""),"",Stock[[#This Row],[Gross Current Value]]-Stock[[#This Row],[Total Value]])</f>
        <v>175.19999999999982</v>
      </c>
      <c r="P55" s="38">
        <f>IF(OR(Stock[[#This Row],[Gain(Lose) Value]]="",Stock[[#This Row],[Total Value]]=""),"",Stock[[#This Row],[Gain(Lose) Value]]/Stock[[#This Row],[Total Value]])</f>
        <v>3.8961038961038919E-2</v>
      </c>
    </row>
    <row r="56" spans="1:16" ht="30" customHeight="1" x14ac:dyDescent="0.2">
      <c r="A56" s="20" t="str">
        <f t="shared" si="0"/>
        <v/>
      </c>
      <c r="B56" s="27" t="s">
        <v>69</v>
      </c>
      <c r="C56" s="25" t="s">
        <v>50</v>
      </c>
      <c r="D56" s="32" t="str">
        <f>IFERROR(INDEX(Database!C:C,MATCH(Stock[[#This Row],[Stock]],Database!B:B,0)),"")</f>
        <v>DBA</v>
      </c>
      <c r="E56" s="32" t="str">
        <f>IFERROR(INDEX(Database!D:D,MATCH(Stock[[#This Row],[Stock]],Database!B:B,0)),"")</f>
        <v>Sector 2</v>
      </c>
      <c r="F56" s="27">
        <v>43949</v>
      </c>
      <c r="G56" s="39">
        <f>IF(Stock[[#This Row],[Purchase Date]]="","",Stock[[#This Row],[Purchase Date]])</f>
        <v>43949</v>
      </c>
      <c r="H56" s="28">
        <v>457</v>
      </c>
      <c r="I56" s="34">
        <f>IFERROR(INDEX(Database!E:E,MATCH(Stock[[#This Row],[Stock]],Database!B:B,0)),"")</f>
        <v>7.8</v>
      </c>
      <c r="J56" s="35">
        <f>IF(OR(Stock[[#This Row],[Purchasing Price]]="",Stock[[#This Row],[Shares]]=""),"",Stock[[#This Row],[Purchasing Price]]*Stock[[#This Row],[Shares]])</f>
        <v>3564.6</v>
      </c>
      <c r="K56" s="40">
        <v>7</v>
      </c>
      <c r="L56" s="36">
        <f>IF(OR(Stock[[#This Row],[Current Price]]="",Stock[[#This Row],[Purchasing Price]]=""),"",Stock[[#This Row],[Current Price]]-Stock[[#This Row],[Purchasing Price]])</f>
        <v>-0.79999999999999982</v>
      </c>
      <c r="M56" s="41">
        <f>IF(OR(Stock[[#This Row],[Current Price]]="",Stock[[#This Row],[Shares]]=""),"",Stock[[#This Row],[Current Price]]*Stock[[#This Row],[Shares]])</f>
        <v>3199</v>
      </c>
      <c r="N56" s="34">
        <f>SUMIF(C:C,Stock[[#This Row],[Stock]],O:O)</f>
        <v>-528.59999999999991</v>
      </c>
      <c r="O56" s="35">
        <f>IF(OR(Stock[[#This Row],[Gross Current Value]]="",Stock[[#This Row],[Total Value]]=""),"",Stock[[#This Row],[Gross Current Value]]-Stock[[#This Row],[Total Value]])</f>
        <v>-365.59999999999991</v>
      </c>
      <c r="P56" s="38">
        <f>IF(OR(Stock[[#This Row],[Gain(Lose) Value]]="",Stock[[#This Row],[Total Value]]=""),"",Stock[[#This Row],[Gain(Lose) Value]]/Stock[[#This Row],[Total Value]])</f>
        <v>-0.10256410256410255</v>
      </c>
    </row>
    <row r="57" spans="1:16" ht="30" customHeight="1" x14ac:dyDescent="0.2">
      <c r="A57" s="20" t="str">
        <f t="shared" si="0"/>
        <v/>
      </c>
      <c r="B57" s="27" t="s">
        <v>69</v>
      </c>
      <c r="C57" s="25" t="s">
        <v>56</v>
      </c>
      <c r="D57" s="32" t="str">
        <f>IFERROR(INDEX(Database!C:C,MATCH(Stock[[#This Row],[Stock]],Database!B:B,0)),"")</f>
        <v>CBC</v>
      </c>
      <c r="E57" s="32" t="str">
        <f>IFERROR(INDEX(Database!D:D,MATCH(Stock[[#This Row],[Stock]],Database!B:B,0)),"")</f>
        <v>Sector 2</v>
      </c>
      <c r="F57" s="27">
        <v>44109</v>
      </c>
      <c r="G57" s="39">
        <f>IF(Stock[[#This Row],[Purchase Date]]="","",Stock[[#This Row],[Purchase Date]])</f>
        <v>44109</v>
      </c>
      <c r="H57" s="28">
        <v>253</v>
      </c>
      <c r="I57" s="34">
        <f>IFERROR(INDEX(Database!E:E,MATCH(Stock[[#This Row],[Stock]],Database!B:B,0)),"")</f>
        <v>17</v>
      </c>
      <c r="J57" s="35">
        <f>IF(OR(Stock[[#This Row],[Purchasing Price]]="",Stock[[#This Row],[Shares]]=""),"",Stock[[#This Row],[Purchasing Price]]*Stock[[#This Row],[Shares]])</f>
        <v>4301</v>
      </c>
      <c r="K57" s="40">
        <v>17</v>
      </c>
      <c r="L57" s="36">
        <f>IF(OR(Stock[[#This Row],[Current Price]]="",Stock[[#This Row],[Purchasing Price]]=""),"",Stock[[#This Row],[Current Price]]-Stock[[#This Row],[Purchasing Price]])</f>
        <v>0</v>
      </c>
      <c r="M57" s="41">
        <f>IF(OR(Stock[[#This Row],[Current Price]]="",Stock[[#This Row],[Shares]]=""),"",Stock[[#This Row],[Current Price]]*Stock[[#This Row],[Shares]])</f>
        <v>4301</v>
      </c>
      <c r="N57" s="34">
        <f>SUMIF(C:C,Stock[[#This Row],[Stock]],O:O)</f>
        <v>-1769.6999999999998</v>
      </c>
      <c r="O57" s="35">
        <f>IF(OR(Stock[[#This Row],[Gross Current Value]]="",Stock[[#This Row],[Total Value]]=""),"",Stock[[#This Row],[Gross Current Value]]-Stock[[#This Row],[Total Value]])</f>
        <v>0</v>
      </c>
      <c r="P57" s="38">
        <f>IF(OR(Stock[[#This Row],[Gain(Lose) Value]]="",Stock[[#This Row],[Total Value]]=""),"",Stock[[#This Row],[Gain(Lose) Value]]/Stock[[#This Row],[Total Value]])</f>
        <v>0</v>
      </c>
    </row>
    <row r="58" spans="1:16" ht="30" customHeight="1" x14ac:dyDescent="0.2">
      <c r="A58" s="20" t="str">
        <f t="shared" si="0"/>
        <v/>
      </c>
      <c r="B58" s="27" t="s">
        <v>70</v>
      </c>
      <c r="C58" s="25" t="s">
        <v>47</v>
      </c>
      <c r="D58" s="32" t="str">
        <f>IFERROR(INDEX(Database!C:C,MATCH(Stock[[#This Row],[Stock]],Database!B:B,0)),"")</f>
        <v/>
      </c>
      <c r="E58" s="32" t="str">
        <f>IFERROR(INDEX(Database!D:D,MATCH(Stock[[#This Row],[Stock]],Database!B:B,0)),"")</f>
        <v/>
      </c>
      <c r="F58" s="27">
        <v>44064</v>
      </c>
      <c r="G58" s="39">
        <f>IF(Stock[[#This Row],[Purchase Date]]="","",Stock[[#This Row],[Purchase Date]])</f>
        <v>44064</v>
      </c>
      <c r="H58" s="28">
        <v>206</v>
      </c>
      <c r="I58" s="34" t="str">
        <f>IFERROR(INDEX(Database!E:E,MATCH(Stock[[#This Row],[Stock]],Database!B:B,0)),"")</f>
        <v/>
      </c>
      <c r="J58" s="35" t="str">
        <f>IF(OR(Stock[[#This Row],[Purchasing Price]]="",Stock[[#This Row],[Shares]]=""),"",Stock[[#This Row],[Purchasing Price]]*Stock[[#This Row],[Shares]])</f>
        <v/>
      </c>
      <c r="K58" s="40">
        <v>12</v>
      </c>
      <c r="L58" s="36" t="str">
        <f>IF(OR(Stock[[#This Row],[Current Price]]="",Stock[[#This Row],[Purchasing Price]]=""),"",Stock[[#This Row],[Current Price]]-Stock[[#This Row],[Purchasing Price]])</f>
        <v/>
      </c>
      <c r="M58" s="41">
        <f>IF(OR(Stock[[#This Row],[Current Price]]="",Stock[[#This Row],[Shares]]=""),"",Stock[[#This Row],[Current Price]]*Stock[[#This Row],[Shares]])</f>
        <v>2472</v>
      </c>
      <c r="N58" s="34">
        <f>SUMIF(C:C,Stock[[#This Row],[Stock]],O:O)</f>
        <v>0</v>
      </c>
      <c r="O58" s="35" t="str">
        <f>IF(OR(Stock[[#This Row],[Gross Current Value]]="",Stock[[#This Row],[Total Value]]=""),"",Stock[[#This Row],[Gross Current Value]]-Stock[[#This Row],[Total Value]])</f>
        <v/>
      </c>
      <c r="P58" s="38" t="str">
        <f>IF(OR(Stock[[#This Row],[Gain(Lose) Value]]="",Stock[[#This Row],[Total Value]]=""),"",Stock[[#This Row],[Gain(Lose) Value]]/Stock[[#This Row],[Total Value]])</f>
        <v/>
      </c>
    </row>
    <row r="59" spans="1:16" ht="30" customHeight="1" x14ac:dyDescent="0.2">
      <c r="A59" s="20" t="str">
        <f t="shared" si="0"/>
        <v/>
      </c>
      <c r="B59" s="27" t="s">
        <v>69</v>
      </c>
      <c r="C59" s="25" t="s">
        <v>49</v>
      </c>
      <c r="D59" s="32" t="str">
        <f>IFERROR(INDEX(Database!C:C,MATCH(Stock[[#This Row],[Stock]],Database!B:B,0)),"")</f>
        <v>CDA</v>
      </c>
      <c r="E59" s="32" t="str">
        <f>IFERROR(INDEX(Database!D:D,MATCH(Stock[[#This Row],[Stock]],Database!B:B,0)),"")</f>
        <v>Sector 4</v>
      </c>
      <c r="F59" s="27">
        <v>43970</v>
      </c>
      <c r="G59" s="39">
        <f>IF(Stock[[#This Row],[Purchase Date]]="","",Stock[[#This Row],[Purchase Date]])</f>
        <v>43970</v>
      </c>
      <c r="H59" s="28">
        <v>229</v>
      </c>
      <c r="I59" s="34">
        <f>IFERROR(INDEX(Database!E:E,MATCH(Stock[[#This Row],[Stock]],Database!B:B,0)),"")</f>
        <v>15.4</v>
      </c>
      <c r="J59" s="35">
        <f>IF(OR(Stock[[#This Row],[Purchasing Price]]="",Stock[[#This Row],[Shares]]=""),"",Stock[[#This Row],[Purchasing Price]]*Stock[[#This Row],[Shares]])</f>
        <v>3526.6</v>
      </c>
      <c r="K59" s="40">
        <v>15</v>
      </c>
      <c r="L59" s="36">
        <f>IF(OR(Stock[[#This Row],[Current Price]]="",Stock[[#This Row],[Purchasing Price]]=""),"",Stock[[#This Row],[Current Price]]-Stock[[#This Row],[Purchasing Price]])</f>
        <v>-0.40000000000000036</v>
      </c>
      <c r="M59" s="41">
        <f>IF(OR(Stock[[#This Row],[Current Price]]="",Stock[[#This Row],[Shares]]=""),"",Stock[[#This Row],[Current Price]]*Stock[[#This Row],[Shares]])</f>
        <v>3435</v>
      </c>
      <c r="N59" s="34">
        <f>SUMIF(C:C,Stock[[#This Row],[Stock]],O:O)</f>
        <v>1203.5999999999967</v>
      </c>
      <c r="O59" s="35">
        <f>IF(OR(Stock[[#This Row],[Gross Current Value]]="",Stock[[#This Row],[Total Value]]=""),"",Stock[[#This Row],[Gross Current Value]]-Stock[[#This Row],[Total Value]])</f>
        <v>-91.599999999999909</v>
      </c>
      <c r="P59" s="38">
        <f>IF(OR(Stock[[#This Row],[Gain(Lose) Value]]="",Stock[[#This Row],[Total Value]]=""),"",Stock[[#This Row],[Gain(Lose) Value]]/Stock[[#This Row],[Total Value]])</f>
        <v>-2.5974025974025948E-2</v>
      </c>
    </row>
    <row r="60" spans="1:16" ht="30" customHeight="1" x14ac:dyDescent="0.2">
      <c r="A60" s="20" t="str">
        <f t="shared" si="0"/>
        <v/>
      </c>
      <c r="B60" s="27" t="s">
        <v>70</v>
      </c>
      <c r="C60" s="25" t="s">
        <v>47</v>
      </c>
      <c r="D60" s="32" t="str">
        <f>IFERROR(INDEX(Database!C:C,MATCH(Stock[[#This Row],[Stock]],Database!B:B,0)),"")</f>
        <v/>
      </c>
      <c r="E60" s="32" t="str">
        <f>IFERROR(INDEX(Database!D:D,MATCH(Stock[[#This Row],[Stock]],Database!B:B,0)),"")</f>
        <v/>
      </c>
      <c r="F60" s="27">
        <v>44094</v>
      </c>
      <c r="G60" s="39">
        <f>IF(Stock[[#This Row],[Purchase Date]]="","",Stock[[#This Row],[Purchase Date]])</f>
        <v>44094</v>
      </c>
      <c r="H60" s="28">
        <v>351</v>
      </c>
      <c r="I60" s="34" t="str">
        <f>IFERROR(INDEX(Database!E:E,MATCH(Stock[[#This Row],[Stock]],Database!B:B,0)),"")</f>
        <v/>
      </c>
      <c r="J60" s="35" t="str">
        <f>IF(OR(Stock[[#This Row],[Purchasing Price]]="",Stock[[#This Row],[Shares]]=""),"",Stock[[#This Row],[Purchasing Price]]*Stock[[#This Row],[Shares]])</f>
        <v/>
      </c>
      <c r="K60" s="40">
        <v>13</v>
      </c>
      <c r="L60" s="36" t="str">
        <f>IF(OR(Stock[[#This Row],[Current Price]]="",Stock[[#This Row],[Purchasing Price]]=""),"",Stock[[#This Row],[Current Price]]-Stock[[#This Row],[Purchasing Price]])</f>
        <v/>
      </c>
      <c r="M60" s="41">
        <f>IF(OR(Stock[[#This Row],[Current Price]]="",Stock[[#This Row],[Shares]]=""),"",Stock[[#This Row],[Current Price]]*Stock[[#This Row],[Shares]])</f>
        <v>4563</v>
      </c>
      <c r="N60" s="34">
        <f>SUMIF(C:C,Stock[[#This Row],[Stock]],O:O)</f>
        <v>0</v>
      </c>
      <c r="O60" s="35" t="str">
        <f>IF(OR(Stock[[#This Row],[Gross Current Value]]="",Stock[[#This Row],[Total Value]]=""),"",Stock[[#This Row],[Gross Current Value]]-Stock[[#This Row],[Total Value]])</f>
        <v/>
      </c>
      <c r="P60" s="38" t="str">
        <f>IF(OR(Stock[[#This Row],[Gain(Lose) Value]]="",Stock[[#This Row],[Total Value]]=""),"",Stock[[#This Row],[Gain(Lose) Value]]/Stock[[#This Row],[Total Value]])</f>
        <v/>
      </c>
    </row>
    <row r="61" spans="1:16" ht="30" customHeight="1" x14ac:dyDescent="0.2">
      <c r="A61" s="20" t="str">
        <f t="shared" si="0"/>
        <v/>
      </c>
      <c r="B61" s="27" t="s">
        <v>71</v>
      </c>
      <c r="C61" s="25" t="s">
        <v>58</v>
      </c>
      <c r="D61" s="32" t="str">
        <f>IFERROR(INDEX(Database!C:C,MATCH(Stock[[#This Row],[Stock]],Database!B:B,0)),"")</f>
        <v>BBB</v>
      </c>
      <c r="E61" s="32" t="str">
        <f>IFERROR(INDEX(Database!D:D,MATCH(Stock[[#This Row],[Stock]],Database!B:B,0)),"")</f>
        <v>Sector 2</v>
      </c>
      <c r="F61" s="27">
        <v>43906</v>
      </c>
      <c r="G61" s="39">
        <f>IF(Stock[[#This Row],[Purchase Date]]="","",Stock[[#This Row],[Purchase Date]])</f>
        <v>43906</v>
      </c>
      <c r="H61" s="28">
        <v>311</v>
      </c>
      <c r="I61" s="34">
        <f>IFERROR(INDEX(Database!E:E,MATCH(Stock[[#This Row],[Stock]],Database!B:B,0)),"")</f>
        <v>14</v>
      </c>
      <c r="J61" s="35">
        <f>IF(OR(Stock[[#This Row],[Purchasing Price]]="",Stock[[#This Row],[Shares]]=""),"",Stock[[#This Row],[Purchasing Price]]*Stock[[#This Row],[Shares]])</f>
        <v>4354</v>
      </c>
      <c r="K61" s="40">
        <v>15</v>
      </c>
      <c r="L61" s="36">
        <f>IF(OR(Stock[[#This Row],[Current Price]]="",Stock[[#This Row],[Purchasing Price]]=""),"",Stock[[#This Row],[Current Price]]-Stock[[#This Row],[Purchasing Price]])</f>
        <v>1</v>
      </c>
      <c r="M61" s="41">
        <f>IF(OR(Stock[[#This Row],[Current Price]]="",Stock[[#This Row],[Shares]]=""),"",Stock[[#This Row],[Current Price]]*Stock[[#This Row],[Shares]])</f>
        <v>4665</v>
      </c>
      <c r="N61" s="34">
        <f>SUMIF(C:C,Stock[[#This Row],[Stock]],O:O)</f>
        <v>1897</v>
      </c>
      <c r="O61" s="35">
        <f>IF(OR(Stock[[#This Row],[Gross Current Value]]="",Stock[[#This Row],[Total Value]]=""),"",Stock[[#This Row],[Gross Current Value]]-Stock[[#This Row],[Total Value]])</f>
        <v>311</v>
      </c>
      <c r="P61" s="38">
        <f>IF(OR(Stock[[#This Row],[Gain(Lose) Value]]="",Stock[[#This Row],[Total Value]]=""),"",Stock[[#This Row],[Gain(Lose) Value]]/Stock[[#This Row],[Total Value]])</f>
        <v>7.1428571428571425E-2</v>
      </c>
    </row>
    <row r="62" spans="1:16" ht="30" customHeight="1" x14ac:dyDescent="0.2">
      <c r="A62" s="20" t="str">
        <f t="shared" si="0"/>
        <v/>
      </c>
      <c r="B62" s="27" t="s">
        <v>70</v>
      </c>
      <c r="C62" s="25" t="s">
        <v>57</v>
      </c>
      <c r="D62" s="32" t="str">
        <f>IFERROR(INDEX(Database!C:C,MATCH(Stock[[#This Row],[Stock]],Database!B:B,0)),"")</f>
        <v>ACC</v>
      </c>
      <c r="E62" s="32" t="str">
        <f>IFERROR(INDEX(Database!D:D,MATCH(Stock[[#This Row],[Stock]],Database!B:B,0)),"")</f>
        <v>Sector 4</v>
      </c>
      <c r="F62" s="27">
        <v>43913</v>
      </c>
      <c r="G62" s="39">
        <f>IF(Stock[[#This Row],[Purchase Date]]="","",Stock[[#This Row],[Purchase Date]])</f>
        <v>43913</v>
      </c>
      <c r="H62" s="28">
        <v>364</v>
      </c>
      <c r="I62" s="34">
        <f>IFERROR(INDEX(Database!E:E,MATCH(Stock[[#This Row],[Stock]],Database!B:B,0)),"")</f>
        <v>15</v>
      </c>
      <c r="J62" s="35">
        <f>IF(OR(Stock[[#This Row],[Purchasing Price]]="",Stock[[#This Row],[Shares]]=""),"",Stock[[#This Row],[Purchasing Price]]*Stock[[#This Row],[Shares]])</f>
        <v>5460</v>
      </c>
      <c r="K62" s="40">
        <v>15</v>
      </c>
      <c r="L62" s="36">
        <f>IF(OR(Stock[[#This Row],[Current Price]]="",Stock[[#This Row],[Purchasing Price]]=""),"",Stock[[#This Row],[Current Price]]-Stock[[#This Row],[Purchasing Price]])</f>
        <v>0</v>
      </c>
      <c r="M62" s="41">
        <f>IF(OR(Stock[[#This Row],[Current Price]]="",Stock[[#This Row],[Shares]]=""),"",Stock[[#This Row],[Current Price]]*Stock[[#This Row],[Shares]])</f>
        <v>5460</v>
      </c>
      <c r="N62" s="34">
        <f>SUMIF(C:C,Stock[[#This Row],[Stock]],O:O)</f>
        <v>-510</v>
      </c>
      <c r="O62" s="35">
        <f>IF(OR(Stock[[#This Row],[Gross Current Value]]="",Stock[[#This Row],[Total Value]]=""),"",Stock[[#This Row],[Gross Current Value]]-Stock[[#This Row],[Total Value]])</f>
        <v>0</v>
      </c>
      <c r="P62" s="38">
        <f>IF(OR(Stock[[#This Row],[Gain(Lose) Value]]="",Stock[[#This Row],[Total Value]]=""),"",Stock[[#This Row],[Gain(Lose) Value]]/Stock[[#This Row],[Total Value]])</f>
        <v>0</v>
      </c>
    </row>
    <row r="63" spans="1:16" ht="30" customHeight="1" x14ac:dyDescent="0.2">
      <c r="A63" s="20" t="str">
        <f t="shared" si="0"/>
        <v/>
      </c>
      <c r="B63" s="27" t="s">
        <v>69</v>
      </c>
      <c r="C63" s="25" t="s">
        <v>58</v>
      </c>
      <c r="D63" s="32" t="str">
        <f>IFERROR(INDEX(Database!C:C,MATCH(Stock[[#This Row],[Stock]],Database!B:B,0)),"")</f>
        <v>BBB</v>
      </c>
      <c r="E63" s="32" t="str">
        <f>IFERROR(INDEX(Database!D:D,MATCH(Stock[[#This Row],[Stock]],Database!B:B,0)),"")</f>
        <v>Sector 2</v>
      </c>
      <c r="F63" s="27">
        <v>44003</v>
      </c>
      <c r="G63" s="39">
        <f>IF(Stock[[#This Row],[Purchase Date]]="","",Stock[[#This Row],[Purchase Date]])</f>
        <v>44003</v>
      </c>
      <c r="H63" s="28">
        <v>339</v>
      </c>
      <c r="I63" s="34">
        <f>IFERROR(INDEX(Database!E:E,MATCH(Stock[[#This Row],[Stock]],Database!B:B,0)),"")</f>
        <v>14</v>
      </c>
      <c r="J63" s="35">
        <f>IF(OR(Stock[[#This Row],[Purchasing Price]]="",Stock[[#This Row],[Shares]]=""),"",Stock[[#This Row],[Purchasing Price]]*Stock[[#This Row],[Shares]])</f>
        <v>4746</v>
      </c>
      <c r="K63" s="40">
        <v>13</v>
      </c>
      <c r="L63" s="36">
        <f>IF(OR(Stock[[#This Row],[Current Price]]="",Stock[[#This Row],[Purchasing Price]]=""),"",Stock[[#This Row],[Current Price]]-Stock[[#This Row],[Purchasing Price]])</f>
        <v>-1</v>
      </c>
      <c r="M63" s="41">
        <f>IF(OR(Stock[[#This Row],[Current Price]]="",Stock[[#This Row],[Shares]]=""),"",Stock[[#This Row],[Current Price]]*Stock[[#This Row],[Shares]])</f>
        <v>4407</v>
      </c>
      <c r="N63" s="34">
        <f>SUMIF(C:C,Stock[[#This Row],[Stock]],O:O)</f>
        <v>1897</v>
      </c>
      <c r="O63" s="35">
        <f>IF(OR(Stock[[#This Row],[Gross Current Value]]="",Stock[[#This Row],[Total Value]]=""),"",Stock[[#This Row],[Gross Current Value]]-Stock[[#This Row],[Total Value]])</f>
        <v>-339</v>
      </c>
      <c r="P63" s="38">
        <f>IF(OR(Stock[[#This Row],[Gain(Lose) Value]]="",Stock[[#This Row],[Total Value]]=""),"",Stock[[#This Row],[Gain(Lose) Value]]/Stock[[#This Row],[Total Value]])</f>
        <v>-7.1428571428571425E-2</v>
      </c>
    </row>
    <row r="64" spans="1:16" ht="30" customHeight="1" x14ac:dyDescent="0.2">
      <c r="A64" s="20" t="str">
        <f t="shared" si="0"/>
        <v/>
      </c>
      <c r="B64" s="27" t="s">
        <v>69</v>
      </c>
      <c r="C64" s="25" t="s">
        <v>57</v>
      </c>
      <c r="D64" s="32" t="str">
        <f>IFERROR(INDEX(Database!C:C,MATCH(Stock[[#This Row],[Stock]],Database!B:B,0)),"")</f>
        <v>ACC</v>
      </c>
      <c r="E64" s="32" t="str">
        <f>IFERROR(INDEX(Database!D:D,MATCH(Stock[[#This Row],[Stock]],Database!B:B,0)),"")</f>
        <v>Sector 4</v>
      </c>
      <c r="F64" s="27">
        <v>43888</v>
      </c>
      <c r="G64" s="39">
        <f>IF(Stock[[#This Row],[Purchase Date]]="","",Stock[[#This Row],[Purchase Date]])</f>
        <v>43888</v>
      </c>
      <c r="H64" s="28">
        <v>220</v>
      </c>
      <c r="I64" s="34">
        <f>IFERROR(INDEX(Database!E:E,MATCH(Stock[[#This Row],[Stock]],Database!B:B,0)),"")</f>
        <v>15</v>
      </c>
      <c r="J64" s="35">
        <f>IF(OR(Stock[[#This Row],[Purchasing Price]]="",Stock[[#This Row],[Shares]]=""),"",Stock[[#This Row],[Purchasing Price]]*Stock[[#This Row],[Shares]])</f>
        <v>3300</v>
      </c>
      <c r="K64" s="40">
        <v>15</v>
      </c>
      <c r="L64" s="36">
        <f>IF(OR(Stock[[#This Row],[Current Price]]="",Stock[[#This Row],[Purchasing Price]]=""),"",Stock[[#This Row],[Current Price]]-Stock[[#This Row],[Purchasing Price]])</f>
        <v>0</v>
      </c>
      <c r="M64" s="41">
        <f>IF(OR(Stock[[#This Row],[Current Price]]="",Stock[[#This Row],[Shares]]=""),"",Stock[[#This Row],[Current Price]]*Stock[[#This Row],[Shares]])</f>
        <v>3300</v>
      </c>
      <c r="N64" s="34">
        <f>SUMIF(C:C,Stock[[#This Row],[Stock]],O:O)</f>
        <v>-510</v>
      </c>
      <c r="O64" s="35">
        <f>IF(OR(Stock[[#This Row],[Gross Current Value]]="",Stock[[#This Row],[Total Value]]=""),"",Stock[[#This Row],[Gross Current Value]]-Stock[[#This Row],[Total Value]])</f>
        <v>0</v>
      </c>
      <c r="P64" s="38">
        <f>IF(OR(Stock[[#This Row],[Gain(Lose) Value]]="",Stock[[#This Row],[Total Value]]=""),"",Stock[[#This Row],[Gain(Lose) Value]]/Stock[[#This Row],[Total Value]])</f>
        <v>0</v>
      </c>
    </row>
    <row r="65" spans="1:16" ht="30" customHeight="1" x14ac:dyDescent="0.2">
      <c r="A65" s="20" t="str">
        <f t="shared" si="0"/>
        <v/>
      </c>
      <c r="B65" s="27" t="s">
        <v>71</v>
      </c>
      <c r="C65" s="25" t="s">
        <v>55</v>
      </c>
      <c r="D65" s="32" t="str">
        <f>IFERROR(INDEX(Database!C:C,MATCH(Stock[[#This Row],[Stock]],Database!B:B,0)),"")</f>
        <v>DDD</v>
      </c>
      <c r="E65" s="32" t="str">
        <f>IFERROR(INDEX(Database!D:D,MATCH(Stock[[#This Row],[Stock]],Database!B:B,0)),"")</f>
        <v>Sector 3</v>
      </c>
      <c r="F65" s="27">
        <v>44192</v>
      </c>
      <c r="G65" s="39">
        <f>IF(Stock[[#This Row],[Purchase Date]]="","",Stock[[#This Row],[Purchase Date]])</f>
        <v>44192</v>
      </c>
      <c r="H65" s="28">
        <v>145</v>
      </c>
      <c r="I65" s="34">
        <f>IFERROR(INDEX(Database!E:E,MATCH(Stock[[#This Row],[Stock]],Database!B:B,0)),"")</f>
        <v>12.6</v>
      </c>
      <c r="J65" s="35">
        <f>IF(OR(Stock[[#This Row],[Purchasing Price]]="",Stock[[#This Row],[Shares]]=""),"",Stock[[#This Row],[Purchasing Price]]*Stock[[#This Row],[Shares]])</f>
        <v>1827</v>
      </c>
      <c r="K65" s="40">
        <v>12</v>
      </c>
      <c r="L65" s="36">
        <f>IF(OR(Stock[[#This Row],[Current Price]]="",Stock[[#This Row],[Purchasing Price]]=""),"",Stock[[#This Row],[Current Price]]-Stock[[#This Row],[Purchasing Price]])</f>
        <v>-0.59999999999999964</v>
      </c>
      <c r="M65" s="41">
        <f>IF(OR(Stock[[#This Row],[Current Price]]="",Stock[[#This Row],[Shares]]=""),"",Stock[[#This Row],[Current Price]]*Stock[[#This Row],[Shares]])</f>
        <v>1740</v>
      </c>
      <c r="N65" s="34">
        <f>SUMIF(C:C,Stock[[#This Row],[Stock]],O:O)</f>
        <v>1015.0000000000005</v>
      </c>
      <c r="O65" s="35">
        <f>IF(OR(Stock[[#This Row],[Gross Current Value]]="",Stock[[#This Row],[Total Value]]=""),"",Stock[[#This Row],[Gross Current Value]]-Stock[[#This Row],[Total Value]])</f>
        <v>-87</v>
      </c>
      <c r="P65" s="38">
        <f>IF(OR(Stock[[#This Row],[Gain(Lose) Value]]="",Stock[[#This Row],[Total Value]]=""),"",Stock[[#This Row],[Gain(Lose) Value]]/Stock[[#This Row],[Total Value]])</f>
        <v>-4.7619047619047616E-2</v>
      </c>
    </row>
    <row r="66" spans="1:16" ht="30" customHeight="1" x14ac:dyDescent="0.2">
      <c r="A66" s="20" t="str">
        <f t="shared" si="0"/>
        <v/>
      </c>
      <c r="B66" s="27" t="s">
        <v>70</v>
      </c>
      <c r="C66" s="25" t="s">
        <v>48</v>
      </c>
      <c r="D66" s="32" t="str">
        <f>IFERROR(INDEX(Database!C:C,MATCH(Stock[[#This Row],[Stock]],Database!B:B,0)),"")</f>
        <v>CCC</v>
      </c>
      <c r="E66" s="32" t="str">
        <f>IFERROR(INDEX(Database!D:D,MATCH(Stock[[#This Row],[Stock]],Database!B:B,0)),"")</f>
        <v>Sector 1</v>
      </c>
      <c r="F66" s="27">
        <v>44042</v>
      </c>
      <c r="G66" s="39">
        <f>IF(Stock[[#This Row],[Purchase Date]]="","",Stock[[#This Row],[Purchase Date]])</f>
        <v>44042</v>
      </c>
      <c r="H66" s="28">
        <v>291</v>
      </c>
      <c r="I66" s="34">
        <f>IFERROR(INDEX(Database!E:E,MATCH(Stock[[#This Row],[Stock]],Database!B:B,0)),"")</f>
        <v>10.8</v>
      </c>
      <c r="J66" s="35">
        <f>IF(OR(Stock[[#This Row],[Purchasing Price]]="",Stock[[#This Row],[Shares]]=""),"",Stock[[#This Row],[Purchasing Price]]*Stock[[#This Row],[Shares]])</f>
        <v>3142.8</v>
      </c>
      <c r="K66" s="40">
        <v>12</v>
      </c>
      <c r="L66" s="36">
        <f>IF(OR(Stock[[#This Row],[Current Price]]="",Stock[[#This Row],[Purchasing Price]]=""),"",Stock[[#This Row],[Current Price]]-Stock[[#This Row],[Purchasing Price]])</f>
        <v>1.1999999999999993</v>
      </c>
      <c r="M66" s="41">
        <f>IF(OR(Stock[[#This Row],[Current Price]]="",Stock[[#This Row],[Shares]]=""),"",Stock[[#This Row],[Current Price]]*Stock[[#This Row],[Shares]])</f>
        <v>3492</v>
      </c>
      <c r="N66" s="34">
        <f>SUMIF(C:C,Stock[[#This Row],[Stock]],O:O)</f>
        <v>-535.40000000000168</v>
      </c>
      <c r="O66" s="35">
        <f>IF(OR(Stock[[#This Row],[Gross Current Value]]="",Stock[[#This Row],[Total Value]]=""),"",Stock[[#This Row],[Gross Current Value]]-Stock[[#This Row],[Total Value]])</f>
        <v>349.19999999999982</v>
      </c>
      <c r="P66" s="38">
        <f>IF(OR(Stock[[#This Row],[Gain(Lose) Value]]="",Stock[[#This Row],[Total Value]]=""),"",Stock[[#This Row],[Gain(Lose) Value]]/Stock[[#This Row],[Total Value]])</f>
        <v>0.11111111111111105</v>
      </c>
    </row>
    <row r="67" spans="1:16" ht="30" customHeight="1" x14ac:dyDescent="0.2">
      <c r="A67" s="20" t="str">
        <f t="shared" si="0"/>
        <v/>
      </c>
      <c r="B67" s="27" t="s">
        <v>71</v>
      </c>
      <c r="C67" s="25" t="s">
        <v>49</v>
      </c>
      <c r="D67" s="32" t="str">
        <f>IFERROR(INDEX(Database!C:C,MATCH(Stock[[#This Row],[Stock]],Database!B:B,0)),"")</f>
        <v>CDA</v>
      </c>
      <c r="E67" s="32" t="str">
        <f>IFERROR(INDEX(Database!D:D,MATCH(Stock[[#This Row],[Stock]],Database!B:B,0)),"")</f>
        <v>Sector 4</v>
      </c>
      <c r="F67" s="27">
        <v>43891</v>
      </c>
      <c r="G67" s="39">
        <f>IF(Stock[[#This Row],[Purchase Date]]="","",Stock[[#This Row],[Purchase Date]])</f>
        <v>43891</v>
      </c>
      <c r="H67" s="28">
        <v>205</v>
      </c>
      <c r="I67" s="34">
        <f>IFERROR(INDEX(Database!E:E,MATCH(Stock[[#This Row],[Stock]],Database!B:B,0)),"")</f>
        <v>15.4</v>
      </c>
      <c r="J67" s="35">
        <f>IF(OR(Stock[[#This Row],[Purchasing Price]]="",Stock[[#This Row],[Shares]]=""),"",Stock[[#This Row],[Purchasing Price]]*Stock[[#This Row],[Shares]])</f>
        <v>3157</v>
      </c>
      <c r="K67" s="40">
        <v>14</v>
      </c>
      <c r="L67" s="36">
        <f>IF(OR(Stock[[#This Row],[Current Price]]="",Stock[[#This Row],[Purchasing Price]]=""),"",Stock[[#This Row],[Current Price]]-Stock[[#This Row],[Purchasing Price]])</f>
        <v>-1.4000000000000004</v>
      </c>
      <c r="M67" s="41">
        <f>IF(OR(Stock[[#This Row],[Current Price]]="",Stock[[#This Row],[Shares]]=""),"",Stock[[#This Row],[Current Price]]*Stock[[#This Row],[Shares]])</f>
        <v>2870</v>
      </c>
      <c r="N67" s="34">
        <f>SUMIF(C:C,Stock[[#This Row],[Stock]],O:O)</f>
        <v>1203.5999999999967</v>
      </c>
      <c r="O67" s="35">
        <f>IF(OR(Stock[[#This Row],[Gross Current Value]]="",Stock[[#This Row],[Total Value]]=""),"",Stock[[#This Row],[Gross Current Value]]-Stock[[#This Row],[Total Value]])</f>
        <v>-287</v>
      </c>
      <c r="P67" s="38">
        <f>IF(OR(Stock[[#This Row],[Gain(Lose) Value]]="",Stock[[#This Row],[Total Value]]=""),"",Stock[[#This Row],[Gain(Lose) Value]]/Stock[[#This Row],[Total Value]])</f>
        <v>-9.0909090909090912E-2</v>
      </c>
    </row>
    <row r="68" spans="1:16" ht="30" customHeight="1" x14ac:dyDescent="0.2">
      <c r="A68" s="20" t="str">
        <f t="shared" si="0"/>
        <v/>
      </c>
      <c r="B68" s="27" t="s">
        <v>71</v>
      </c>
      <c r="C68" s="25" t="s">
        <v>48</v>
      </c>
      <c r="D68" s="32" t="str">
        <f>IFERROR(INDEX(Database!C:C,MATCH(Stock[[#This Row],[Stock]],Database!B:B,0)),"")</f>
        <v>CCC</v>
      </c>
      <c r="E68" s="32" t="str">
        <f>IFERROR(INDEX(Database!D:D,MATCH(Stock[[#This Row],[Stock]],Database!B:B,0)),"")</f>
        <v>Sector 1</v>
      </c>
      <c r="F68" s="27">
        <v>43876</v>
      </c>
      <c r="G68" s="39">
        <f>IF(Stock[[#This Row],[Purchase Date]]="","",Stock[[#This Row],[Purchase Date]])</f>
        <v>43876</v>
      </c>
      <c r="H68" s="28">
        <v>375</v>
      </c>
      <c r="I68" s="34">
        <f>IFERROR(INDEX(Database!E:E,MATCH(Stock[[#This Row],[Stock]],Database!B:B,0)),"")</f>
        <v>10.8</v>
      </c>
      <c r="J68" s="35">
        <f>IF(OR(Stock[[#This Row],[Purchasing Price]]="",Stock[[#This Row],[Shares]]=""),"",Stock[[#This Row],[Purchasing Price]]*Stock[[#This Row],[Shares]])</f>
        <v>4050.0000000000005</v>
      </c>
      <c r="K68" s="40">
        <v>9</v>
      </c>
      <c r="L68" s="36">
        <f>IF(OR(Stock[[#This Row],[Current Price]]="",Stock[[#This Row],[Purchasing Price]]=""),"",Stock[[#This Row],[Current Price]]-Stock[[#This Row],[Purchasing Price]])</f>
        <v>-1.8000000000000007</v>
      </c>
      <c r="M68" s="41">
        <f>IF(OR(Stock[[#This Row],[Current Price]]="",Stock[[#This Row],[Shares]]=""),"",Stock[[#This Row],[Current Price]]*Stock[[#This Row],[Shares]])</f>
        <v>3375</v>
      </c>
      <c r="N68" s="34">
        <f>SUMIF(C:C,Stock[[#This Row],[Stock]],O:O)</f>
        <v>-535.40000000000168</v>
      </c>
      <c r="O68" s="35">
        <f>IF(OR(Stock[[#This Row],[Gross Current Value]]="",Stock[[#This Row],[Total Value]]=""),"",Stock[[#This Row],[Gross Current Value]]-Stock[[#This Row],[Total Value]])</f>
        <v>-675.00000000000045</v>
      </c>
      <c r="P68" s="38">
        <f>IF(OR(Stock[[#This Row],[Gain(Lose) Value]]="",Stock[[#This Row],[Total Value]]=""),"",Stock[[#This Row],[Gain(Lose) Value]]/Stock[[#This Row],[Total Value]])</f>
        <v>-0.16666666666666677</v>
      </c>
    </row>
    <row r="69" spans="1:16" ht="30" customHeight="1" x14ac:dyDescent="0.2">
      <c r="A69" s="20" t="str">
        <f t="shared" si="0"/>
        <v/>
      </c>
      <c r="B69" s="27" t="s">
        <v>70</v>
      </c>
      <c r="C69" s="25" t="s">
        <v>48</v>
      </c>
      <c r="D69" s="32" t="str">
        <f>IFERROR(INDEX(Database!C:C,MATCH(Stock[[#This Row],[Stock]],Database!B:B,0)),"")</f>
        <v>CCC</v>
      </c>
      <c r="E69" s="32" t="str">
        <f>IFERROR(INDEX(Database!D:D,MATCH(Stock[[#This Row],[Stock]],Database!B:B,0)),"")</f>
        <v>Sector 1</v>
      </c>
      <c r="F69" s="27">
        <v>43998</v>
      </c>
      <c r="G69" s="39">
        <f>IF(Stock[[#This Row],[Purchase Date]]="","",Stock[[#This Row],[Purchase Date]])</f>
        <v>43998</v>
      </c>
      <c r="H69" s="28">
        <v>411</v>
      </c>
      <c r="I69" s="34">
        <f>IFERROR(INDEX(Database!E:E,MATCH(Stock[[#This Row],[Stock]],Database!B:B,0)),"")</f>
        <v>10.8</v>
      </c>
      <c r="J69" s="35">
        <f>IF(OR(Stock[[#This Row],[Purchasing Price]]="",Stock[[#This Row],[Shares]]=""),"",Stock[[#This Row],[Purchasing Price]]*Stock[[#This Row],[Shares]])</f>
        <v>4438.8</v>
      </c>
      <c r="K69" s="40">
        <v>10.8</v>
      </c>
      <c r="L69" s="36">
        <f>IF(OR(Stock[[#This Row],[Current Price]]="",Stock[[#This Row],[Purchasing Price]]=""),"",Stock[[#This Row],[Current Price]]-Stock[[#This Row],[Purchasing Price]])</f>
        <v>0</v>
      </c>
      <c r="M69" s="41">
        <f>IF(OR(Stock[[#This Row],[Current Price]]="",Stock[[#This Row],[Shares]]=""),"",Stock[[#This Row],[Current Price]]*Stock[[#This Row],[Shares]])</f>
        <v>4438.8</v>
      </c>
      <c r="N69" s="34">
        <f>SUMIF(C:C,Stock[[#This Row],[Stock]],O:O)</f>
        <v>-535.40000000000168</v>
      </c>
      <c r="O69" s="35">
        <f>IF(OR(Stock[[#This Row],[Gross Current Value]]="",Stock[[#This Row],[Total Value]]=""),"",Stock[[#This Row],[Gross Current Value]]-Stock[[#This Row],[Total Value]])</f>
        <v>0</v>
      </c>
      <c r="P69" s="38">
        <f>IF(OR(Stock[[#This Row],[Gain(Lose) Value]]="",Stock[[#This Row],[Total Value]]=""),"",Stock[[#This Row],[Gain(Lose) Value]]/Stock[[#This Row],[Total Value]])</f>
        <v>0</v>
      </c>
    </row>
    <row r="70" spans="1:16" ht="30" customHeight="1" x14ac:dyDescent="0.2">
      <c r="A70" s="20" t="str">
        <f t="shared" si="0"/>
        <v/>
      </c>
      <c r="B70" s="27" t="s">
        <v>70</v>
      </c>
      <c r="C70" s="25" t="s">
        <v>50</v>
      </c>
      <c r="D70" s="32" t="str">
        <f>IFERROR(INDEX(Database!C:C,MATCH(Stock[[#This Row],[Stock]],Database!B:B,0)),"")</f>
        <v>DBA</v>
      </c>
      <c r="E70" s="32" t="str">
        <f>IFERROR(INDEX(Database!D:D,MATCH(Stock[[#This Row],[Stock]],Database!B:B,0)),"")</f>
        <v>Sector 2</v>
      </c>
      <c r="F70" s="27">
        <v>43888</v>
      </c>
      <c r="G70" s="39">
        <f>IF(Stock[[#This Row],[Purchase Date]]="","",Stock[[#This Row],[Purchase Date]])</f>
        <v>43888</v>
      </c>
      <c r="H70" s="28">
        <v>323</v>
      </c>
      <c r="I70" s="34">
        <f>IFERROR(INDEX(Database!E:E,MATCH(Stock[[#This Row],[Stock]],Database!B:B,0)),"")</f>
        <v>7.8</v>
      </c>
      <c r="J70" s="35">
        <f>IF(OR(Stock[[#This Row],[Purchasing Price]]="",Stock[[#This Row],[Shares]]=""),"",Stock[[#This Row],[Purchasing Price]]*Stock[[#This Row],[Shares]])</f>
        <v>2519.4</v>
      </c>
      <c r="K70" s="40">
        <v>7</v>
      </c>
      <c r="L70" s="36">
        <f>IF(OR(Stock[[#This Row],[Current Price]]="",Stock[[#This Row],[Purchasing Price]]=""),"",Stock[[#This Row],[Current Price]]-Stock[[#This Row],[Purchasing Price]])</f>
        <v>-0.79999999999999982</v>
      </c>
      <c r="M70" s="41">
        <f>IF(OR(Stock[[#This Row],[Current Price]]="",Stock[[#This Row],[Shares]]=""),"",Stock[[#This Row],[Current Price]]*Stock[[#This Row],[Shares]])</f>
        <v>2261</v>
      </c>
      <c r="N70" s="34">
        <f>SUMIF(C:C,Stock[[#This Row],[Stock]],O:O)</f>
        <v>-528.59999999999991</v>
      </c>
      <c r="O70" s="35">
        <f>IF(OR(Stock[[#This Row],[Gross Current Value]]="",Stock[[#This Row],[Total Value]]=""),"",Stock[[#This Row],[Gross Current Value]]-Stock[[#This Row],[Total Value]])</f>
        <v>-258.40000000000009</v>
      </c>
      <c r="P70" s="38">
        <f>IF(OR(Stock[[#This Row],[Gain(Lose) Value]]="",Stock[[#This Row],[Total Value]]=""),"",Stock[[#This Row],[Gain(Lose) Value]]/Stock[[#This Row],[Total Value]])</f>
        <v>-0.1025641025641026</v>
      </c>
    </row>
    <row r="71" spans="1:16" ht="30" customHeight="1" x14ac:dyDescent="0.2">
      <c r="A71" s="20" t="str">
        <f t="shared" si="0"/>
        <v/>
      </c>
      <c r="B71" s="27" t="s">
        <v>71</v>
      </c>
      <c r="C71" s="25" t="s">
        <v>57</v>
      </c>
      <c r="D71" s="32" t="str">
        <f>IFERROR(INDEX(Database!C:C,MATCH(Stock[[#This Row],[Stock]],Database!B:B,0)),"")</f>
        <v>ACC</v>
      </c>
      <c r="E71" s="32" t="str">
        <f>IFERROR(INDEX(Database!D:D,MATCH(Stock[[#This Row],[Stock]],Database!B:B,0)),"")</f>
        <v>Sector 4</v>
      </c>
      <c r="F71" s="27">
        <v>44084</v>
      </c>
      <c r="G71" s="39">
        <f>IF(Stock[[#This Row],[Purchase Date]]="","",Stock[[#This Row],[Purchase Date]])</f>
        <v>44084</v>
      </c>
      <c r="H71" s="28">
        <v>262</v>
      </c>
      <c r="I71" s="34">
        <f>IFERROR(INDEX(Database!E:E,MATCH(Stock[[#This Row],[Stock]],Database!B:B,0)),"")</f>
        <v>15</v>
      </c>
      <c r="J71" s="35">
        <f>IF(OR(Stock[[#This Row],[Purchasing Price]]="",Stock[[#This Row],[Shares]]=""),"",Stock[[#This Row],[Purchasing Price]]*Stock[[#This Row],[Shares]])</f>
        <v>3930</v>
      </c>
      <c r="K71" s="40">
        <v>15</v>
      </c>
      <c r="L71" s="36">
        <f>IF(OR(Stock[[#This Row],[Current Price]]="",Stock[[#This Row],[Purchasing Price]]=""),"",Stock[[#This Row],[Current Price]]-Stock[[#This Row],[Purchasing Price]])</f>
        <v>0</v>
      </c>
      <c r="M71" s="41">
        <f>IF(OR(Stock[[#This Row],[Current Price]]="",Stock[[#This Row],[Shares]]=""),"",Stock[[#This Row],[Current Price]]*Stock[[#This Row],[Shares]])</f>
        <v>3930</v>
      </c>
      <c r="N71" s="34">
        <f>SUMIF(C:C,Stock[[#This Row],[Stock]],O:O)</f>
        <v>-510</v>
      </c>
      <c r="O71" s="35">
        <f>IF(OR(Stock[[#This Row],[Gross Current Value]]="",Stock[[#This Row],[Total Value]]=""),"",Stock[[#This Row],[Gross Current Value]]-Stock[[#This Row],[Total Value]])</f>
        <v>0</v>
      </c>
      <c r="P71" s="38">
        <f>IF(OR(Stock[[#This Row],[Gain(Lose) Value]]="",Stock[[#This Row],[Total Value]]=""),"",Stock[[#This Row],[Gain(Lose) Value]]/Stock[[#This Row],[Total Value]])</f>
        <v>0</v>
      </c>
    </row>
    <row r="72" spans="1:16" ht="30" customHeight="1" x14ac:dyDescent="0.2">
      <c r="A72" s="20" t="str">
        <f t="shared" si="0"/>
        <v/>
      </c>
      <c r="B72" s="27" t="s">
        <v>70</v>
      </c>
      <c r="C72" s="25" t="s">
        <v>47</v>
      </c>
      <c r="D72" s="32" t="str">
        <f>IFERROR(INDEX(Database!C:C,MATCH(Stock[[#This Row],[Stock]],Database!B:B,0)),"")</f>
        <v/>
      </c>
      <c r="E72" s="32" t="str">
        <f>IFERROR(INDEX(Database!D:D,MATCH(Stock[[#This Row],[Stock]],Database!B:B,0)),"")</f>
        <v/>
      </c>
      <c r="F72" s="27">
        <v>44078</v>
      </c>
      <c r="G72" s="39">
        <f>IF(Stock[[#This Row],[Purchase Date]]="","",Stock[[#This Row],[Purchase Date]])</f>
        <v>44078</v>
      </c>
      <c r="H72" s="28">
        <v>380</v>
      </c>
      <c r="I72" s="34" t="str">
        <f>IFERROR(INDEX(Database!E:E,MATCH(Stock[[#This Row],[Stock]],Database!B:B,0)),"")</f>
        <v/>
      </c>
      <c r="J72" s="35" t="str">
        <f>IF(OR(Stock[[#This Row],[Purchasing Price]]="",Stock[[#This Row],[Shares]]=""),"",Stock[[#This Row],[Purchasing Price]]*Stock[[#This Row],[Shares]])</f>
        <v/>
      </c>
      <c r="K72" s="40">
        <v>13</v>
      </c>
      <c r="L72" s="36" t="str">
        <f>IF(OR(Stock[[#This Row],[Current Price]]="",Stock[[#This Row],[Purchasing Price]]=""),"",Stock[[#This Row],[Current Price]]-Stock[[#This Row],[Purchasing Price]])</f>
        <v/>
      </c>
      <c r="M72" s="41">
        <f>IF(OR(Stock[[#This Row],[Current Price]]="",Stock[[#This Row],[Shares]]=""),"",Stock[[#This Row],[Current Price]]*Stock[[#This Row],[Shares]])</f>
        <v>4940</v>
      </c>
      <c r="N72" s="34">
        <f>SUMIF(C:C,Stock[[#This Row],[Stock]],O:O)</f>
        <v>0</v>
      </c>
      <c r="O72" s="35" t="str">
        <f>IF(OR(Stock[[#This Row],[Gross Current Value]]="",Stock[[#This Row],[Total Value]]=""),"",Stock[[#This Row],[Gross Current Value]]-Stock[[#This Row],[Total Value]])</f>
        <v/>
      </c>
      <c r="P72" s="38" t="str">
        <f>IF(OR(Stock[[#This Row],[Gain(Lose) Value]]="",Stock[[#This Row],[Total Value]]=""),"",Stock[[#This Row],[Gain(Lose) Value]]/Stock[[#This Row],[Total Value]])</f>
        <v/>
      </c>
    </row>
    <row r="73" spans="1:16" ht="30" customHeight="1" x14ac:dyDescent="0.2">
      <c r="A73" s="20" t="str">
        <f t="shared" si="0"/>
        <v/>
      </c>
      <c r="B73" s="27" t="s">
        <v>71</v>
      </c>
      <c r="C73" s="25" t="s">
        <v>50</v>
      </c>
      <c r="D73" s="32" t="str">
        <f>IFERROR(INDEX(Database!C:C,MATCH(Stock[[#This Row],[Stock]],Database!B:B,0)),"")</f>
        <v>DBA</v>
      </c>
      <c r="E73" s="32" t="str">
        <f>IFERROR(INDEX(Database!D:D,MATCH(Stock[[#This Row],[Stock]],Database!B:B,0)),"")</f>
        <v>Sector 2</v>
      </c>
      <c r="F73" s="27">
        <v>44158</v>
      </c>
      <c r="G73" s="39">
        <f>IF(Stock[[#This Row],[Purchase Date]]="","",Stock[[#This Row],[Purchase Date]])</f>
        <v>44158</v>
      </c>
      <c r="H73" s="28">
        <v>450</v>
      </c>
      <c r="I73" s="34">
        <f>IFERROR(INDEX(Database!E:E,MATCH(Stock[[#This Row],[Stock]],Database!B:B,0)),"")</f>
        <v>7.8</v>
      </c>
      <c r="J73" s="35">
        <f>IF(OR(Stock[[#This Row],[Purchasing Price]]="",Stock[[#This Row],[Shares]]=""),"",Stock[[#This Row],[Purchasing Price]]*Stock[[#This Row],[Shares]])</f>
        <v>3510</v>
      </c>
      <c r="K73" s="40">
        <v>8</v>
      </c>
      <c r="L73" s="36">
        <f>IF(OR(Stock[[#This Row],[Current Price]]="",Stock[[#This Row],[Purchasing Price]]=""),"",Stock[[#This Row],[Current Price]]-Stock[[#This Row],[Purchasing Price]])</f>
        <v>0.20000000000000018</v>
      </c>
      <c r="M73" s="41">
        <f>IF(OR(Stock[[#This Row],[Current Price]]="",Stock[[#This Row],[Shares]]=""),"",Stock[[#This Row],[Current Price]]*Stock[[#This Row],[Shares]])</f>
        <v>3600</v>
      </c>
      <c r="N73" s="34">
        <f>SUMIF(C:C,Stock[[#This Row],[Stock]],O:O)</f>
        <v>-528.59999999999991</v>
      </c>
      <c r="O73" s="35">
        <f>IF(OR(Stock[[#This Row],[Gross Current Value]]="",Stock[[#This Row],[Total Value]]=""),"",Stock[[#This Row],[Gross Current Value]]-Stock[[#This Row],[Total Value]])</f>
        <v>90</v>
      </c>
      <c r="P73" s="38">
        <f>IF(OR(Stock[[#This Row],[Gain(Lose) Value]]="",Stock[[#This Row],[Total Value]]=""),"",Stock[[#This Row],[Gain(Lose) Value]]/Stock[[#This Row],[Total Value]])</f>
        <v>2.564102564102564E-2</v>
      </c>
    </row>
    <row r="74" spans="1:16" ht="30" customHeight="1" x14ac:dyDescent="0.2">
      <c r="A74" s="20" t="str">
        <f t="shared" si="0"/>
        <v/>
      </c>
      <c r="B74" s="27" t="s">
        <v>71</v>
      </c>
      <c r="C74" s="25" t="s">
        <v>50</v>
      </c>
      <c r="D74" s="32" t="str">
        <f>IFERROR(INDEX(Database!C:C,MATCH(Stock[[#This Row],[Stock]],Database!B:B,0)),"")</f>
        <v>DBA</v>
      </c>
      <c r="E74" s="32" t="str">
        <f>IFERROR(INDEX(Database!D:D,MATCH(Stock[[#This Row],[Stock]],Database!B:B,0)),"")</f>
        <v>Sector 2</v>
      </c>
      <c r="F74" s="27">
        <v>43979</v>
      </c>
      <c r="G74" s="39">
        <f>IF(Stock[[#This Row],[Purchase Date]]="","",Stock[[#This Row],[Purchase Date]])</f>
        <v>43979</v>
      </c>
      <c r="H74" s="28">
        <v>452</v>
      </c>
      <c r="I74" s="34">
        <f>IFERROR(INDEX(Database!E:E,MATCH(Stock[[#This Row],[Stock]],Database!B:B,0)),"")</f>
        <v>7.8</v>
      </c>
      <c r="J74" s="35">
        <f>IF(OR(Stock[[#This Row],[Purchasing Price]]="",Stock[[#This Row],[Shares]]=""),"",Stock[[#This Row],[Purchasing Price]]*Stock[[#This Row],[Shares]])</f>
        <v>3525.6</v>
      </c>
      <c r="K74" s="40">
        <v>8</v>
      </c>
      <c r="L74" s="36">
        <f>IF(OR(Stock[[#This Row],[Current Price]]="",Stock[[#This Row],[Purchasing Price]]=""),"",Stock[[#This Row],[Current Price]]-Stock[[#This Row],[Purchasing Price]])</f>
        <v>0.20000000000000018</v>
      </c>
      <c r="M74" s="41">
        <f>IF(OR(Stock[[#This Row],[Current Price]]="",Stock[[#This Row],[Shares]]=""),"",Stock[[#This Row],[Current Price]]*Stock[[#This Row],[Shares]])</f>
        <v>3616</v>
      </c>
      <c r="N74" s="34">
        <f>SUMIF(C:C,Stock[[#This Row],[Stock]],O:O)</f>
        <v>-528.59999999999991</v>
      </c>
      <c r="O74" s="35">
        <f>IF(OR(Stock[[#This Row],[Gross Current Value]]="",Stock[[#This Row],[Total Value]]=""),"",Stock[[#This Row],[Gross Current Value]]-Stock[[#This Row],[Total Value]])</f>
        <v>90.400000000000091</v>
      </c>
      <c r="P74" s="38">
        <f>IF(OR(Stock[[#This Row],[Gain(Lose) Value]]="",Stock[[#This Row],[Total Value]]=""),"",Stock[[#This Row],[Gain(Lose) Value]]/Stock[[#This Row],[Total Value]])</f>
        <v>2.5641025641025668E-2</v>
      </c>
    </row>
    <row r="75" spans="1:16" ht="30" customHeight="1" x14ac:dyDescent="0.2">
      <c r="A75" s="20" t="str">
        <f t="shared" si="0"/>
        <v/>
      </c>
      <c r="B75" s="27" t="s">
        <v>70</v>
      </c>
      <c r="C75" s="25" t="s">
        <v>56</v>
      </c>
      <c r="D75" s="32" t="str">
        <f>IFERROR(INDEX(Database!C:C,MATCH(Stock[[#This Row],[Stock]],Database!B:B,0)),"")</f>
        <v>CBC</v>
      </c>
      <c r="E75" s="32" t="str">
        <f>IFERROR(INDEX(Database!D:D,MATCH(Stock[[#This Row],[Stock]],Database!B:B,0)),"")</f>
        <v>Sector 2</v>
      </c>
      <c r="F75" s="27">
        <v>43853</v>
      </c>
      <c r="G75" s="39">
        <f>IF(Stock[[#This Row],[Purchase Date]]="","",Stock[[#This Row],[Purchase Date]])</f>
        <v>43853</v>
      </c>
      <c r="H75" s="28">
        <v>482</v>
      </c>
      <c r="I75" s="34">
        <f>IFERROR(INDEX(Database!E:E,MATCH(Stock[[#This Row],[Stock]],Database!B:B,0)),"")</f>
        <v>17</v>
      </c>
      <c r="J75" s="35">
        <f>IF(OR(Stock[[#This Row],[Purchasing Price]]="",Stock[[#This Row],[Shares]]=""),"",Stock[[#This Row],[Purchasing Price]]*Stock[[#This Row],[Shares]])</f>
        <v>8194</v>
      </c>
      <c r="K75" s="40">
        <v>16</v>
      </c>
      <c r="L75" s="36">
        <f>IF(OR(Stock[[#This Row],[Current Price]]="",Stock[[#This Row],[Purchasing Price]]=""),"",Stock[[#This Row],[Current Price]]-Stock[[#This Row],[Purchasing Price]])</f>
        <v>-1</v>
      </c>
      <c r="M75" s="41">
        <f>IF(OR(Stock[[#This Row],[Current Price]]="",Stock[[#This Row],[Shares]]=""),"",Stock[[#This Row],[Current Price]]*Stock[[#This Row],[Shares]])</f>
        <v>7712</v>
      </c>
      <c r="N75" s="34">
        <f>SUMIF(C:C,Stock[[#This Row],[Stock]],O:O)</f>
        <v>-1769.6999999999998</v>
      </c>
      <c r="O75" s="35">
        <f>IF(OR(Stock[[#This Row],[Gross Current Value]]="",Stock[[#This Row],[Total Value]]=""),"",Stock[[#This Row],[Gross Current Value]]-Stock[[#This Row],[Total Value]])</f>
        <v>-482</v>
      </c>
      <c r="P75" s="38">
        <f>IF(OR(Stock[[#This Row],[Gain(Lose) Value]]="",Stock[[#This Row],[Total Value]]=""),"",Stock[[#This Row],[Gain(Lose) Value]]/Stock[[#This Row],[Total Value]])</f>
        <v>-5.8823529411764705E-2</v>
      </c>
    </row>
    <row r="76" spans="1:16" ht="30" customHeight="1" x14ac:dyDescent="0.2">
      <c r="A76" s="20" t="str">
        <f t="shared" si="0"/>
        <v/>
      </c>
      <c r="B76" s="27" t="s">
        <v>70</v>
      </c>
      <c r="C76" s="25" t="s">
        <v>58</v>
      </c>
      <c r="D76" s="32" t="str">
        <f>IFERROR(INDEX(Database!C:C,MATCH(Stock[[#This Row],[Stock]],Database!B:B,0)),"")</f>
        <v>BBB</v>
      </c>
      <c r="E76" s="32" t="str">
        <f>IFERROR(INDEX(Database!D:D,MATCH(Stock[[#This Row],[Stock]],Database!B:B,0)),"")</f>
        <v>Sector 2</v>
      </c>
      <c r="F76" s="27">
        <v>44051</v>
      </c>
      <c r="G76" s="39">
        <f>IF(Stock[[#This Row],[Purchase Date]]="","",Stock[[#This Row],[Purchase Date]])</f>
        <v>44051</v>
      </c>
      <c r="H76" s="28">
        <v>178</v>
      </c>
      <c r="I76" s="34">
        <f>IFERROR(INDEX(Database!E:E,MATCH(Stock[[#This Row],[Stock]],Database!B:B,0)),"")</f>
        <v>14</v>
      </c>
      <c r="J76" s="35">
        <f>IF(OR(Stock[[#This Row],[Purchasing Price]]="",Stock[[#This Row],[Shares]]=""),"",Stock[[#This Row],[Purchasing Price]]*Stock[[#This Row],[Shares]])</f>
        <v>2492</v>
      </c>
      <c r="K76" s="40">
        <v>15</v>
      </c>
      <c r="L76" s="36">
        <f>IF(OR(Stock[[#This Row],[Current Price]]="",Stock[[#This Row],[Purchasing Price]]=""),"",Stock[[#This Row],[Current Price]]-Stock[[#This Row],[Purchasing Price]])</f>
        <v>1</v>
      </c>
      <c r="M76" s="41">
        <f>IF(OR(Stock[[#This Row],[Current Price]]="",Stock[[#This Row],[Shares]]=""),"",Stock[[#This Row],[Current Price]]*Stock[[#This Row],[Shares]])</f>
        <v>2670</v>
      </c>
      <c r="N76" s="34">
        <f>SUMIF(C:C,Stock[[#This Row],[Stock]],O:O)</f>
        <v>1897</v>
      </c>
      <c r="O76" s="35">
        <f>IF(OR(Stock[[#This Row],[Gross Current Value]]="",Stock[[#This Row],[Total Value]]=""),"",Stock[[#This Row],[Gross Current Value]]-Stock[[#This Row],[Total Value]])</f>
        <v>178</v>
      </c>
      <c r="P76" s="38">
        <f>IF(OR(Stock[[#This Row],[Gain(Lose) Value]]="",Stock[[#This Row],[Total Value]]=""),"",Stock[[#This Row],[Gain(Lose) Value]]/Stock[[#This Row],[Total Value]])</f>
        <v>7.1428571428571425E-2</v>
      </c>
    </row>
    <row r="77" spans="1:16" ht="30" customHeight="1" x14ac:dyDescent="0.2">
      <c r="A77" s="20" t="str">
        <f t="shared" si="0"/>
        <v/>
      </c>
      <c r="B77" s="27" t="s">
        <v>69</v>
      </c>
      <c r="C77" s="25" t="s">
        <v>59</v>
      </c>
      <c r="D77" s="32" t="str">
        <f>IFERROR(INDEX(Database!C:C,MATCH(Stock[[#This Row],[Stock]],Database!B:B,0)),"")</f>
        <v>BCA</v>
      </c>
      <c r="E77" s="32" t="str">
        <f>IFERROR(INDEX(Database!D:D,MATCH(Stock[[#This Row],[Stock]],Database!B:B,0)),"")</f>
        <v>Sector 3</v>
      </c>
      <c r="F77" s="27">
        <v>44013</v>
      </c>
      <c r="G77" s="39">
        <f>IF(Stock[[#This Row],[Purchase Date]]="","",Stock[[#This Row],[Purchase Date]])</f>
        <v>44013</v>
      </c>
      <c r="H77" s="28">
        <v>384</v>
      </c>
      <c r="I77" s="34">
        <f>IFERROR(INDEX(Database!E:E,MATCH(Stock[[#This Row],[Stock]],Database!B:B,0)),"")</f>
        <v>8.9</v>
      </c>
      <c r="J77" s="35">
        <f>IF(OR(Stock[[#This Row],[Purchasing Price]]="",Stock[[#This Row],[Shares]]=""),"",Stock[[#This Row],[Purchasing Price]]*Stock[[#This Row],[Shares]])</f>
        <v>3417.6000000000004</v>
      </c>
      <c r="K77" s="40">
        <v>10</v>
      </c>
      <c r="L77" s="36">
        <f>IF(OR(Stock[[#This Row],[Current Price]]="",Stock[[#This Row],[Purchasing Price]]=""),"",Stock[[#This Row],[Current Price]]-Stock[[#This Row],[Purchasing Price]])</f>
        <v>1.0999999999999996</v>
      </c>
      <c r="M77" s="41">
        <f>IF(OR(Stock[[#This Row],[Current Price]]="",Stock[[#This Row],[Shares]]=""),"",Stock[[#This Row],[Current Price]]*Stock[[#This Row],[Shares]])</f>
        <v>3840</v>
      </c>
      <c r="N77" s="34">
        <f>SUMIF(C:C,Stock[[#This Row],[Stock]],O:O)</f>
        <v>1996.7999999999988</v>
      </c>
      <c r="O77" s="35">
        <f>IF(OR(Stock[[#This Row],[Gross Current Value]]="",Stock[[#This Row],[Total Value]]=""),"",Stock[[#This Row],[Gross Current Value]]-Stock[[#This Row],[Total Value]])</f>
        <v>422.39999999999964</v>
      </c>
      <c r="P77" s="38">
        <f>IF(OR(Stock[[#This Row],[Gain(Lose) Value]]="",Stock[[#This Row],[Total Value]]=""),"",Stock[[#This Row],[Gain(Lose) Value]]/Stock[[#This Row],[Total Value]])</f>
        <v>0.12359550561797741</v>
      </c>
    </row>
    <row r="78" spans="1:16" ht="30" customHeight="1" x14ac:dyDescent="0.2">
      <c r="A78" s="20" t="str">
        <f t="shared" si="0"/>
        <v/>
      </c>
      <c r="B78" s="27" t="s">
        <v>69</v>
      </c>
      <c r="C78" s="25" t="s">
        <v>56</v>
      </c>
      <c r="D78" s="32" t="str">
        <f>IFERROR(INDEX(Database!C:C,MATCH(Stock[[#This Row],[Stock]],Database!B:B,0)),"")</f>
        <v>CBC</v>
      </c>
      <c r="E78" s="32" t="str">
        <f>IFERROR(INDEX(Database!D:D,MATCH(Stock[[#This Row],[Stock]],Database!B:B,0)),"")</f>
        <v>Sector 2</v>
      </c>
      <c r="F78" s="27">
        <v>44091</v>
      </c>
      <c r="G78" s="39">
        <f>IF(Stock[[#This Row],[Purchase Date]]="","",Stock[[#This Row],[Purchase Date]])</f>
        <v>44091</v>
      </c>
      <c r="H78" s="28">
        <v>395</v>
      </c>
      <c r="I78" s="34">
        <f>IFERROR(INDEX(Database!E:E,MATCH(Stock[[#This Row],[Stock]],Database!B:B,0)),"")</f>
        <v>17</v>
      </c>
      <c r="J78" s="35">
        <f>IF(OR(Stock[[#This Row],[Purchasing Price]]="",Stock[[#This Row],[Shares]]=""),"",Stock[[#This Row],[Purchasing Price]]*Stock[[#This Row],[Shares]])</f>
        <v>6715</v>
      </c>
      <c r="K78" s="40">
        <v>16</v>
      </c>
      <c r="L78" s="36">
        <f>IF(OR(Stock[[#This Row],[Current Price]]="",Stock[[#This Row],[Purchasing Price]]=""),"",Stock[[#This Row],[Current Price]]-Stock[[#This Row],[Purchasing Price]])</f>
        <v>-1</v>
      </c>
      <c r="M78" s="41">
        <f>IF(OR(Stock[[#This Row],[Current Price]]="",Stock[[#This Row],[Shares]]=""),"",Stock[[#This Row],[Current Price]]*Stock[[#This Row],[Shares]])</f>
        <v>6320</v>
      </c>
      <c r="N78" s="34">
        <f>SUMIF(C:C,Stock[[#This Row],[Stock]],O:O)</f>
        <v>-1769.6999999999998</v>
      </c>
      <c r="O78" s="35">
        <f>IF(OR(Stock[[#This Row],[Gross Current Value]]="",Stock[[#This Row],[Total Value]]=""),"",Stock[[#This Row],[Gross Current Value]]-Stock[[#This Row],[Total Value]])</f>
        <v>-395</v>
      </c>
      <c r="P78" s="38">
        <f>IF(OR(Stock[[#This Row],[Gain(Lose) Value]]="",Stock[[#This Row],[Total Value]]=""),"",Stock[[#This Row],[Gain(Lose) Value]]/Stock[[#This Row],[Total Value]])</f>
        <v>-5.8823529411764705E-2</v>
      </c>
    </row>
    <row r="79" spans="1:16" ht="30" customHeight="1" x14ac:dyDescent="0.2">
      <c r="A79" s="20" t="str">
        <f t="shared" si="0"/>
        <v/>
      </c>
      <c r="B79" s="27" t="s">
        <v>69</v>
      </c>
      <c r="C79" s="25" t="s">
        <v>58</v>
      </c>
      <c r="D79" s="32" t="str">
        <f>IFERROR(INDEX(Database!C:C,MATCH(Stock[[#This Row],[Stock]],Database!B:B,0)),"")</f>
        <v>BBB</v>
      </c>
      <c r="E79" s="32" t="str">
        <f>IFERROR(INDEX(Database!D:D,MATCH(Stock[[#This Row],[Stock]],Database!B:B,0)),"")</f>
        <v>Sector 2</v>
      </c>
      <c r="F79" s="27">
        <v>44034</v>
      </c>
      <c r="G79" s="39">
        <f>IF(Stock[[#This Row],[Purchase Date]]="","",Stock[[#This Row],[Purchase Date]])</f>
        <v>44034</v>
      </c>
      <c r="H79" s="28">
        <v>258</v>
      </c>
      <c r="I79" s="34">
        <f>IFERROR(INDEX(Database!E:E,MATCH(Stock[[#This Row],[Stock]],Database!B:B,0)),"")</f>
        <v>14</v>
      </c>
      <c r="J79" s="35">
        <f>IF(OR(Stock[[#This Row],[Purchasing Price]]="",Stock[[#This Row],[Shares]]=""),"",Stock[[#This Row],[Purchasing Price]]*Stock[[#This Row],[Shares]])</f>
        <v>3612</v>
      </c>
      <c r="K79" s="40">
        <v>12</v>
      </c>
      <c r="L79" s="36">
        <f>IF(OR(Stock[[#This Row],[Current Price]]="",Stock[[#This Row],[Purchasing Price]]=""),"",Stock[[#This Row],[Current Price]]-Stock[[#This Row],[Purchasing Price]])</f>
        <v>-2</v>
      </c>
      <c r="M79" s="41">
        <f>IF(OR(Stock[[#This Row],[Current Price]]="",Stock[[#This Row],[Shares]]=""),"",Stock[[#This Row],[Current Price]]*Stock[[#This Row],[Shares]])</f>
        <v>3096</v>
      </c>
      <c r="N79" s="34">
        <f>SUMIF(C:C,Stock[[#This Row],[Stock]],O:O)</f>
        <v>1897</v>
      </c>
      <c r="O79" s="35">
        <f>IF(OR(Stock[[#This Row],[Gross Current Value]]="",Stock[[#This Row],[Total Value]]=""),"",Stock[[#This Row],[Gross Current Value]]-Stock[[#This Row],[Total Value]])</f>
        <v>-516</v>
      </c>
      <c r="P79" s="38">
        <f>IF(OR(Stock[[#This Row],[Gain(Lose) Value]]="",Stock[[#This Row],[Total Value]]=""),"",Stock[[#This Row],[Gain(Lose) Value]]/Stock[[#This Row],[Total Value]])</f>
        <v>-0.14285714285714285</v>
      </c>
    </row>
    <row r="80" spans="1:16" ht="30" customHeight="1" x14ac:dyDescent="0.2">
      <c r="A80" s="20" t="str">
        <f t="shared" si="0"/>
        <v/>
      </c>
      <c r="B80" s="27" t="s">
        <v>71</v>
      </c>
      <c r="C80" s="25" t="s">
        <v>58</v>
      </c>
      <c r="D80" s="32" t="str">
        <f>IFERROR(INDEX(Database!C:C,MATCH(Stock[[#This Row],[Stock]],Database!B:B,0)),"")</f>
        <v>BBB</v>
      </c>
      <c r="E80" s="32" t="str">
        <f>IFERROR(INDEX(Database!D:D,MATCH(Stock[[#This Row],[Stock]],Database!B:B,0)),"")</f>
        <v>Sector 2</v>
      </c>
      <c r="F80" s="27">
        <v>44139</v>
      </c>
      <c r="G80" s="39">
        <f>IF(Stock[[#This Row],[Purchase Date]]="","",Stock[[#This Row],[Purchase Date]])</f>
        <v>44139</v>
      </c>
      <c r="H80" s="28">
        <v>398</v>
      </c>
      <c r="I80" s="34">
        <f>IFERROR(INDEX(Database!E:E,MATCH(Stock[[#This Row],[Stock]],Database!B:B,0)),"")</f>
        <v>14</v>
      </c>
      <c r="J80" s="35">
        <f>IF(OR(Stock[[#This Row],[Purchasing Price]]="",Stock[[#This Row],[Shares]]=""),"",Stock[[#This Row],[Purchasing Price]]*Stock[[#This Row],[Shares]])</f>
        <v>5572</v>
      </c>
      <c r="K80" s="40">
        <v>14</v>
      </c>
      <c r="L80" s="36">
        <f>IF(OR(Stock[[#This Row],[Current Price]]="",Stock[[#This Row],[Purchasing Price]]=""),"",Stock[[#This Row],[Current Price]]-Stock[[#This Row],[Purchasing Price]])</f>
        <v>0</v>
      </c>
      <c r="M80" s="41">
        <f>IF(OR(Stock[[#This Row],[Current Price]]="",Stock[[#This Row],[Shares]]=""),"",Stock[[#This Row],[Current Price]]*Stock[[#This Row],[Shares]])</f>
        <v>5572</v>
      </c>
      <c r="N80" s="34">
        <f>SUMIF(C:C,Stock[[#This Row],[Stock]],O:O)</f>
        <v>1897</v>
      </c>
      <c r="O80" s="35">
        <f>IF(OR(Stock[[#This Row],[Gross Current Value]]="",Stock[[#This Row],[Total Value]]=""),"",Stock[[#This Row],[Gross Current Value]]-Stock[[#This Row],[Total Value]])</f>
        <v>0</v>
      </c>
      <c r="P80" s="38">
        <f>IF(OR(Stock[[#This Row],[Gain(Lose) Value]]="",Stock[[#This Row],[Total Value]]=""),"",Stock[[#This Row],[Gain(Lose) Value]]/Stock[[#This Row],[Total Value]])</f>
        <v>0</v>
      </c>
    </row>
    <row r="81" spans="1:16" ht="30" customHeight="1" x14ac:dyDescent="0.2">
      <c r="A81" s="20" t="str">
        <f t="shared" si="0"/>
        <v/>
      </c>
      <c r="B81" s="27" t="s">
        <v>69</v>
      </c>
      <c r="C81" s="25" t="s">
        <v>56</v>
      </c>
      <c r="D81" s="32" t="str">
        <f>IFERROR(INDEX(Database!C:C,MATCH(Stock[[#This Row],[Stock]],Database!B:B,0)),"")</f>
        <v>CBC</v>
      </c>
      <c r="E81" s="32" t="str">
        <f>IFERROR(INDEX(Database!D:D,MATCH(Stock[[#This Row],[Stock]],Database!B:B,0)),"")</f>
        <v>Sector 2</v>
      </c>
      <c r="F81" s="27">
        <v>44050</v>
      </c>
      <c r="G81" s="39">
        <f>IF(Stock[[#This Row],[Purchase Date]]="","",Stock[[#This Row],[Purchase Date]])</f>
        <v>44050</v>
      </c>
      <c r="H81" s="28">
        <v>425</v>
      </c>
      <c r="I81" s="34">
        <f>IFERROR(INDEX(Database!E:E,MATCH(Stock[[#This Row],[Stock]],Database!B:B,0)),"")</f>
        <v>17</v>
      </c>
      <c r="J81" s="35">
        <f>IF(OR(Stock[[#This Row],[Purchasing Price]]="",Stock[[#This Row],[Shares]]=""),"",Stock[[#This Row],[Purchasing Price]]*Stock[[#This Row],[Shares]])</f>
        <v>7225</v>
      </c>
      <c r="K81" s="40">
        <v>15</v>
      </c>
      <c r="L81" s="36">
        <f>IF(OR(Stock[[#This Row],[Current Price]]="",Stock[[#This Row],[Purchasing Price]]=""),"",Stock[[#This Row],[Current Price]]-Stock[[#This Row],[Purchasing Price]])</f>
        <v>-2</v>
      </c>
      <c r="M81" s="41">
        <f>IF(OR(Stock[[#This Row],[Current Price]]="",Stock[[#This Row],[Shares]]=""),"",Stock[[#This Row],[Current Price]]*Stock[[#This Row],[Shares]])</f>
        <v>6375</v>
      </c>
      <c r="N81" s="34">
        <f>SUMIF(C:C,Stock[[#This Row],[Stock]],O:O)</f>
        <v>-1769.6999999999998</v>
      </c>
      <c r="O81" s="35">
        <f>IF(OR(Stock[[#This Row],[Gross Current Value]]="",Stock[[#This Row],[Total Value]]=""),"",Stock[[#This Row],[Gross Current Value]]-Stock[[#This Row],[Total Value]])</f>
        <v>-850</v>
      </c>
      <c r="P81" s="38">
        <f>IF(OR(Stock[[#This Row],[Gain(Lose) Value]]="",Stock[[#This Row],[Total Value]]=""),"",Stock[[#This Row],[Gain(Lose) Value]]/Stock[[#This Row],[Total Value]])</f>
        <v>-0.11764705882352941</v>
      </c>
    </row>
    <row r="82" spans="1:16" ht="30" customHeight="1" x14ac:dyDescent="0.2">
      <c r="A82" s="20" t="str">
        <f t="shared" si="0"/>
        <v/>
      </c>
      <c r="B82" s="27" t="s">
        <v>70</v>
      </c>
      <c r="C82" s="25" t="s">
        <v>56</v>
      </c>
      <c r="D82" s="32" t="str">
        <f>IFERROR(INDEX(Database!C:C,MATCH(Stock[[#This Row],[Stock]],Database!B:B,0)),"")</f>
        <v>CBC</v>
      </c>
      <c r="E82" s="32" t="str">
        <f>IFERROR(INDEX(Database!D:D,MATCH(Stock[[#This Row],[Stock]],Database!B:B,0)),"")</f>
        <v>Sector 2</v>
      </c>
      <c r="F82" s="27">
        <v>43958</v>
      </c>
      <c r="G82" s="39">
        <f>IF(Stock[[#This Row],[Purchase Date]]="","",Stock[[#This Row],[Purchase Date]])</f>
        <v>43958</v>
      </c>
      <c r="H82" s="28">
        <v>186</v>
      </c>
      <c r="I82" s="34">
        <f>IFERROR(INDEX(Database!E:E,MATCH(Stock[[#This Row],[Stock]],Database!B:B,0)),"")</f>
        <v>17</v>
      </c>
      <c r="J82" s="35">
        <f>IF(OR(Stock[[#This Row],[Purchasing Price]]="",Stock[[#This Row],[Shares]]=""),"",Stock[[#This Row],[Purchasing Price]]*Stock[[#This Row],[Shares]])</f>
        <v>3162</v>
      </c>
      <c r="K82" s="40">
        <v>17</v>
      </c>
      <c r="L82" s="36">
        <f>IF(OR(Stock[[#This Row],[Current Price]]="",Stock[[#This Row],[Purchasing Price]]=""),"",Stock[[#This Row],[Current Price]]-Stock[[#This Row],[Purchasing Price]])</f>
        <v>0</v>
      </c>
      <c r="M82" s="41">
        <f>IF(OR(Stock[[#This Row],[Current Price]]="",Stock[[#This Row],[Shares]]=""),"",Stock[[#This Row],[Current Price]]*Stock[[#This Row],[Shares]])</f>
        <v>3162</v>
      </c>
      <c r="N82" s="34">
        <f>SUMIF(C:C,Stock[[#This Row],[Stock]],O:O)</f>
        <v>-1769.6999999999998</v>
      </c>
      <c r="O82" s="35">
        <f>IF(OR(Stock[[#This Row],[Gross Current Value]]="",Stock[[#This Row],[Total Value]]=""),"",Stock[[#This Row],[Gross Current Value]]-Stock[[#This Row],[Total Value]])</f>
        <v>0</v>
      </c>
      <c r="P82" s="38">
        <f>IF(OR(Stock[[#This Row],[Gain(Lose) Value]]="",Stock[[#This Row],[Total Value]]=""),"",Stock[[#This Row],[Gain(Lose) Value]]/Stock[[#This Row],[Total Value]])</f>
        <v>0</v>
      </c>
    </row>
    <row r="83" spans="1:16" ht="30" customHeight="1" x14ac:dyDescent="0.2">
      <c r="A83" s="20" t="str">
        <f t="shared" si="0"/>
        <v/>
      </c>
      <c r="B83" s="27" t="s">
        <v>69</v>
      </c>
      <c r="C83" s="25" t="s">
        <v>59</v>
      </c>
      <c r="D83" s="32" t="str">
        <f>IFERROR(INDEX(Database!C:C,MATCH(Stock[[#This Row],[Stock]],Database!B:B,0)),"")</f>
        <v>BCA</v>
      </c>
      <c r="E83" s="32" t="str">
        <f>IFERROR(INDEX(Database!D:D,MATCH(Stock[[#This Row],[Stock]],Database!B:B,0)),"")</f>
        <v>Sector 3</v>
      </c>
      <c r="F83" s="27">
        <v>44118</v>
      </c>
      <c r="G83" s="39">
        <f>IF(Stock[[#This Row],[Purchase Date]]="","",Stock[[#This Row],[Purchase Date]])</f>
        <v>44118</v>
      </c>
      <c r="H83" s="28">
        <v>471</v>
      </c>
      <c r="I83" s="34">
        <f>IFERROR(INDEX(Database!E:E,MATCH(Stock[[#This Row],[Stock]],Database!B:B,0)),"")</f>
        <v>8.9</v>
      </c>
      <c r="J83" s="35">
        <f>IF(OR(Stock[[#This Row],[Purchasing Price]]="",Stock[[#This Row],[Shares]]=""),"",Stock[[#This Row],[Purchasing Price]]*Stock[[#This Row],[Shares]])</f>
        <v>4191.9000000000005</v>
      </c>
      <c r="K83" s="40">
        <v>10</v>
      </c>
      <c r="L83" s="36">
        <f>IF(OR(Stock[[#This Row],[Current Price]]="",Stock[[#This Row],[Purchasing Price]]=""),"",Stock[[#This Row],[Current Price]]-Stock[[#This Row],[Purchasing Price]])</f>
        <v>1.0999999999999996</v>
      </c>
      <c r="M83" s="41">
        <f>IF(OR(Stock[[#This Row],[Current Price]]="",Stock[[#This Row],[Shares]]=""),"",Stock[[#This Row],[Current Price]]*Stock[[#This Row],[Shares]])</f>
        <v>4710</v>
      </c>
      <c r="N83" s="34">
        <f>SUMIF(C:C,Stock[[#This Row],[Stock]],O:O)</f>
        <v>1996.7999999999988</v>
      </c>
      <c r="O83" s="35">
        <f>IF(OR(Stock[[#This Row],[Gross Current Value]]="",Stock[[#This Row],[Total Value]]=""),"",Stock[[#This Row],[Gross Current Value]]-Stock[[#This Row],[Total Value]])</f>
        <v>518.09999999999945</v>
      </c>
      <c r="P83" s="38">
        <f>IF(OR(Stock[[#This Row],[Gain(Lose) Value]]="",Stock[[#This Row],[Total Value]]=""),"",Stock[[#This Row],[Gain(Lose) Value]]/Stock[[#This Row],[Total Value]])</f>
        <v>0.12359550561797739</v>
      </c>
    </row>
    <row r="84" spans="1:16" ht="30" customHeight="1" x14ac:dyDescent="0.2">
      <c r="A84" s="20" t="str">
        <f t="shared" si="0"/>
        <v/>
      </c>
      <c r="B84" s="27" t="s">
        <v>71</v>
      </c>
      <c r="C84" s="25" t="s">
        <v>59</v>
      </c>
      <c r="D84" s="32" t="str">
        <f>IFERROR(INDEX(Database!C:C,MATCH(Stock[[#This Row],[Stock]],Database!B:B,0)),"")</f>
        <v>BCA</v>
      </c>
      <c r="E84" s="32" t="str">
        <f>IFERROR(INDEX(Database!D:D,MATCH(Stock[[#This Row],[Stock]],Database!B:B,0)),"")</f>
        <v>Sector 3</v>
      </c>
      <c r="F84" s="27">
        <v>44031</v>
      </c>
      <c r="G84" s="39">
        <f>IF(Stock[[#This Row],[Purchase Date]]="","",Stock[[#This Row],[Purchase Date]])</f>
        <v>44031</v>
      </c>
      <c r="H84" s="28">
        <v>379</v>
      </c>
      <c r="I84" s="34">
        <f>IFERROR(INDEX(Database!E:E,MATCH(Stock[[#This Row],[Stock]],Database!B:B,0)),"")</f>
        <v>8.9</v>
      </c>
      <c r="J84" s="35">
        <f>IF(OR(Stock[[#This Row],[Purchasing Price]]="",Stock[[#This Row],[Shares]]=""),"",Stock[[#This Row],[Purchasing Price]]*Stock[[#This Row],[Shares]])</f>
        <v>3373.1</v>
      </c>
      <c r="K84" s="40">
        <v>9</v>
      </c>
      <c r="L84" s="36">
        <f>IF(OR(Stock[[#This Row],[Current Price]]="",Stock[[#This Row],[Purchasing Price]]=""),"",Stock[[#This Row],[Current Price]]-Stock[[#This Row],[Purchasing Price]])</f>
        <v>9.9999999999999645E-2</v>
      </c>
      <c r="M84" s="41">
        <f>IF(OR(Stock[[#This Row],[Current Price]]="",Stock[[#This Row],[Shares]]=""),"",Stock[[#This Row],[Current Price]]*Stock[[#This Row],[Shares]])</f>
        <v>3411</v>
      </c>
      <c r="N84" s="34">
        <f>SUMIF(C:C,Stock[[#This Row],[Stock]],O:O)</f>
        <v>1996.7999999999988</v>
      </c>
      <c r="O84" s="35">
        <f>IF(OR(Stock[[#This Row],[Gross Current Value]]="",Stock[[#This Row],[Total Value]]=""),"",Stock[[#This Row],[Gross Current Value]]-Stock[[#This Row],[Total Value]])</f>
        <v>37.900000000000091</v>
      </c>
      <c r="P84" s="38">
        <f>IF(OR(Stock[[#This Row],[Gain(Lose) Value]]="",Stock[[#This Row],[Total Value]]=""),"",Stock[[#This Row],[Gain(Lose) Value]]/Stock[[#This Row],[Total Value]])</f>
        <v>1.1235955056179803E-2</v>
      </c>
    </row>
    <row r="85" spans="1:16" ht="30" customHeight="1" x14ac:dyDescent="0.2">
      <c r="A85" s="20" t="str">
        <f t="shared" si="0"/>
        <v/>
      </c>
      <c r="B85" s="27" t="s">
        <v>69</v>
      </c>
      <c r="C85" s="25" t="s">
        <v>55</v>
      </c>
      <c r="D85" s="32" t="str">
        <f>IFERROR(INDEX(Database!C:C,MATCH(Stock[[#This Row],[Stock]],Database!B:B,0)),"")</f>
        <v>DDD</v>
      </c>
      <c r="E85" s="32" t="str">
        <f>IFERROR(INDEX(Database!D:D,MATCH(Stock[[#This Row],[Stock]],Database!B:B,0)),"")</f>
        <v>Sector 3</v>
      </c>
      <c r="F85" s="27">
        <v>44109</v>
      </c>
      <c r="G85" s="39">
        <f>IF(Stock[[#This Row],[Purchase Date]]="","",Stock[[#This Row],[Purchase Date]])</f>
        <v>44109</v>
      </c>
      <c r="H85" s="28">
        <v>378</v>
      </c>
      <c r="I85" s="34">
        <f>IFERROR(INDEX(Database!E:E,MATCH(Stock[[#This Row],[Stock]],Database!B:B,0)),"")</f>
        <v>12.6</v>
      </c>
      <c r="J85" s="35">
        <f>IF(OR(Stock[[#This Row],[Purchasing Price]]="",Stock[[#This Row],[Shares]]=""),"",Stock[[#This Row],[Purchasing Price]]*Stock[[#This Row],[Shares]])</f>
        <v>4762.8</v>
      </c>
      <c r="K85" s="40">
        <v>13</v>
      </c>
      <c r="L85" s="36">
        <f>IF(OR(Stock[[#This Row],[Current Price]]="",Stock[[#This Row],[Purchasing Price]]=""),"",Stock[[#This Row],[Current Price]]-Stock[[#This Row],[Purchasing Price]])</f>
        <v>0.40000000000000036</v>
      </c>
      <c r="M85" s="41">
        <f>IF(OR(Stock[[#This Row],[Current Price]]="",Stock[[#This Row],[Shares]]=""),"",Stock[[#This Row],[Current Price]]*Stock[[#This Row],[Shares]])</f>
        <v>4914</v>
      </c>
      <c r="N85" s="34">
        <f>SUMIF(C:C,Stock[[#This Row],[Stock]],O:O)</f>
        <v>1015.0000000000005</v>
      </c>
      <c r="O85" s="35">
        <f>IF(OR(Stock[[#This Row],[Gross Current Value]]="",Stock[[#This Row],[Total Value]]=""),"",Stock[[#This Row],[Gross Current Value]]-Stock[[#This Row],[Total Value]])</f>
        <v>151.19999999999982</v>
      </c>
      <c r="P85" s="38">
        <f>IF(OR(Stock[[#This Row],[Gain(Lose) Value]]="",Stock[[#This Row],[Total Value]]=""),"",Stock[[#This Row],[Gain(Lose) Value]]/Stock[[#This Row],[Total Value]])</f>
        <v>3.174603174603171E-2</v>
      </c>
    </row>
    <row r="86" spans="1:16" ht="30" customHeight="1" x14ac:dyDescent="0.2">
      <c r="A86" s="20" t="str">
        <f t="shared" si="0"/>
        <v/>
      </c>
      <c r="B86" s="27" t="s">
        <v>71</v>
      </c>
      <c r="C86" s="25" t="s">
        <v>49</v>
      </c>
      <c r="D86" s="32" t="str">
        <f>IFERROR(INDEX(Database!C:C,MATCH(Stock[[#This Row],[Stock]],Database!B:B,0)),"")</f>
        <v>CDA</v>
      </c>
      <c r="E86" s="32" t="str">
        <f>IFERROR(INDEX(Database!D:D,MATCH(Stock[[#This Row],[Stock]],Database!B:B,0)),"")</f>
        <v>Sector 4</v>
      </c>
      <c r="F86" s="27">
        <v>44102</v>
      </c>
      <c r="G86" s="39">
        <f>IF(Stock[[#This Row],[Purchase Date]]="","",Stock[[#This Row],[Purchase Date]])</f>
        <v>44102</v>
      </c>
      <c r="H86" s="28">
        <v>346</v>
      </c>
      <c r="I86" s="34">
        <f>IFERROR(INDEX(Database!E:E,MATCH(Stock[[#This Row],[Stock]],Database!B:B,0)),"")</f>
        <v>15.4</v>
      </c>
      <c r="J86" s="35">
        <f>IF(OR(Stock[[#This Row],[Purchasing Price]]="",Stock[[#This Row],[Shares]]=""),"",Stock[[#This Row],[Purchasing Price]]*Stock[[#This Row],[Shares]])</f>
        <v>5328.4000000000005</v>
      </c>
      <c r="K86" s="40">
        <v>14</v>
      </c>
      <c r="L86" s="36">
        <f>IF(OR(Stock[[#This Row],[Current Price]]="",Stock[[#This Row],[Purchasing Price]]=""),"",Stock[[#This Row],[Current Price]]-Stock[[#This Row],[Purchasing Price]])</f>
        <v>-1.4000000000000004</v>
      </c>
      <c r="M86" s="41">
        <f>IF(OR(Stock[[#This Row],[Current Price]]="",Stock[[#This Row],[Shares]]=""),"",Stock[[#This Row],[Current Price]]*Stock[[#This Row],[Shares]])</f>
        <v>4844</v>
      </c>
      <c r="N86" s="34">
        <f>SUMIF(C:C,Stock[[#This Row],[Stock]],O:O)</f>
        <v>1203.5999999999967</v>
      </c>
      <c r="O86" s="35">
        <f>IF(OR(Stock[[#This Row],[Gross Current Value]]="",Stock[[#This Row],[Total Value]]=""),"",Stock[[#This Row],[Gross Current Value]]-Stock[[#This Row],[Total Value]])</f>
        <v>-484.40000000000055</v>
      </c>
      <c r="P86" s="38">
        <f>IF(OR(Stock[[#This Row],[Gain(Lose) Value]]="",Stock[[#This Row],[Total Value]]=""),"",Stock[[#This Row],[Gain(Lose) Value]]/Stock[[#This Row],[Total Value]])</f>
        <v>-9.0909090909091009E-2</v>
      </c>
    </row>
    <row r="87" spans="1:16" ht="30" customHeight="1" x14ac:dyDescent="0.2">
      <c r="A87" s="20" t="str">
        <f t="shared" si="0"/>
        <v/>
      </c>
      <c r="B87" s="27" t="s">
        <v>70</v>
      </c>
      <c r="C87" s="25" t="s">
        <v>58</v>
      </c>
      <c r="D87" s="32" t="str">
        <f>IFERROR(INDEX(Database!C:C,MATCH(Stock[[#This Row],[Stock]],Database!B:B,0)),"")</f>
        <v>BBB</v>
      </c>
      <c r="E87" s="32" t="str">
        <f>IFERROR(INDEX(Database!D:D,MATCH(Stock[[#This Row],[Stock]],Database!B:B,0)),"")</f>
        <v>Sector 2</v>
      </c>
      <c r="F87" s="27">
        <v>44019</v>
      </c>
      <c r="G87" s="39">
        <f>IF(Stock[[#This Row],[Purchase Date]]="","",Stock[[#This Row],[Purchase Date]])</f>
        <v>44019</v>
      </c>
      <c r="H87" s="28">
        <v>195</v>
      </c>
      <c r="I87" s="34">
        <f>IFERROR(INDEX(Database!E:E,MATCH(Stock[[#This Row],[Stock]],Database!B:B,0)),"")</f>
        <v>14</v>
      </c>
      <c r="J87" s="35">
        <f>IF(OR(Stock[[#This Row],[Purchasing Price]]="",Stock[[#This Row],[Shares]]=""),"",Stock[[#This Row],[Purchasing Price]]*Stock[[#This Row],[Shares]])</f>
        <v>2730</v>
      </c>
      <c r="K87" s="40">
        <v>17</v>
      </c>
      <c r="L87" s="36">
        <f>IF(OR(Stock[[#This Row],[Current Price]]="",Stock[[#This Row],[Purchasing Price]]=""),"",Stock[[#This Row],[Current Price]]-Stock[[#This Row],[Purchasing Price]])</f>
        <v>3</v>
      </c>
      <c r="M87" s="41">
        <f>IF(OR(Stock[[#This Row],[Current Price]]="",Stock[[#This Row],[Shares]]=""),"",Stock[[#This Row],[Current Price]]*Stock[[#This Row],[Shares]])</f>
        <v>3315</v>
      </c>
      <c r="N87" s="34">
        <f>SUMIF(C:C,Stock[[#This Row],[Stock]],O:O)</f>
        <v>1897</v>
      </c>
      <c r="O87" s="35">
        <f>IF(OR(Stock[[#This Row],[Gross Current Value]]="",Stock[[#This Row],[Total Value]]=""),"",Stock[[#This Row],[Gross Current Value]]-Stock[[#This Row],[Total Value]])</f>
        <v>585</v>
      </c>
      <c r="P87" s="38">
        <f>IF(OR(Stock[[#This Row],[Gain(Lose) Value]]="",Stock[[#This Row],[Total Value]]=""),"",Stock[[#This Row],[Gain(Lose) Value]]/Stock[[#This Row],[Total Value]])</f>
        <v>0.21428571428571427</v>
      </c>
    </row>
    <row r="88" spans="1:16" ht="30" customHeight="1" x14ac:dyDescent="0.2">
      <c r="A88" s="20" t="str">
        <f t="shared" ref="A88:A151" si="1">IF(AND(B87&lt;&gt;"",B88=""),$A$22&amp;"---&gt;","")</f>
        <v/>
      </c>
      <c r="B88" s="27" t="s">
        <v>69</v>
      </c>
      <c r="C88" s="25" t="s">
        <v>55</v>
      </c>
      <c r="D88" s="32" t="str">
        <f>IFERROR(INDEX(Database!C:C,MATCH(Stock[[#This Row],[Stock]],Database!B:B,0)),"")</f>
        <v>DDD</v>
      </c>
      <c r="E88" s="32" t="str">
        <f>IFERROR(INDEX(Database!D:D,MATCH(Stock[[#This Row],[Stock]],Database!B:B,0)),"")</f>
        <v>Sector 3</v>
      </c>
      <c r="F88" s="27">
        <v>44131</v>
      </c>
      <c r="G88" s="39">
        <f>IF(Stock[[#This Row],[Purchase Date]]="","",Stock[[#This Row],[Purchase Date]])</f>
        <v>44131</v>
      </c>
      <c r="H88" s="28">
        <v>258</v>
      </c>
      <c r="I88" s="34">
        <f>IFERROR(INDEX(Database!E:E,MATCH(Stock[[#This Row],[Stock]],Database!B:B,0)),"")</f>
        <v>12.6</v>
      </c>
      <c r="J88" s="35">
        <f>IF(OR(Stock[[#This Row],[Purchasing Price]]="",Stock[[#This Row],[Shares]]=""),"",Stock[[#This Row],[Purchasing Price]]*Stock[[#This Row],[Shares]])</f>
        <v>3250.7999999999997</v>
      </c>
      <c r="K88" s="40">
        <v>13</v>
      </c>
      <c r="L88" s="36">
        <f>IF(OR(Stock[[#This Row],[Current Price]]="",Stock[[#This Row],[Purchasing Price]]=""),"",Stock[[#This Row],[Current Price]]-Stock[[#This Row],[Purchasing Price]])</f>
        <v>0.40000000000000036</v>
      </c>
      <c r="M88" s="41">
        <f>IF(OR(Stock[[#This Row],[Current Price]]="",Stock[[#This Row],[Shares]]=""),"",Stock[[#This Row],[Current Price]]*Stock[[#This Row],[Shares]])</f>
        <v>3354</v>
      </c>
      <c r="N88" s="34">
        <f>SUMIF(C:C,Stock[[#This Row],[Stock]],O:O)</f>
        <v>1015.0000000000005</v>
      </c>
      <c r="O88" s="35">
        <f>IF(OR(Stock[[#This Row],[Gross Current Value]]="",Stock[[#This Row],[Total Value]]=""),"",Stock[[#This Row],[Gross Current Value]]-Stock[[#This Row],[Total Value]])</f>
        <v>103.20000000000027</v>
      </c>
      <c r="P88" s="38">
        <f>IF(OR(Stock[[#This Row],[Gain(Lose) Value]]="",Stock[[#This Row],[Total Value]]=""),"",Stock[[#This Row],[Gain(Lose) Value]]/Stock[[#This Row],[Total Value]])</f>
        <v>3.1746031746031834E-2</v>
      </c>
    </row>
    <row r="89" spans="1:16" ht="30" customHeight="1" x14ac:dyDescent="0.2">
      <c r="A89" s="20" t="str">
        <f t="shared" si="1"/>
        <v/>
      </c>
      <c r="B89" s="27" t="s">
        <v>69</v>
      </c>
      <c r="C89" s="25" t="s">
        <v>49</v>
      </c>
      <c r="D89" s="32" t="str">
        <f>IFERROR(INDEX(Database!C:C,MATCH(Stock[[#This Row],[Stock]],Database!B:B,0)),"")</f>
        <v>CDA</v>
      </c>
      <c r="E89" s="32" t="str">
        <f>IFERROR(INDEX(Database!D:D,MATCH(Stock[[#This Row],[Stock]],Database!B:B,0)),"")</f>
        <v>Sector 4</v>
      </c>
      <c r="F89" s="27">
        <v>43851</v>
      </c>
      <c r="G89" s="39">
        <f>IF(Stock[[#This Row],[Purchase Date]]="","",Stock[[#This Row],[Purchase Date]])</f>
        <v>43851</v>
      </c>
      <c r="H89" s="28">
        <v>281</v>
      </c>
      <c r="I89" s="34">
        <f>IFERROR(INDEX(Database!E:E,MATCH(Stock[[#This Row],[Stock]],Database!B:B,0)),"")</f>
        <v>15.4</v>
      </c>
      <c r="J89" s="35">
        <f>IF(OR(Stock[[#This Row],[Purchasing Price]]="",Stock[[#This Row],[Shares]]=""),"",Stock[[#This Row],[Purchasing Price]]*Stock[[#This Row],[Shares]])</f>
        <v>4327.4000000000005</v>
      </c>
      <c r="K89" s="40">
        <v>15</v>
      </c>
      <c r="L89" s="36">
        <f>IF(OR(Stock[[#This Row],[Current Price]]="",Stock[[#This Row],[Purchasing Price]]=""),"",Stock[[#This Row],[Current Price]]-Stock[[#This Row],[Purchasing Price]])</f>
        <v>-0.40000000000000036</v>
      </c>
      <c r="M89" s="41">
        <f>IF(OR(Stock[[#This Row],[Current Price]]="",Stock[[#This Row],[Shares]]=""),"",Stock[[#This Row],[Current Price]]*Stock[[#This Row],[Shares]])</f>
        <v>4215</v>
      </c>
      <c r="N89" s="34">
        <f>SUMIF(C:C,Stock[[#This Row],[Stock]],O:O)</f>
        <v>1203.5999999999967</v>
      </c>
      <c r="O89" s="35">
        <f>IF(OR(Stock[[#This Row],[Gross Current Value]]="",Stock[[#This Row],[Total Value]]=""),"",Stock[[#This Row],[Gross Current Value]]-Stock[[#This Row],[Total Value]])</f>
        <v>-112.40000000000055</v>
      </c>
      <c r="P89" s="38">
        <f>IF(OR(Stock[[#This Row],[Gain(Lose) Value]]="",Stock[[#This Row],[Total Value]]=""),"",Stock[[#This Row],[Gain(Lose) Value]]/Stock[[#This Row],[Total Value]])</f>
        <v>-2.5974025974026097E-2</v>
      </c>
    </row>
    <row r="90" spans="1:16" ht="30" customHeight="1" x14ac:dyDescent="0.2">
      <c r="A90" s="20" t="str">
        <f t="shared" si="1"/>
        <v/>
      </c>
      <c r="B90" s="27" t="s">
        <v>70</v>
      </c>
      <c r="C90" s="25" t="s">
        <v>49</v>
      </c>
      <c r="D90" s="32" t="str">
        <f>IFERROR(INDEX(Database!C:C,MATCH(Stock[[#This Row],[Stock]],Database!B:B,0)),"")</f>
        <v>CDA</v>
      </c>
      <c r="E90" s="32" t="str">
        <f>IFERROR(INDEX(Database!D:D,MATCH(Stock[[#This Row],[Stock]],Database!B:B,0)),"")</f>
        <v>Sector 4</v>
      </c>
      <c r="F90" s="27">
        <v>44157</v>
      </c>
      <c r="G90" s="39">
        <f>IF(Stock[[#This Row],[Purchase Date]]="","",Stock[[#This Row],[Purchase Date]])</f>
        <v>44157</v>
      </c>
      <c r="H90" s="28">
        <v>241</v>
      </c>
      <c r="I90" s="34">
        <f>IFERROR(INDEX(Database!E:E,MATCH(Stock[[#This Row],[Stock]],Database!B:B,0)),"")</f>
        <v>15.4</v>
      </c>
      <c r="J90" s="35">
        <f>IF(OR(Stock[[#This Row],[Purchasing Price]]="",Stock[[#This Row],[Shares]]=""),"",Stock[[#This Row],[Purchasing Price]]*Stock[[#This Row],[Shares]])</f>
        <v>3711.4</v>
      </c>
      <c r="K90" s="40">
        <v>16</v>
      </c>
      <c r="L90" s="36">
        <f>IF(OR(Stock[[#This Row],[Current Price]]="",Stock[[#This Row],[Purchasing Price]]=""),"",Stock[[#This Row],[Current Price]]-Stock[[#This Row],[Purchasing Price]])</f>
        <v>0.59999999999999964</v>
      </c>
      <c r="M90" s="41">
        <f>IF(OR(Stock[[#This Row],[Current Price]]="",Stock[[#This Row],[Shares]]=""),"",Stock[[#This Row],[Current Price]]*Stock[[#This Row],[Shares]])</f>
        <v>3856</v>
      </c>
      <c r="N90" s="34">
        <f>SUMIF(C:C,Stock[[#This Row],[Stock]],O:O)</f>
        <v>1203.5999999999967</v>
      </c>
      <c r="O90" s="35">
        <f>IF(OR(Stock[[#This Row],[Gross Current Value]]="",Stock[[#This Row],[Total Value]]=""),"",Stock[[#This Row],[Gross Current Value]]-Stock[[#This Row],[Total Value]])</f>
        <v>144.59999999999991</v>
      </c>
      <c r="P90" s="38">
        <f>IF(OR(Stock[[#This Row],[Gain(Lose) Value]]="",Stock[[#This Row],[Total Value]]=""),"",Stock[[#This Row],[Gain(Lose) Value]]/Stock[[#This Row],[Total Value]])</f>
        <v>3.8961038961038932E-2</v>
      </c>
    </row>
    <row r="91" spans="1:16" ht="30" customHeight="1" x14ac:dyDescent="0.2">
      <c r="A91" s="20" t="str">
        <f t="shared" si="1"/>
        <v/>
      </c>
      <c r="B91" s="27" t="s">
        <v>71</v>
      </c>
      <c r="C91" s="25" t="s">
        <v>48</v>
      </c>
      <c r="D91" s="32" t="str">
        <f>IFERROR(INDEX(Database!C:C,MATCH(Stock[[#This Row],[Stock]],Database!B:B,0)),"")</f>
        <v>CCC</v>
      </c>
      <c r="E91" s="32" t="str">
        <f>IFERROR(INDEX(Database!D:D,MATCH(Stock[[#This Row],[Stock]],Database!B:B,0)),"")</f>
        <v>Sector 1</v>
      </c>
      <c r="F91" s="27">
        <v>44179</v>
      </c>
      <c r="G91" s="39">
        <f>IF(Stock[[#This Row],[Purchase Date]]="","",Stock[[#This Row],[Purchase Date]])</f>
        <v>44179</v>
      </c>
      <c r="H91" s="28">
        <v>355</v>
      </c>
      <c r="I91" s="34">
        <f>IFERROR(INDEX(Database!E:E,MATCH(Stock[[#This Row],[Stock]],Database!B:B,0)),"")</f>
        <v>10.8</v>
      </c>
      <c r="J91" s="35">
        <f>IF(OR(Stock[[#This Row],[Purchasing Price]]="",Stock[[#This Row],[Shares]]=""),"",Stock[[#This Row],[Purchasing Price]]*Stock[[#This Row],[Shares]])</f>
        <v>3834.0000000000005</v>
      </c>
      <c r="K91" s="40">
        <v>10</v>
      </c>
      <c r="L91" s="36">
        <f>IF(OR(Stock[[#This Row],[Current Price]]="",Stock[[#This Row],[Purchasing Price]]=""),"",Stock[[#This Row],[Current Price]]-Stock[[#This Row],[Purchasing Price]])</f>
        <v>-0.80000000000000071</v>
      </c>
      <c r="M91" s="41">
        <f>IF(OR(Stock[[#This Row],[Current Price]]="",Stock[[#This Row],[Shares]]=""),"",Stock[[#This Row],[Current Price]]*Stock[[#This Row],[Shares]])</f>
        <v>3550</v>
      </c>
      <c r="N91" s="34">
        <f>SUMIF(C:C,Stock[[#This Row],[Stock]],O:O)</f>
        <v>-535.40000000000168</v>
      </c>
      <c r="O91" s="35">
        <f>IF(OR(Stock[[#This Row],[Gross Current Value]]="",Stock[[#This Row],[Total Value]]=""),"",Stock[[#This Row],[Gross Current Value]]-Stock[[#This Row],[Total Value]])</f>
        <v>-284.00000000000045</v>
      </c>
      <c r="P91" s="38">
        <f>IF(OR(Stock[[#This Row],[Gain(Lose) Value]]="",Stock[[#This Row],[Total Value]]=""),"",Stock[[#This Row],[Gain(Lose) Value]]/Stock[[#This Row],[Total Value]])</f>
        <v>-7.4074074074074181E-2</v>
      </c>
    </row>
    <row r="92" spans="1:16" ht="30" customHeight="1" x14ac:dyDescent="0.2">
      <c r="A92" s="20" t="str">
        <f t="shared" si="1"/>
        <v/>
      </c>
      <c r="B92" s="27" t="s">
        <v>71</v>
      </c>
      <c r="C92" s="25" t="s">
        <v>47</v>
      </c>
      <c r="D92" s="32" t="str">
        <f>IFERROR(INDEX(Database!C:C,MATCH(Stock[[#This Row],[Stock]],Database!B:B,0)),"")</f>
        <v/>
      </c>
      <c r="E92" s="32" t="str">
        <f>IFERROR(INDEX(Database!D:D,MATCH(Stock[[#This Row],[Stock]],Database!B:B,0)),"")</f>
        <v/>
      </c>
      <c r="F92" s="27">
        <v>44178</v>
      </c>
      <c r="G92" s="39">
        <f>IF(Stock[[#This Row],[Purchase Date]]="","",Stock[[#This Row],[Purchase Date]])</f>
        <v>44178</v>
      </c>
      <c r="H92" s="28">
        <v>495</v>
      </c>
      <c r="I92" s="34" t="str">
        <f>IFERROR(INDEX(Database!E:E,MATCH(Stock[[#This Row],[Stock]],Database!B:B,0)),"")</f>
        <v/>
      </c>
      <c r="J92" s="35" t="str">
        <f>IF(OR(Stock[[#This Row],[Purchasing Price]]="",Stock[[#This Row],[Shares]]=""),"",Stock[[#This Row],[Purchasing Price]]*Stock[[#This Row],[Shares]])</f>
        <v/>
      </c>
      <c r="K92" s="40">
        <v>12</v>
      </c>
      <c r="L92" s="36" t="str">
        <f>IF(OR(Stock[[#This Row],[Current Price]]="",Stock[[#This Row],[Purchasing Price]]=""),"",Stock[[#This Row],[Current Price]]-Stock[[#This Row],[Purchasing Price]])</f>
        <v/>
      </c>
      <c r="M92" s="41">
        <f>IF(OR(Stock[[#This Row],[Current Price]]="",Stock[[#This Row],[Shares]]=""),"",Stock[[#This Row],[Current Price]]*Stock[[#This Row],[Shares]])</f>
        <v>5940</v>
      </c>
      <c r="N92" s="34">
        <f>SUMIF(C:C,Stock[[#This Row],[Stock]],O:O)</f>
        <v>0</v>
      </c>
      <c r="O92" s="35" t="str">
        <f>IF(OR(Stock[[#This Row],[Gross Current Value]]="",Stock[[#This Row],[Total Value]]=""),"",Stock[[#This Row],[Gross Current Value]]-Stock[[#This Row],[Total Value]])</f>
        <v/>
      </c>
      <c r="P92" s="38" t="str">
        <f>IF(OR(Stock[[#This Row],[Gain(Lose) Value]]="",Stock[[#This Row],[Total Value]]=""),"",Stock[[#This Row],[Gain(Lose) Value]]/Stock[[#This Row],[Total Value]])</f>
        <v/>
      </c>
    </row>
    <row r="93" spans="1:16" ht="30" customHeight="1" x14ac:dyDescent="0.2">
      <c r="A93" s="20" t="str">
        <f t="shared" si="1"/>
        <v/>
      </c>
      <c r="B93" s="27" t="s">
        <v>70</v>
      </c>
      <c r="C93" s="25" t="s">
        <v>47</v>
      </c>
      <c r="D93" s="32" t="str">
        <f>IFERROR(INDEX(Database!C:C,MATCH(Stock[[#This Row],[Stock]],Database!B:B,0)),"")</f>
        <v/>
      </c>
      <c r="E93" s="32" t="str">
        <f>IFERROR(INDEX(Database!D:D,MATCH(Stock[[#This Row],[Stock]],Database!B:B,0)),"")</f>
        <v/>
      </c>
      <c r="F93" s="27">
        <v>43905</v>
      </c>
      <c r="G93" s="39">
        <f>IF(Stock[[#This Row],[Purchase Date]]="","",Stock[[#This Row],[Purchase Date]])</f>
        <v>43905</v>
      </c>
      <c r="H93" s="28">
        <v>185</v>
      </c>
      <c r="I93" s="34" t="str">
        <f>IFERROR(INDEX(Database!E:E,MATCH(Stock[[#This Row],[Stock]],Database!B:B,0)),"")</f>
        <v/>
      </c>
      <c r="J93" s="35" t="str">
        <f>IF(OR(Stock[[#This Row],[Purchasing Price]]="",Stock[[#This Row],[Shares]]=""),"",Stock[[#This Row],[Purchasing Price]]*Stock[[#This Row],[Shares]])</f>
        <v/>
      </c>
      <c r="K93" s="40">
        <v>12</v>
      </c>
      <c r="L93" s="36" t="str">
        <f>IF(OR(Stock[[#This Row],[Current Price]]="",Stock[[#This Row],[Purchasing Price]]=""),"",Stock[[#This Row],[Current Price]]-Stock[[#This Row],[Purchasing Price]])</f>
        <v/>
      </c>
      <c r="M93" s="41">
        <f>IF(OR(Stock[[#This Row],[Current Price]]="",Stock[[#This Row],[Shares]]=""),"",Stock[[#This Row],[Current Price]]*Stock[[#This Row],[Shares]])</f>
        <v>2220</v>
      </c>
      <c r="N93" s="34">
        <f>SUMIF(C:C,Stock[[#This Row],[Stock]],O:O)</f>
        <v>0</v>
      </c>
      <c r="O93" s="35" t="str">
        <f>IF(OR(Stock[[#This Row],[Gross Current Value]]="",Stock[[#This Row],[Total Value]]=""),"",Stock[[#This Row],[Gross Current Value]]-Stock[[#This Row],[Total Value]])</f>
        <v/>
      </c>
      <c r="P93" s="38" t="str">
        <f>IF(OR(Stock[[#This Row],[Gain(Lose) Value]]="",Stock[[#This Row],[Total Value]]=""),"",Stock[[#This Row],[Gain(Lose) Value]]/Stock[[#This Row],[Total Value]])</f>
        <v/>
      </c>
    </row>
    <row r="94" spans="1:16" ht="30" customHeight="1" x14ac:dyDescent="0.2">
      <c r="A94" s="20" t="str">
        <f t="shared" si="1"/>
        <v/>
      </c>
      <c r="B94" s="27" t="s">
        <v>70</v>
      </c>
      <c r="C94" s="25" t="s">
        <v>50</v>
      </c>
      <c r="D94" s="32" t="str">
        <f>IFERROR(INDEX(Database!C:C,MATCH(Stock[[#This Row],[Stock]],Database!B:B,0)),"")</f>
        <v>DBA</v>
      </c>
      <c r="E94" s="32" t="str">
        <f>IFERROR(INDEX(Database!D:D,MATCH(Stock[[#This Row],[Stock]],Database!B:B,0)),"")</f>
        <v>Sector 2</v>
      </c>
      <c r="F94" s="27">
        <v>44124</v>
      </c>
      <c r="G94" s="39">
        <f>IF(Stock[[#This Row],[Purchase Date]]="","",Stock[[#This Row],[Purchase Date]])</f>
        <v>44124</v>
      </c>
      <c r="H94" s="28">
        <v>435</v>
      </c>
      <c r="I94" s="34">
        <f>IFERROR(INDEX(Database!E:E,MATCH(Stock[[#This Row],[Stock]],Database!B:B,0)),"")</f>
        <v>7.8</v>
      </c>
      <c r="J94" s="35">
        <f>IF(OR(Stock[[#This Row],[Purchasing Price]]="",Stock[[#This Row],[Shares]]=""),"",Stock[[#This Row],[Purchasing Price]]*Stock[[#This Row],[Shares]])</f>
        <v>3393</v>
      </c>
      <c r="K94" s="40">
        <v>8</v>
      </c>
      <c r="L94" s="36">
        <f>IF(OR(Stock[[#This Row],[Current Price]]="",Stock[[#This Row],[Purchasing Price]]=""),"",Stock[[#This Row],[Current Price]]-Stock[[#This Row],[Purchasing Price]])</f>
        <v>0.20000000000000018</v>
      </c>
      <c r="M94" s="41">
        <f>IF(OR(Stock[[#This Row],[Current Price]]="",Stock[[#This Row],[Shares]]=""),"",Stock[[#This Row],[Current Price]]*Stock[[#This Row],[Shares]])</f>
        <v>3480</v>
      </c>
      <c r="N94" s="34">
        <f>SUMIF(C:C,Stock[[#This Row],[Stock]],O:O)</f>
        <v>-528.59999999999991</v>
      </c>
      <c r="O94" s="35">
        <f>IF(OR(Stock[[#This Row],[Gross Current Value]]="",Stock[[#This Row],[Total Value]]=""),"",Stock[[#This Row],[Gross Current Value]]-Stock[[#This Row],[Total Value]])</f>
        <v>87</v>
      </c>
      <c r="P94" s="38">
        <f>IF(OR(Stock[[#This Row],[Gain(Lose) Value]]="",Stock[[#This Row],[Total Value]]=""),"",Stock[[#This Row],[Gain(Lose) Value]]/Stock[[#This Row],[Total Value]])</f>
        <v>2.564102564102564E-2</v>
      </c>
    </row>
    <row r="95" spans="1:16" ht="30" customHeight="1" x14ac:dyDescent="0.2">
      <c r="A95" s="20" t="str">
        <f t="shared" si="1"/>
        <v/>
      </c>
      <c r="B95" s="27" t="s">
        <v>69</v>
      </c>
      <c r="C95" s="25" t="s">
        <v>57</v>
      </c>
      <c r="D95" s="32" t="str">
        <f>IFERROR(INDEX(Database!C:C,MATCH(Stock[[#This Row],[Stock]],Database!B:B,0)),"")</f>
        <v>ACC</v>
      </c>
      <c r="E95" s="32" t="str">
        <f>IFERROR(INDEX(Database!D:D,MATCH(Stock[[#This Row],[Stock]],Database!B:B,0)),"")</f>
        <v>Sector 4</v>
      </c>
      <c r="F95" s="27">
        <v>44192</v>
      </c>
      <c r="G95" s="39">
        <f>IF(Stock[[#This Row],[Purchase Date]]="","",Stock[[#This Row],[Purchase Date]])</f>
        <v>44192</v>
      </c>
      <c r="H95" s="28">
        <v>147</v>
      </c>
      <c r="I95" s="34">
        <f>IFERROR(INDEX(Database!E:E,MATCH(Stock[[#This Row],[Stock]],Database!B:B,0)),"")</f>
        <v>15</v>
      </c>
      <c r="J95" s="35">
        <f>IF(OR(Stock[[#This Row],[Purchasing Price]]="",Stock[[#This Row],[Shares]]=""),"",Stock[[#This Row],[Purchasing Price]]*Stock[[#This Row],[Shares]])</f>
        <v>2205</v>
      </c>
      <c r="K95" s="40">
        <v>15</v>
      </c>
      <c r="L95" s="36">
        <f>IF(OR(Stock[[#This Row],[Current Price]]="",Stock[[#This Row],[Purchasing Price]]=""),"",Stock[[#This Row],[Current Price]]-Stock[[#This Row],[Purchasing Price]])</f>
        <v>0</v>
      </c>
      <c r="M95" s="41">
        <f>IF(OR(Stock[[#This Row],[Current Price]]="",Stock[[#This Row],[Shares]]=""),"",Stock[[#This Row],[Current Price]]*Stock[[#This Row],[Shares]])</f>
        <v>2205</v>
      </c>
      <c r="N95" s="34">
        <f>SUMIF(C:C,Stock[[#This Row],[Stock]],O:O)</f>
        <v>-510</v>
      </c>
      <c r="O95" s="35">
        <f>IF(OR(Stock[[#This Row],[Gross Current Value]]="",Stock[[#This Row],[Total Value]]=""),"",Stock[[#This Row],[Gross Current Value]]-Stock[[#This Row],[Total Value]])</f>
        <v>0</v>
      </c>
      <c r="P95" s="38">
        <f>IF(OR(Stock[[#This Row],[Gain(Lose) Value]]="",Stock[[#This Row],[Total Value]]=""),"",Stock[[#This Row],[Gain(Lose) Value]]/Stock[[#This Row],[Total Value]])</f>
        <v>0</v>
      </c>
    </row>
    <row r="96" spans="1:16" ht="30" customHeight="1" x14ac:dyDescent="0.2">
      <c r="A96" s="20" t="str">
        <f t="shared" si="1"/>
        <v/>
      </c>
      <c r="B96" s="27" t="s">
        <v>69</v>
      </c>
      <c r="C96" s="25" t="s">
        <v>56</v>
      </c>
      <c r="D96" s="32" t="str">
        <f>IFERROR(INDEX(Database!C:C,MATCH(Stock[[#This Row],[Stock]],Database!B:B,0)),"")</f>
        <v>CBC</v>
      </c>
      <c r="E96" s="32" t="str">
        <f>IFERROR(INDEX(Database!D:D,MATCH(Stock[[#This Row],[Stock]],Database!B:B,0)),"")</f>
        <v>Sector 2</v>
      </c>
      <c r="F96" s="27">
        <v>44096</v>
      </c>
      <c r="G96" s="39">
        <f>IF(Stock[[#This Row],[Purchase Date]]="","",Stock[[#This Row],[Purchase Date]])</f>
        <v>44096</v>
      </c>
      <c r="H96" s="28">
        <v>451</v>
      </c>
      <c r="I96" s="34">
        <f>IFERROR(INDEX(Database!E:E,MATCH(Stock[[#This Row],[Stock]],Database!B:B,0)),"")</f>
        <v>17</v>
      </c>
      <c r="J96" s="35">
        <f>IF(OR(Stock[[#This Row],[Purchasing Price]]="",Stock[[#This Row],[Shares]]=""),"",Stock[[#This Row],[Purchasing Price]]*Stock[[#This Row],[Shares]])</f>
        <v>7667</v>
      </c>
      <c r="K96" s="40">
        <v>16.3</v>
      </c>
      <c r="L96" s="36">
        <f>IF(OR(Stock[[#This Row],[Current Price]]="",Stock[[#This Row],[Purchasing Price]]=""),"",Stock[[#This Row],[Current Price]]-Stock[[#This Row],[Purchasing Price]])</f>
        <v>-0.69999999999999929</v>
      </c>
      <c r="M96" s="41">
        <f>IF(OR(Stock[[#This Row],[Current Price]]="",Stock[[#This Row],[Shares]]=""),"",Stock[[#This Row],[Current Price]]*Stock[[#This Row],[Shares]])</f>
        <v>7351.3</v>
      </c>
      <c r="N96" s="34">
        <f>SUMIF(C:C,Stock[[#This Row],[Stock]],O:O)</f>
        <v>-1769.6999999999998</v>
      </c>
      <c r="O96" s="35">
        <f>IF(OR(Stock[[#This Row],[Gross Current Value]]="",Stock[[#This Row],[Total Value]]=""),"",Stock[[#This Row],[Gross Current Value]]-Stock[[#This Row],[Total Value]])</f>
        <v>-315.69999999999982</v>
      </c>
      <c r="P96" s="38">
        <f>IF(OR(Stock[[#This Row],[Gain(Lose) Value]]="",Stock[[#This Row],[Total Value]]=""),"",Stock[[#This Row],[Gain(Lose) Value]]/Stock[[#This Row],[Total Value]])</f>
        <v>-4.1176470588235273E-2</v>
      </c>
    </row>
    <row r="97" spans="1:16" ht="30" customHeight="1" x14ac:dyDescent="0.2">
      <c r="A97" s="20" t="str">
        <f t="shared" si="1"/>
        <v/>
      </c>
      <c r="B97" s="27" t="s">
        <v>71</v>
      </c>
      <c r="C97" s="25" t="s">
        <v>59</v>
      </c>
      <c r="D97" s="32" t="str">
        <f>IFERROR(INDEX(Database!C:C,MATCH(Stock[[#This Row],[Stock]],Database!B:B,0)),"")</f>
        <v>BCA</v>
      </c>
      <c r="E97" s="32" t="str">
        <f>IFERROR(INDEX(Database!D:D,MATCH(Stock[[#This Row],[Stock]],Database!B:B,0)),"")</f>
        <v>Sector 3</v>
      </c>
      <c r="F97" s="27">
        <v>43910</v>
      </c>
      <c r="G97" s="39">
        <f>IF(Stock[[#This Row],[Purchase Date]]="","",Stock[[#This Row],[Purchase Date]])</f>
        <v>43910</v>
      </c>
      <c r="H97" s="28">
        <v>127</v>
      </c>
      <c r="I97" s="34">
        <f>IFERROR(INDEX(Database!E:E,MATCH(Stock[[#This Row],[Stock]],Database!B:B,0)),"")</f>
        <v>8.9</v>
      </c>
      <c r="J97" s="35">
        <f>IF(OR(Stock[[#This Row],[Purchasing Price]]="",Stock[[#This Row],[Shares]]=""),"",Stock[[#This Row],[Purchasing Price]]*Stock[[#This Row],[Shares]])</f>
        <v>1130.3</v>
      </c>
      <c r="K97" s="40">
        <v>10</v>
      </c>
      <c r="L97" s="36">
        <f>IF(OR(Stock[[#This Row],[Current Price]]="",Stock[[#This Row],[Purchasing Price]]=""),"",Stock[[#This Row],[Current Price]]-Stock[[#This Row],[Purchasing Price]])</f>
        <v>1.0999999999999996</v>
      </c>
      <c r="M97" s="41">
        <f>IF(OR(Stock[[#This Row],[Current Price]]="",Stock[[#This Row],[Shares]]=""),"",Stock[[#This Row],[Current Price]]*Stock[[#This Row],[Shares]])</f>
        <v>1270</v>
      </c>
      <c r="N97" s="34">
        <f>SUMIF(C:C,Stock[[#This Row],[Stock]],O:O)</f>
        <v>1996.7999999999988</v>
      </c>
      <c r="O97" s="35">
        <f>IF(OR(Stock[[#This Row],[Gross Current Value]]="",Stock[[#This Row],[Total Value]]=""),"",Stock[[#This Row],[Gross Current Value]]-Stock[[#This Row],[Total Value]])</f>
        <v>139.70000000000005</v>
      </c>
      <c r="P97" s="38">
        <f>IF(OR(Stock[[#This Row],[Gain(Lose) Value]]="",Stock[[#This Row],[Total Value]]=""),"",Stock[[#This Row],[Gain(Lose) Value]]/Stock[[#This Row],[Total Value]])</f>
        <v>0.12359550561797758</v>
      </c>
    </row>
    <row r="98" spans="1:16" ht="30" customHeight="1" x14ac:dyDescent="0.2">
      <c r="A98" s="20" t="str">
        <f t="shared" si="1"/>
        <v/>
      </c>
      <c r="B98" s="27" t="s">
        <v>71</v>
      </c>
      <c r="C98" s="25" t="s">
        <v>47</v>
      </c>
      <c r="D98" s="32" t="str">
        <f>IFERROR(INDEX(Database!C:C,MATCH(Stock[[#This Row],[Stock]],Database!B:B,0)),"")</f>
        <v/>
      </c>
      <c r="E98" s="32" t="str">
        <f>IFERROR(INDEX(Database!D:D,MATCH(Stock[[#This Row],[Stock]],Database!B:B,0)),"")</f>
        <v/>
      </c>
      <c r="F98" s="27">
        <v>44169</v>
      </c>
      <c r="G98" s="39">
        <f>IF(Stock[[#This Row],[Purchase Date]]="","",Stock[[#This Row],[Purchase Date]])</f>
        <v>44169</v>
      </c>
      <c r="H98" s="28">
        <v>323</v>
      </c>
      <c r="I98" s="34" t="str">
        <f>IFERROR(INDEX(Database!E:E,MATCH(Stock[[#This Row],[Stock]],Database!B:B,0)),"")</f>
        <v/>
      </c>
      <c r="J98" s="35" t="str">
        <f>IF(OR(Stock[[#This Row],[Purchasing Price]]="",Stock[[#This Row],[Shares]]=""),"",Stock[[#This Row],[Purchasing Price]]*Stock[[#This Row],[Shares]])</f>
        <v/>
      </c>
      <c r="K98" s="40">
        <v>13</v>
      </c>
      <c r="L98" s="36" t="str">
        <f>IF(OR(Stock[[#This Row],[Current Price]]="",Stock[[#This Row],[Purchasing Price]]=""),"",Stock[[#This Row],[Current Price]]-Stock[[#This Row],[Purchasing Price]])</f>
        <v/>
      </c>
      <c r="M98" s="41">
        <f>IF(OR(Stock[[#This Row],[Current Price]]="",Stock[[#This Row],[Shares]]=""),"",Stock[[#This Row],[Current Price]]*Stock[[#This Row],[Shares]])</f>
        <v>4199</v>
      </c>
      <c r="N98" s="34">
        <f>SUMIF(C:C,Stock[[#This Row],[Stock]],O:O)</f>
        <v>0</v>
      </c>
      <c r="O98" s="35" t="str">
        <f>IF(OR(Stock[[#This Row],[Gross Current Value]]="",Stock[[#This Row],[Total Value]]=""),"",Stock[[#This Row],[Gross Current Value]]-Stock[[#This Row],[Total Value]])</f>
        <v/>
      </c>
      <c r="P98" s="38" t="str">
        <f>IF(OR(Stock[[#This Row],[Gain(Lose) Value]]="",Stock[[#This Row],[Total Value]]=""),"",Stock[[#This Row],[Gain(Lose) Value]]/Stock[[#This Row],[Total Value]])</f>
        <v/>
      </c>
    </row>
    <row r="99" spans="1:16" ht="30" customHeight="1" x14ac:dyDescent="0.2">
      <c r="A99" s="20" t="str">
        <f t="shared" si="1"/>
        <v/>
      </c>
      <c r="B99" s="27" t="s">
        <v>70</v>
      </c>
      <c r="C99" s="25" t="s">
        <v>57</v>
      </c>
      <c r="D99" s="32" t="str">
        <f>IFERROR(INDEX(Database!C:C,MATCH(Stock[[#This Row],[Stock]],Database!B:B,0)),"")</f>
        <v>ACC</v>
      </c>
      <c r="E99" s="32" t="str">
        <f>IFERROR(INDEX(Database!D:D,MATCH(Stock[[#This Row],[Stock]],Database!B:B,0)),"")</f>
        <v>Sector 4</v>
      </c>
      <c r="F99" s="27">
        <v>44169</v>
      </c>
      <c r="G99" s="39">
        <f>IF(Stock[[#This Row],[Purchase Date]]="","",Stock[[#This Row],[Purchase Date]])</f>
        <v>44169</v>
      </c>
      <c r="H99" s="28">
        <v>134</v>
      </c>
      <c r="I99" s="34">
        <f>IFERROR(INDEX(Database!E:E,MATCH(Stock[[#This Row],[Stock]],Database!B:B,0)),"")</f>
        <v>15</v>
      </c>
      <c r="J99" s="35">
        <f>IF(OR(Stock[[#This Row],[Purchasing Price]]="",Stock[[#This Row],[Shares]]=""),"",Stock[[#This Row],[Purchasing Price]]*Stock[[#This Row],[Shares]])</f>
        <v>2010</v>
      </c>
      <c r="K99" s="40">
        <v>14</v>
      </c>
      <c r="L99" s="36">
        <f>IF(OR(Stock[[#This Row],[Current Price]]="",Stock[[#This Row],[Purchasing Price]]=""),"",Stock[[#This Row],[Current Price]]-Stock[[#This Row],[Purchasing Price]])</f>
        <v>-1</v>
      </c>
      <c r="M99" s="41">
        <f>IF(OR(Stock[[#This Row],[Current Price]]="",Stock[[#This Row],[Shares]]=""),"",Stock[[#This Row],[Current Price]]*Stock[[#This Row],[Shares]])</f>
        <v>1876</v>
      </c>
      <c r="N99" s="34">
        <f>SUMIF(C:C,Stock[[#This Row],[Stock]],O:O)</f>
        <v>-510</v>
      </c>
      <c r="O99" s="35">
        <f>IF(OR(Stock[[#This Row],[Gross Current Value]]="",Stock[[#This Row],[Total Value]]=""),"",Stock[[#This Row],[Gross Current Value]]-Stock[[#This Row],[Total Value]])</f>
        <v>-134</v>
      </c>
      <c r="P99" s="38">
        <f>IF(OR(Stock[[#This Row],[Gain(Lose) Value]]="",Stock[[#This Row],[Total Value]]=""),"",Stock[[#This Row],[Gain(Lose) Value]]/Stock[[#This Row],[Total Value]])</f>
        <v>-6.6666666666666666E-2</v>
      </c>
    </row>
    <row r="100" spans="1:16" ht="30" customHeight="1" x14ac:dyDescent="0.2">
      <c r="A100" s="20" t="str">
        <f t="shared" si="1"/>
        <v/>
      </c>
      <c r="B100" s="27" t="s">
        <v>71</v>
      </c>
      <c r="C100" s="25" t="s">
        <v>58</v>
      </c>
      <c r="D100" s="32" t="str">
        <f>IFERROR(INDEX(Database!C:C,MATCH(Stock[[#This Row],[Stock]],Database!B:B,0)),"")</f>
        <v>BBB</v>
      </c>
      <c r="E100" s="32" t="str">
        <f>IFERROR(INDEX(Database!D:D,MATCH(Stock[[#This Row],[Stock]],Database!B:B,0)),"")</f>
        <v>Sector 2</v>
      </c>
      <c r="F100" s="27">
        <v>44196</v>
      </c>
      <c r="G100" s="39">
        <f>IF(Stock[[#This Row],[Purchase Date]]="","",Stock[[#This Row],[Purchase Date]])</f>
        <v>44196</v>
      </c>
      <c r="H100" s="28">
        <v>335</v>
      </c>
      <c r="I100" s="34">
        <f>IFERROR(INDEX(Database!E:E,MATCH(Stock[[#This Row],[Stock]],Database!B:B,0)),"")</f>
        <v>14</v>
      </c>
      <c r="J100" s="35">
        <f>IF(OR(Stock[[#This Row],[Purchasing Price]]="",Stock[[#This Row],[Shares]]=""),"",Stock[[#This Row],[Purchasing Price]]*Stock[[#This Row],[Shares]])</f>
        <v>4690</v>
      </c>
      <c r="K100" s="40">
        <v>14</v>
      </c>
      <c r="L100" s="36">
        <f>IF(OR(Stock[[#This Row],[Current Price]]="",Stock[[#This Row],[Purchasing Price]]=""),"",Stock[[#This Row],[Current Price]]-Stock[[#This Row],[Purchasing Price]])</f>
        <v>0</v>
      </c>
      <c r="M100" s="41">
        <f>IF(OR(Stock[[#This Row],[Current Price]]="",Stock[[#This Row],[Shares]]=""),"",Stock[[#This Row],[Current Price]]*Stock[[#This Row],[Shares]])</f>
        <v>4690</v>
      </c>
      <c r="N100" s="34">
        <f>SUMIF(C:C,Stock[[#This Row],[Stock]],O:O)</f>
        <v>1897</v>
      </c>
      <c r="O100" s="35">
        <f>IF(OR(Stock[[#This Row],[Gross Current Value]]="",Stock[[#This Row],[Total Value]]=""),"",Stock[[#This Row],[Gross Current Value]]-Stock[[#This Row],[Total Value]])</f>
        <v>0</v>
      </c>
      <c r="P100" s="38">
        <f>IF(OR(Stock[[#This Row],[Gain(Lose) Value]]="",Stock[[#This Row],[Total Value]]=""),"",Stock[[#This Row],[Gain(Lose) Value]]/Stock[[#This Row],[Total Value]])</f>
        <v>0</v>
      </c>
    </row>
    <row r="101" spans="1:16" ht="30" customHeight="1" x14ac:dyDescent="0.2">
      <c r="A101" s="20" t="str">
        <f t="shared" si="1"/>
        <v/>
      </c>
      <c r="B101" s="27" t="s">
        <v>69</v>
      </c>
      <c r="C101" s="25" t="s">
        <v>58</v>
      </c>
      <c r="D101" s="32" t="str">
        <f>IFERROR(INDEX(Database!C:C,MATCH(Stock[[#This Row],[Stock]],Database!B:B,0)),"")</f>
        <v>BBB</v>
      </c>
      <c r="E101" s="32" t="str">
        <f>IFERROR(INDEX(Database!D:D,MATCH(Stock[[#This Row],[Stock]],Database!B:B,0)),"")</f>
        <v>Sector 2</v>
      </c>
      <c r="F101" s="27">
        <v>44007</v>
      </c>
      <c r="G101" s="39">
        <f>IF(Stock[[#This Row],[Purchase Date]]="","",Stock[[#This Row],[Purchase Date]])</f>
        <v>44007</v>
      </c>
      <c r="H101" s="28">
        <v>405</v>
      </c>
      <c r="I101" s="34">
        <f>IFERROR(INDEX(Database!E:E,MATCH(Stock[[#This Row],[Stock]],Database!B:B,0)),"")</f>
        <v>14</v>
      </c>
      <c r="J101" s="35">
        <f>IF(OR(Stock[[#This Row],[Purchasing Price]]="",Stock[[#This Row],[Shares]]=""),"",Stock[[#This Row],[Purchasing Price]]*Stock[[#This Row],[Shares]])</f>
        <v>5670</v>
      </c>
      <c r="K101" s="40">
        <v>15</v>
      </c>
      <c r="L101" s="36">
        <f>IF(OR(Stock[[#This Row],[Current Price]]="",Stock[[#This Row],[Purchasing Price]]=""),"",Stock[[#This Row],[Current Price]]-Stock[[#This Row],[Purchasing Price]])</f>
        <v>1</v>
      </c>
      <c r="M101" s="41">
        <f>IF(OR(Stock[[#This Row],[Current Price]]="",Stock[[#This Row],[Shares]]=""),"",Stock[[#This Row],[Current Price]]*Stock[[#This Row],[Shares]])</f>
        <v>6075</v>
      </c>
      <c r="N101" s="34">
        <f>SUMIF(C:C,Stock[[#This Row],[Stock]],O:O)</f>
        <v>1897</v>
      </c>
      <c r="O101" s="35">
        <f>IF(OR(Stock[[#This Row],[Gross Current Value]]="",Stock[[#This Row],[Total Value]]=""),"",Stock[[#This Row],[Gross Current Value]]-Stock[[#This Row],[Total Value]])</f>
        <v>405</v>
      </c>
      <c r="P101" s="38">
        <f>IF(OR(Stock[[#This Row],[Gain(Lose) Value]]="",Stock[[#This Row],[Total Value]]=""),"",Stock[[#This Row],[Gain(Lose) Value]]/Stock[[#This Row],[Total Value]])</f>
        <v>7.1428571428571425E-2</v>
      </c>
    </row>
    <row r="102" spans="1:16" ht="30" customHeight="1" x14ac:dyDescent="0.2">
      <c r="A102" s="20" t="str">
        <f t="shared" si="1"/>
        <v/>
      </c>
      <c r="B102" s="27" t="s">
        <v>71</v>
      </c>
      <c r="C102" s="25" t="s">
        <v>47</v>
      </c>
      <c r="D102" s="32" t="str">
        <f>IFERROR(INDEX(Database!C:C,MATCH(Stock[[#This Row],[Stock]],Database!B:B,0)),"")</f>
        <v/>
      </c>
      <c r="E102" s="32" t="str">
        <f>IFERROR(INDEX(Database!D:D,MATCH(Stock[[#This Row],[Stock]],Database!B:B,0)),"")</f>
        <v/>
      </c>
      <c r="F102" s="27">
        <v>44079</v>
      </c>
      <c r="G102" s="39">
        <f>IF(Stock[[#This Row],[Purchase Date]]="","",Stock[[#This Row],[Purchase Date]])</f>
        <v>44079</v>
      </c>
      <c r="H102" s="28">
        <v>104</v>
      </c>
      <c r="I102" s="34" t="str">
        <f>IFERROR(INDEX(Database!E:E,MATCH(Stock[[#This Row],[Stock]],Database!B:B,0)),"")</f>
        <v/>
      </c>
      <c r="J102" s="35" t="str">
        <f>IF(OR(Stock[[#This Row],[Purchasing Price]]="",Stock[[#This Row],[Shares]]=""),"",Stock[[#This Row],[Purchasing Price]]*Stock[[#This Row],[Shares]])</f>
        <v/>
      </c>
      <c r="K102" s="40">
        <v>13</v>
      </c>
      <c r="L102" s="36" t="str">
        <f>IF(OR(Stock[[#This Row],[Current Price]]="",Stock[[#This Row],[Purchasing Price]]=""),"",Stock[[#This Row],[Current Price]]-Stock[[#This Row],[Purchasing Price]])</f>
        <v/>
      </c>
      <c r="M102" s="41">
        <f>IF(OR(Stock[[#This Row],[Current Price]]="",Stock[[#This Row],[Shares]]=""),"",Stock[[#This Row],[Current Price]]*Stock[[#This Row],[Shares]])</f>
        <v>1352</v>
      </c>
      <c r="N102" s="34">
        <f>SUMIF(C:C,Stock[[#This Row],[Stock]],O:O)</f>
        <v>0</v>
      </c>
      <c r="O102" s="35" t="str">
        <f>IF(OR(Stock[[#This Row],[Gross Current Value]]="",Stock[[#This Row],[Total Value]]=""),"",Stock[[#This Row],[Gross Current Value]]-Stock[[#This Row],[Total Value]])</f>
        <v/>
      </c>
      <c r="P102" s="38" t="str">
        <f>IF(OR(Stock[[#This Row],[Gain(Lose) Value]]="",Stock[[#This Row],[Total Value]]=""),"",Stock[[#This Row],[Gain(Lose) Value]]/Stock[[#This Row],[Total Value]])</f>
        <v/>
      </c>
    </row>
    <row r="103" spans="1:16" ht="30" customHeight="1" x14ac:dyDescent="0.2">
      <c r="A103" s="20" t="str">
        <f t="shared" si="1"/>
        <v/>
      </c>
      <c r="B103" s="27" t="s">
        <v>71</v>
      </c>
      <c r="C103" s="25" t="s">
        <v>57</v>
      </c>
      <c r="D103" s="32" t="str">
        <f>IFERROR(INDEX(Database!C:C,MATCH(Stock[[#This Row],[Stock]],Database!B:B,0)),"")</f>
        <v>ACC</v>
      </c>
      <c r="E103" s="32" t="str">
        <f>IFERROR(INDEX(Database!D:D,MATCH(Stock[[#This Row],[Stock]],Database!B:B,0)),"")</f>
        <v>Sector 4</v>
      </c>
      <c r="F103" s="27">
        <v>43851</v>
      </c>
      <c r="G103" s="39">
        <f>IF(Stock[[#This Row],[Purchase Date]]="","",Stock[[#This Row],[Purchase Date]])</f>
        <v>43851</v>
      </c>
      <c r="H103" s="28">
        <v>176</v>
      </c>
      <c r="I103" s="34">
        <f>IFERROR(INDEX(Database!E:E,MATCH(Stock[[#This Row],[Stock]],Database!B:B,0)),"")</f>
        <v>15</v>
      </c>
      <c r="J103" s="35">
        <f>IF(OR(Stock[[#This Row],[Purchasing Price]]="",Stock[[#This Row],[Shares]]=""),"",Stock[[#This Row],[Purchasing Price]]*Stock[[#This Row],[Shares]])</f>
        <v>2640</v>
      </c>
      <c r="K103" s="40">
        <v>14</v>
      </c>
      <c r="L103" s="36">
        <f>IF(OR(Stock[[#This Row],[Current Price]]="",Stock[[#This Row],[Purchasing Price]]=""),"",Stock[[#This Row],[Current Price]]-Stock[[#This Row],[Purchasing Price]])</f>
        <v>-1</v>
      </c>
      <c r="M103" s="41">
        <f>IF(OR(Stock[[#This Row],[Current Price]]="",Stock[[#This Row],[Shares]]=""),"",Stock[[#This Row],[Current Price]]*Stock[[#This Row],[Shares]])</f>
        <v>2464</v>
      </c>
      <c r="N103" s="34">
        <f>SUMIF(C:C,Stock[[#This Row],[Stock]],O:O)</f>
        <v>-510</v>
      </c>
      <c r="O103" s="35">
        <f>IF(OR(Stock[[#This Row],[Gross Current Value]]="",Stock[[#This Row],[Total Value]]=""),"",Stock[[#This Row],[Gross Current Value]]-Stock[[#This Row],[Total Value]])</f>
        <v>-176</v>
      </c>
      <c r="P103" s="38">
        <f>IF(OR(Stock[[#This Row],[Gain(Lose) Value]]="",Stock[[#This Row],[Total Value]]=""),"",Stock[[#This Row],[Gain(Lose) Value]]/Stock[[#This Row],[Total Value]])</f>
        <v>-6.6666666666666666E-2</v>
      </c>
    </row>
    <row r="104" spans="1:16" ht="30" customHeight="1" x14ac:dyDescent="0.2">
      <c r="A104" s="20" t="str">
        <f t="shared" si="1"/>
        <v/>
      </c>
      <c r="B104" s="27" t="s">
        <v>71</v>
      </c>
      <c r="C104" s="25" t="s">
        <v>56</v>
      </c>
      <c r="D104" s="32" t="str">
        <f>IFERROR(INDEX(Database!C:C,MATCH(Stock[[#This Row],[Stock]],Database!B:B,0)),"")</f>
        <v>CBC</v>
      </c>
      <c r="E104" s="32" t="str">
        <f>IFERROR(INDEX(Database!D:D,MATCH(Stock[[#This Row],[Stock]],Database!B:B,0)),"")</f>
        <v>Sector 2</v>
      </c>
      <c r="F104" s="27">
        <v>44098</v>
      </c>
      <c r="G104" s="39">
        <f>IF(Stock[[#This Row],[Purchase Date]]="","",Stock[[#This Row],[Purchase Date]])</f>
        <v>44098</v>
      </c>
      <c r="H104" s="28">
        <v>182</v>
      </c>
      <c r="I104" s="34">
        <f>IFERROR(INDEX(Database!E:E,MATCH(Stock[[#This Row],[Stock]],Database!B:B,0)),"")</f>
        <v>17</v>
      </c>
      <c r="J104" s="35">
        <f>IF(OR(Stock[[#This Row],[Purchasing Price]]="",Stock[[#This Row],[Shares]]=""),"",Stock[[#This Row],[Purchasing Price]]*Stock[[#This Row],[Shares]])</f>
        <v>3094</v>
      </c>
      <c r="K104" s="40">
        <v>18</v>
      </c>
      <c r="L104" s="36">
        <f>IF(OR(Stock[[#This Row],[Current Price]]="",Stock[[#This Row],[Purchasing Price]]=""),"",Stock[[#This Row],[Current Price]]-Stock[[#This Row],[Purchasing Price]])</f>
        <v>1</v>
      </c>
      <c r="M104" s="41">
        <f>IF(OR(Stock[[#This Row],[Current Price]]="",Stock[[#This Row],[Shares]]=""),"",Stock[[#This Row],[Current Price]]*Stock[[#This Row],[Shares]])</f>
        <v>3276</v>
      </c>
      <c r="N104" s="34">
        <f>SUMIF(C:C,Stock[[#This Row],[Stock]],O:O)</f>
        <v>-1769.6999999999998</v>
      </c>
      <c r="O104" s="35">
        <f>IF(OR(Stock[[#This Row],[Gross Current Value]]="",Stock[[#This Row],[Total Value]]=""),"",Stock[[#This Row],[Gross Current Value]]-Stock[[#This Row],[Total Value]])</f>
        <v>182</v>
      </c>
      <c r="P104" s="38">
        <f>IF(OR(Stock[[#This Row],[Gain(Lose) Value]]="",Stock[[#This Row],[Total Value]]=""),"",Stock[[#This Row],[Gain(Lose) Value]]/Stock[[#This Row],[Total Value]])</f>
        <v>5.8823529411764705E-2</v>
      </c>
    </row>
    <row r="105" spans="1:16" ht="30" customHeight="1" x14ac:dyDescent="0.2">
      <c r="A105" s="20" t="str">
        <f t="shared" si="1"/>
        <v/>
      </c>
      <c r="B105" s="27" t="s">
        <v>70</v>
      </c>
      <c r="C105" s="25" t="s">
        <v>48</v>
      </c>
      <c r="D105" s="32" t="str">
        <f>IFERROR(INDEX(Database!C:C,MATCH(Stock[[#This Row],[Stock]],Database!B:B,0)),"")</f>
        <v>CCC</v>
      </c>
      <c r="E105" s="32" t="str">
        <f>IFERROR(INDEX(Database!D:D,MATCH(Stock[[#This Row],[Stock]],Database!B:B,0)),"")</f>
        <v>Sector 1</v>
      </c>
      <c r="F105" s="27">
        <v>44012</v>
      </c>
      <c r="G105" s="39">
        <f>IF(Stock[[#This Row],[Purchase Date]]="","",Stock[[#This Row],[Purchase Date]])</f>
        <v>44012</v>
      </c>
      <c r="H105" s="28">
        <v>130</v>
      </c>
      <c r="I105" s="34">
        <f>IFERROR(INDEX(Database!E:E,MATCH(Stock[[#This Row],[Stock]],Database!B:B,0)),"")</f>
        <v>10.8</v>
      </c>
      <c r="J105" s="35">
        <f>IF(OR(Stock[[#This Row],[Purchasing Price]]="",Stock[[#This Row],[Shares]]=""),"",Stock[[#This Row],[Purchasing Price]]*Stock[[#This Row],[Shares]])</f>
        <v>1404</v>
      </c>
      <c r="K105" s="40">
        <v>12</v>
      </c>
      <c r="L105" s="36">
        <f>IF(OR(Stock[[#This Row],[Current Price]]="",Stock[[#This Row],[Purchasing Price]]=""),"",Stock[[#This Row],[Current Price]]-Stock[[#This Row],[Purchasing Price]])</f>
        <v>1.1999999999999993</v>
      </c>
      <c r="M105" s="41">
        <f>IF(OR(Stock[[#This Row],[Current Price]]="",Stock[[#This Row],[Shares]]=""),"",Stock[[#This Row],[Current Price]]*Stock[[#This Row],[Shares]])</f>
        <v>1560</v>
      </c>
      <c r="N105" s="34">
        <f>SUMIF(C:C,Stock[[#This Row],[Stock]],O:O)</f>
        <v>-535.40000000000168</v>
      </c>
      <c r="O105" s="35">
        <f>IF(OR(Stock[[#This Row],[Gross Current Value]]="",Stock[[#This Row],[Total Value]]=""),"",Stock[[#This Row],[Gross Current Value]]-Stock[[#This Row],[Total Value]])</f>
        <v>156</v>
      </c>
      <c r="P105" s="38">
        <f>IF(OR(Stock[[#This Row],[Gain(Lose) Value]]="",Stock[[#This Row],[Total Value]]=""),"",Stock[[#This Row],[Gain(Lose) Value]]/Stock[[#This Row],[Total Value]])</f>
        <v>0.1111111111111111</v>
      </c>
    </row>
    <row r="106" spans="1:16" ht="30" customHeight="1" x14ac:dyDescent="0.2">
      <c r="A106" s="20" t="str">
        <f t="shared" si="1"/>
        <v/>
      </c>
      <c r="B106" s="27" t="s">
        <v>69</v>
      </c>
      <c r="C106" s="25" t="s">
        <v>57</v>
      </c>
      <c r="D106" s="32" t="str">
        <f>IFERROR(INDEX(Database!C:C,MATCH(Stock[[#This Row],[Stock]],Database!B:B,0)),"")</f>
        <v>ACC</v>
      </c>
      <c r="E106" s="32" t="str">
        <f>IFERROR(INDEX(Database!D:D,MATCH(Stock[[#This Row],[Stock]],Database!B:B,0)),"")</f>
        <v>Sector 4</v>
      </c>
      <c r="F106" s="27">
        <v>44065</v>
      </c>
      <c r="G106" s="39">
        <f>IF(Stock[[#This Row],[Purchase Date]]="","",Stock[[#This Row],[Purchase Date]])</f>
        <v>44065</v>
      </c>
      <c r="H106" s="28">
        <v>200</v>
      </c>
      <c r="I106" s="34">
        <f>IFERROR(INDEX(Database!E:E,MATCH(Stock[[#This Row],[Stock]],Database!B:B,0)),"")</f>
        <v>15</v>
      </c>
      <c r="J106" s="35">
        <f>IF(OR(Stock[[#This Row],[Purchasing Price]]="",Stock[[#This Row],[Shares]]=""),"",Stock[[#This Row],[Purchasing Price]]*Stock[[#This Row],[Shares]])</f>
        <v>3000</v>
      </c>
      <c r="K106" s="40">
        <v>14</v>
      </c>
      <c r="L106" s="36">
        <f>IF(OR(Stock[[#This Row],[Current Price]]="",Stock[[#This Row],[Purchasing Price]]=""),"",Stock[[#This Row],[Current Price]]-Stock[[#This Row],[Purchasing Price]])</f>
        <v>-1</v>
      </c>
      <c r="M106" s="41">
        <f>IF(OR(Stock[[#This Row],[Current Price]]="",Stock[[#This Row],[Shares]]=""),"",Stock[[#This Row],[Current Price]]*Stock[[#This Row],[Shares]])</f>
        <v>2800</v>
      </c>
      <c r="N106" s="34">
        <f>SUMIF(C:C,Stock[[#This Row],[Stock]],O:O)</f>
        <v>-510</v>
      </c>
      <c r="O106" s="35">
        <f>IF(OR(Stock[[#This Row],[Gross Current Value]]="",Stock[[#This Row],[Total Value]]=""),"",Stock[[#This Row],[Gross Current Value]]-Stock[[#This Row],[Total Value]])</f>
        <v>-200</v>
      </c>
      <c r="P106" s="38">
        <f>IF(OR(Stock[[#This Row],[Gain(Lose) Value]]="",Stock[[#This Row],[Total Value]]=""),"",Stock[[#This Row],[Gain(Lose) Value]]/Stock[[#This Row],[Total Value]])</f>
        <v>-6.6666666666666666E-2</v>
      </c>
    </row>
    <row r="107" spans="1:16" ht="30" customHeight="1" x14ac:dyDescent="0.2">
      <c r="A107" s="20" t="str">
        <f t="shared" si="1"/>
        <v/>
      </c>
      <c r="B107" s="27" t="s">
        <v>70</v>
      </c>
      <c r="C107" s="25" t="s">
        <v>58</v>
      </c>
      <c r="D107" s="32" t="str">
        <f>IFERROR(INDEX(Database!C:C,MATCH(Stock[[#This Row],[Stock]],Database!B:B,0)),"")</f>
        <v>BBB</v>
      </c>
      <c r="E107" s="32" t="str">
        <f>IFERROR(INDEX(Database!D:D,MATCH(Stock[[#This Row],[Stock]],Database!B:B,0)),"")</f>
        <v>Sector 2</v>
      </c>
      <c r="F107" s="27">
        <v>43896</v>
      </c>
      <c r="G107" s="39">
        <f>IF(Stock[[#This Row],[Purchase Date]]="","",Stock[[#This Row],[Purchase Date]])</f>
        <v>43896</v>
      </c>
      <c r="H107" s="28">
        <v>176</v>
      </c>
      <c r="I107" s="34">
        <f>IFERROR(INDEX(Database!E:E,MATCH(Stock[[#This Row],[Stock]],Database!B:B,0)),"")</f>
        <v>14</v>
      </c>
      <c r="J107" s="35">
        <f>IF(OR(Stock[[#This Row],[Purchasing Price]]="",Stock[[#This Row],[Shares]]=""),"",Stock[[#This Row],[Purchasing Price]]*Stock[[#This Row],[Shares]])</f>
        <v>2464</v>
      </c>
      <c r="K107" s="40">
        <v>15</v>
      </c>
      <c r="L107" s="36">
        <f>IF(OR(Stock[[#This Row],[Current Price]]="",Stock[[#This Row],[Purchasing Price]]=""),"",Stock[[#This Row],[Current Price]]-Stock[[#This Row],[Purchasing Price]])</f>
        <v>1</v>
      </c>
      <c r="M107" s="41">
        <f>IF(OR(Stock[[#This Row],[Current Price]]="",Stock[[#This Row],[Shares]]=""),"",Stock[[#This Row],[Current Price]]*Stock[[#This Row],[Shares]])</f>
        <v>2640</v>
      </c>
      <c r="N107" s="34">
        <f>SUMIF(C:C,Stock[[#This Row],[Stock]],O:O)</f>
        <v>1897</v>
      </c>
      <c r="O107" s="35">
        <f>IF(OR(Stock[[#This Row],[Gross Current Value]]="",Stock[[#This Row],[Total Value]]=""),"",Stock[[#This Row],[Gross Current Value]]-Stock[[#This Row],[Total Value]])</f>
        <v>176</v>
      </c>
      <c r="P107" s="38">
        <f>IF(OR(Stock[[#This Row],[Gain(Lose) Value]]="",Stock[[#This Row],[Total Value]]=""),"",Stock[[#This Row],[Gain(Lose) Value]]/Stock[[#This Row],[Total Value]])</f>
        <v>7.1428571428571425E-2</v>
      </c>
    </row>
    <row r="108" spans="1:16" ht="30" customHeight="1" x14ac:dyDescent="0.2">
      <c r="A108" s="20" t="str">
        <f t="shared" si="1"/>
        <v/>
      </c>
      <c r="B108" s="27" t="s">
        <v>69</v>
      </c>
      <c r="C108" s="25" t="s">
        <v>49</v>
      </c>
      <c r="D108" s="32" t="str">
        <f>IFERROR(INDEX(Database!C:C,MATCH(Stock[[#This Row],[Stock]],Database!B:B,0)),"")</f>
        <v>CDA</v>
      </c>
      <c r="E108" s="32" t="str">
        <f>IFERROR(INDEX(Database!D:D,MATCH(Stock[[#This Row],[Stock]],Database!B:B,0)),"")</f>
        <v>Sector 4</v>
      </c>
      <c r="F108" s="27">
        <v>43932</v>
      </c>
      <c r="G108" s="39">
        <f>IF(Stock[[#This Row],[Purchase Date]]="","",Stock[[#This Row],[Purchase Date]])</f>
        <v>43932</v>
      </c>
      <c r="H108" s="28">
        <v>450</v>
      </c>
      <c r="I108" s="34">
        <f>IFERROR(INDEX(Database!E:E,MATCH(Stock[[#This Row],[Stock]],Database!B:B,0)),"")</f>
        <v>15.4</v>
      </c>
      <c r="J108" s="35">
        <f>IF(OR(Stock[[#This Row],[Purchasing Price]]="",Stock[[#This Row],[Shares]]=""),"",Stock[[#This Row],[Purchasing Price]]*Stock[[#This Row],[Shares]])</f>
        <v>6930</v>
      </c>
      <c r="K108" s="40">
        <v>15</v>
      </c>
      <c r="L108" s="36">
        <f>IF(OR(Stock[[#This Row],[Current Price]]="",Stock[[#This Row],[Purchasing Price]]=""),"",Stock[[#This Row],[Current Price]]-Stock[[#This Row],[Purchasing Price]])</f>
        <v>-0.40000000000000036</v>
      </c>
      <c r="M108" s="41">
        <f>IF(OR(Stock[[#This Row],[Current Price]]="",Stock[[#This Row],[Shares]]=""),"",Stock[[#This Row],[Current Price]]*Stock[[#This Row],[Shares]])</f>
        <v>6750</v>
      </c>
      <c r="N108" s="34">
        <f>SUMIF(C:C,Stock[[#This Row],[Stock]],O:O)</f>
        <v>1203.5999999999967</v>
      </c>
      <c r="O108" s="35">
        <f>IF(OR(Stock[[#This Row],[Gross Current Value]]="",Stock[[#This Row],[Total Value]]=""),"",Stock[[#This Row],[Gross Current Value]]-Stock[[#This Row],[Total Value]])</f>
        <v>-180</v>
      </c>
      <c r="P108" s="38">
        <f>IF(OR(Stock[[#This Row],[Gain(Lose) Value]]="",Stock[[#This Row],[Total Value]]=""),"",Stock[[#This Row],[Gain(Lose) Value]]/Stock[[#This Row],[Total Value]])</f>
        <v>-2.5974025974025976E-2</v>
      </c>
    </row>
    <row r="109" spans="1:16" ht="30" customHeight="1" x14ac:dyDescent="0.2">
      <c r="A109" s="20" t="str">
        <f t="shared" si="1"/>
        <v/>
      </c>
      <c r="B109" s="27" t="s">
        <v>69</v>
      </c>
      <c r="C109" s="25" t="s">
        <v>59</v>
      </c>
      <c r="D109" s="32" t="str">
        <f>IFERROR(INDEX(Database!C:C,MATCH(Stock[[#This Row],[Stock]],Database!B:B,0)),"")</f>
        <v>BCA</v>
      </c>
      <c r="E109" s="32" t="str">
        <f>IFERROR(INDEX(Database!D:D,MATCH(Stock[[#This Row],[Stock]],Database!B:B,0)),"")</f>
        <v>Sector 3</v>
      </c>
      <c r="F109" s="27">
        <v>43869</v>
      </c>
      <c r="G109" s="39">
        <f>IF(Stock[[#This Row],[Purchase Date]]="","",Stock[[#This Row],[Purchase Date]])</f>
        <v>43869</v>
      </c>
      <c r="H109" s="28">
        <v>169</v>
      </c>
      <c r="I109" s="34">
        <f>IFERROR(INDEX(Database!E:E,MATCH(Stock[[#This Row],[Stock]],Database!B:B,0)),"")</f>
        <v>8.9</v>
      </c>
      <c r="J109" s="35">
        <f>IF(OR(Stock[[#This Row],[Purchasing Price]]="",Stock[[#This Row],[Shares]]=""),"",Stock[[#This Row],[Purchasing Price]]*Stock[[#This Row],[Shares]])</f>
        <v>1504.1000000000001</v>
      </c>
      <c r="K109" s="40">
        <v>9</v>
      </c>
      <c r="L109" s="36">
        <f>IF(OR(Stock[[#This Row],[Current Price]]="",Stock[[#This Row],[Purchasing Price]]=""),"",Stock[[#This Row],[Current Price]]-Stock[[#This Row],[Purchasing Price]])</f>
        <v>9.9999999999999645E-2</v>
      </c>
      <c r="M109" s="41">
        <f>IF(OR(Stock[[#This Row],[Current Price]]="",Stock[[#This Row],[Shares]]=""),"",Stock[[#This Row],[Current Price]]*Stock[[#This Row],[Shares]])</f>
        <v>1521</v>
      </c>
      <c r="N109" s="34">
        <f>SUMIF(C:C,Stock[[#This Row],[Stock]],O:O)</f>
        <v>1996.7999999999988</v>
      </c>
      <c r="O109" s="35">
        <f>IF(OR(Stock[[#This Row],[Gross Current Value]]="",Stock[[#This Row],[Total Value]]=""),"",Stock[[#This Row],[Gross Current Value]]-Stock[[#This Row],[Total Value]])</f>
        <v>16.899999999999864</v>
      </c>
      <c r="P109" s="38">
        <f>IF(OR(Stock[[#This Row],[Gain(Lose) Value]]="",Stock[[#This Row],[Total Value]]=""),"",Stock[[#This Row],[Gain(Lose) Value]]/Stock[[#This Row],[Total Value]])</f>
        <v>1.1235955056179683E-2</v>
      </c>
    </row>
    <row r="110" spans="1:16" ht="30" customHeight="1" x14ac:dyDescent="0.2">
      <c r="A110" s="20" t="str">
        <f t="shared" si="1"/>
        <v/>
      </c>
      <c r="B110" s="27" t="s">
        <v>70</v>
      </c>
      <c r="C110" s="25" t="s">
        <v>56</v>
      </c>
      <c r="D110" s="32" t="str">
        <f>IFERROR(INDEX(Database!C:C,MATCH(Stock[[#This Row],[Stock]],Database!B:B,0)),"")</f>
        <v>CBC</v>
      </c>
      <c r="E110" s="32" t="str">
        <f>IFERROR(INDEX(Database!D:D,MATCH(Stock[[#This Row],[Stock]],Database!B:B,0)),"")</f>
        <v>Sector 2</v>
      </c>
      <c r="F110" s="27">
        <v>43936</v>
      </c>
      <c r="G110" s="39">
        <f>IF(Stock[[#This Row],[Purchase Date]]="","",Stock[[#This Row],[Purchase Date]])</f>
        <v>43936</v>
      </c>
      <c r="H110" s="28">
        <v>301</v>
      </c>
      <c r="I110" s="34">
        <f>IFERROR(INDEX(Database!E:E,MATCH(Stock[[#This Row],[Stock]],Database!B:B,0)),"")</f>
        <v>17</v>
      </c>
      <c r="J110" s="35">
        <f>IF(OR(Stock[[#This Row],[Purchasing Price]]="",Stock[[#This Row],[Shares]]=""),"",Stock[[#This Row],[Purchasing Price]]*Stock[[#This Row],[Shares]])</f>
        <v>5117</v>
      </c>
      <c r="K110" s="40">
        <v>16</v>
      </c>
      <c r="L110" s="36">
        <f>IF(OR(Stock[[#This Row],[Current Price]]="",Stock[[#This Row],[Purchasing Price]]=""),"",Stock[[#This Row],[Current Price]]-Stock[[#This Row],[Purchasing Price]])</f>
        <v>-1</v>
      </c>
      <c r="M110" s="41">
        <f>IF(OR(Stock[[#This Row],[Current Price]]="",Stock[[#This Row],[Shares]]=""),"",Stock[[#This Row],[Current Price]]*Stock[[#This Row],[Shares]])</f>
        <v>4816</v>
      </c>
      <c r="N110" s="34">
        <f>SUMIF(C:C,Stock[[#This Row],[Stock]],O:O)</f>
        <v>-1769.6999999999998</v>
      </c>
      <c r="O110" s="35">
        <f>IF(OR(Stock[[#This Row],[Gross Current Value]]="",Stock[[#This Row],[Total Value]]=""),"",Stock[[#This Row],[Gross Current Value]]-Stock[[#This Row],[Total Value]])</f>
        <v>-301</v>
      </c>
      <c r="P110" s="38">
        <f>IF(OR(Stock[[#This Row],[Gain(Lose) Value]]="",Stock[[#This Row],[Total Value]]=""),"",Stock[[#This Row],[Gain(Lose) Value]]/Stock[[#This Row],[Total Value]])</f>
        <v>-5.8823529411764705E-2</v>
      </c>
    </row>
    <row r="111" spans="1:16" ht="30" customHeight="1" x14ac:dyDescent="0.2">
      <c r="A111" s="20" t="str">
        <f t="shared" si="1"/>
        <v/>
      </c>
      <c r="B111" s="27" t="s">
        <v>71</v>
      </c>
      <c r="C111" s="25" t="s">
        <v>56</v>
      </c>
      <c r="D111" s="32" t="str">
        <f>IFERROR(INDEX(Database!C:C,MATCH(Stock[[#This Row],[Stock]],Database!B:B,0)),"")</f>
        <v>CBC</v>
      </c>
      <c r="E111" s="32" t="str">
        <f>IFERROR(INDEX(Database!D:D,MATCH(Stock[[#This Row],[Stock]],Database!B:B,0)),"")</f>
        <v>Sector 2</v>
      </c>
      <c r="F111" s="27">
        <v>44015</v>
      </c>
      <c r="G111" s="39">
        <f>IF(Stock[[#This Row],[Purchase Date]]="","",Stock[[#This Row],[Purchase Date]])</f>
        <v>44015</v>
      </c>
      <c r="H111" s="28">
        <v>127</v>
      </c>
      <c r="I111" s="34">
        <f>IFERROR(INDEX(Database!E:E,MATCH(Stock[[#This Row],[Stock]],Database!B:B,0)),"")</f>
        <v>17</v>
      </c>
      <c r="J111" s="35">
        <f>IF(OR(Stock[[#This Row],[Purchasing Price]]="",Stock[[#This Row],[Shares]]=""),"",Stock[[#This Row],[Purchasing Price]]*Stock[[#This Row],[Shares]])</f>
        <v>2159</v>
      </c>
      <c r="K111" s="40">
        <v>18</v>
      </c>
      <c r="L111" s="36">
        <f>IF(OR(Stock[[#This Row],[Current Price]]="",Stock[[#This Row],[Purchasing Price]]=""),"",Stock[[#This Row],[Current Price]]-Stock[[#This Row],[Purchasing Price]])</f>
        <v>1</v>
      </c>
      <c r="M111" s="41">
        <f>IF(OR(Stock[[#This Row],[Current Price]]="",Stock[[#This Row],[Shares]]=""),"",Stock[[#This Row],[Current Price]]*Stock[[#This Row],[Shares]])</f>
        <v>2286</v>
      </c>
      <c r="N111" s="34">
        <f>SUMIF(C:C,Stock[[#This Row],[Stock]],O:O)</f>
        <v>-1769.6999999999998</v>
      </c>
      <c r="O111" s="35">
        <f>IF(OR(Stock[[#This Row],[Gross Current Value]]="",Stock[[#This Row],[Total Value]]=""),"",Stock[[#This Row],[Gross Current Value]]-Stock[[#This Row],[Total Value]])</f>
        <v>127</v>
      </c>
      <c r="P111" s="38">
        <f>IF(OR(Stock[[#This Row],[Gain(Lose) Value]]="",Stock[[#This Row],[Total Value]]=""),"",Stock[[#This Row],[Gain(Lose) Value]]/Stock[[#This Row],[Total Value]])</f>
        <v>5.8823529411764705E-2</v>
      </c>
    </row>
    <row r="112" spans="1:16" ht="30" customHeight="1" x14ac:dyDescent="0.2">
      <c r="A112" s="20" t="str">
        <f t="shared" si="1"/>
        <v/>
      </c>
      <c r="B112" s="27" t="s">
        <v>69</v>
      </c>
      <c r="C112" s="25" t="s">
        <v>58</v>
      </c>
      <c r="D112" s="32" t="str">
        <f>IFERROR(INDEX(Database!C:C,MATCH(Stock[[#This Row],[Stock]],Database!B:B,0)),"")</f>
        <v>BBB</v>
      </c>
      <c r="E112" s="32" t="str">
        <f>IFERROR(INDEX(Database!D:D,MATCH(Stock[[#This Row],[Stock]],Database!B:B,0)),"")</f>
        <v>Sector 2</v>
      </c>
      <c r="F112" s="27">
        <v>43901</v>
      </c>
      <c r="G112" s="39">
        <f>IF(Stock[[#This Row],[Purchase Date]]="","",Stock[[#This Row],[Purchase Date]])</f>
        <v>43901</v>
      </c>
      <c r="H112" s="28">
        <v>263</v>
      </c>
      <c r="I112" s="34">
        <f>IFERROR(INDEX(Database!E:E,MATCH(Stock[[#This Row],[Stock]],Database!B:B,0)),"")</f>
        <v>14</v>
      </c>
      <c r="J112" s="35">
        <f>IF(OR(Stock[[#This Row],[Purchasing Price]]="",Stock[[#This Row],[Shares]]=""),"",Stock[[#This Row],[Purchasing Price]]*Stock[[#This Row],[Shares]])</f>
        <v>3682</v>
      </c>
      <c r="K112" s="40">
        <v>15</v>
      </c>
      <c r="L112" s="36">
        <f>IF(OR(Stock[[#This Row],[Current Price]]="",Stock[[#This Row],[Purchasing Price]]=""),"",Stock[[#This Row],[Current Price]]-Stock[[#This Row],[Purchasing Price]])</f>
        <v>1</v>
      </c>
      <c r="M112" s="41">
        <f>IF(OR(Stock[[#This Row],[Current Price]]="",Stock[[#This Row],[Shares]]=""),"",Stock[[#This Row],[Current Price]]*Stock[[#This Row],[Shares]])</f>
        <v>3945</v>
      </c>
      <c r="N112" s="34">
        <f>SUMIF(C:C,Stock[[#This Row],[Stock]],O:O)</f>
        <v>1897</v>
      </c>
      <c r="O112" s="35">
        <f>IF(OR(Stock[[#This Row],[Gross Current Value]]="",Stock[[#This Row],[Total Value]]=""),"",Stock[[#This Row],[Gross Current Value]]-Stock[[#This Row],[Total Value]])</f>
        <v>263</v>
      </c>
      <c r="P112" s="38">
        <f>IF(OR(Stock[[#This Row],[Gain(Lose) Value]]="",Stock[[#This Row],[Total Value]]=""),"",Stock[[#This Row],[Gain(Lose) Value]]/Stock[[#This Row],[Total Value]])</f>
        <v>7.1428571428571425E-2</v>
      </c>
    </row>
    <row r="113" spans="1:1" ht="30" customHeight="1" x14ac:dyDescent="0.2">
      <c r="A113" s="20" t="str">
        <f t="shared" si="1"/>
        <v>Add Stock Tracking Data---&gt;</v>
      </c>
    </row>
    <row r="114" spans="1:1" ht="30" customHeight="1" x14ac:dyDescent="0.2">
      <c r="A114" s="20" t="str">
        <f t="shared" si="1"/>
        <v/>
      </c>
    </row>
    <row r="115" spans="1:1" ht="30" customHeight="1" x14ac:dyDescent="0.2">
      <c r="A115" s="20" t="str">
        <f t="shared" si="1"/>
        <v/>
      </c>
    </row>
    <row r="116" spans="1:1" ht="30" customHeight="1" x14ac:dyDescent="0.2">
      <c r="A116" s="20" t="str">
        <f t="shared" si="1"/>
        <v/>
      </c>
    </row>
    <row r="117" spans="1:1" ht="30" customHeight="1" x14ac:dyDescent="0.2">
      <c r="A117" s="20" t="str">
        <f t="shared" si="1"/>
        <v/>
      </c>
    </row>
    <row r="118" spans="1:1" ht="30" customHeight="1" x14ac:dyDescent="0.2">
      <c r="A118" s="20" t="str">
        <f t="shared" si="1"/>
        <v/>
      </c>
    </row>
    <row r="119" spans="1:1" ht="30" customHeight="1" x14ac:dyDescent="0.2">
      <c r="A119" s="20" t="str">
        <f t="shared" si="1"/>
        <v/>
      </c>
    </row>
    <row r="120" spans="1:1" ht="30" customHeight="1" x14ac:dyDescent="0.2">
      <c r="A120" s="20" t="str">
        <f t="shared" si="1"/>
        <v/>
      </c>
    </row>
    <row r="121" spans="1:1" ht="30" customHeight="1" x14ac:dyDescent="0.2">
      <c r="A121" s="20" t="str">
        <f t="shared" si="1"/>
        <v/>
      </c>
    </row>
    <row r="122" spans="1:1" ht="30" customHeight="1" x14ac:dyDescent="0.2">
      <c r="A122" s="20" t="str">
        <f t="shared" si="1"/>
        <v/>
      </c>
    </row>
    <row r="123" spans="1:1" ht="30" customHeight="1" x14ac:dyDescent="0.2">
      <c r="A123" s="20" t="str">
        <f t="shared" si="1"/>
        <v/>
      </c>
    </row>
    <row r="124" spans="1:1" ht="30" customHeight="1" x14ac:dyDescent="0.2">
      <c r="A124" s="20" t="str">
        <f t="shared" si="1"/>
        <v/>
      </c>
    </row>
    <row r="125" spans="1:1" ht="30" customHeight="1" x14ac:dyDescent="0.2">
      <c r="A125" s="20" t="str">
        <f t="shared" si="1"/>
        <v/>
      </c>
    </row>
    <row r="126" spans="1:1" ht="30" customHeight="1" x14ac:dyDescent="0.2">
      <c r="A126" s="20" t="str">
        <f t="shared" si="1"/>
        <v/>
      </c>
    </row>
    <row r="127" spans="1:1" ht="30" customHeight="1" x14ac:dyDescent="0.2">
      <c r="A127" s="20" t="str">
        <f t="shared" si="1"/>
        <v/>
      </c>
    </row>
    <row r="128" spans="1:1" ht="30" customHeight="1" x14ac:dyDescent="0.2">
      <c r="A128" s="20" t="str">
        <f t="shared" si="1"/>
        <v/>
      </c>
    </row>
    <row r="129" spans="1:1" ht="30" customHeight="1" x14ac:dyDescent="0.2">
      <c r="A129" s="20" t="str">
        <f t="shared" si="1"/>
        <v/>
      </c>
    </row>
    <row r="130" spans="1:1" ht="30" customHeight="1" x14ac:dyDescent="0.2">
      <c r="A130" s="20" t="str">
        <f t="shared" si="1"/>
        <v/>
      </c>
    </row>
    <row r="131" spans="1:1" ht="30" customHeight="1" x14ac:dyDescent="0.2">
      <c r="A131" s="20" t="str">
        <f t="shared" si="1"/>
        <v/>
      </c>
    </row>
    <row r="132" spans="1:1" ht="30" customHeight="1" x14ac:dyDescent="0.2">
      <c r="A132" s="20" t="str">
        <f t="shared" si="1"/>
        <v/>
      </c>
    </row>
    <row r="133" spans="1:1" ht="30" customHeight="1" x14ac:dyDescent="0.2">
      <c r="A133" s="20" t="str">
        <f t="shared" si="1"/>
        <v/>
      </c>
    </row>
    <row r="134" spans="1:1" ht="30" customHeight="1" x14ac:dyDescent="0.2">
      <c r="A134" s="20" t="str">
        <f t="shared" si="1"/>
        <v/>
      </c>
    </row>
    <row r="135" spans="1:1" ht="30" customHeight="1" x14ac:dyDescent="0.2">
      <c r="A135" s="20" t="str">
        <f t="shared" si="1"/>
        <v/>
      </c>
    </row>
    <row r="136" spans="1:1" ht="30" customHeight="1" x14ac:dyDescent="0.2">
      <c r="A136" s="20" t="str">
        <f t="shared" si="1"/>
        <v/>
      </c>
    </row>
    <row r="137" spans="1:1" ht="30" customHeight="1" x14ac:dyDescent="0.2">
      <c r="A137" s="20" t="str">
        <f t="shared" si="1"/>
        <v/>
      </c>
    </row>
    <row r="138" spans="1:1" ht="30" customHeight="1" x14ac:dyDescent="0.2">
      <c r="A138" s="20" t="str">
        <f t="shared" si="1"/>
        <v/>
      </c>
    </row>
    <row r="139" spans="1:1" ht="30" customHeight="1" x14ac:dyDescent="0.2">
      <c r="A139" s="20" t="str">
        <f t="shared" si="1"/>
        <v/>
      </c>
    </row>
    <row r="140" spans="1:1" ht="30" customHeight="1" x14ac:dyDescent="0.2">
      <c r="A140" s="20" t="str">
        <f t="shared" si="1"/>
        <v/>
      </c>
    </row>
    <row r="141" spans="1:1" ht="30" customHeight="1" x14ac:dyDescent="0.2">
      <c r="A141" s="20" t="str">
        <f t="shared" si="1"/>
        <v/>
      </c>
    </row>
    <row r="142" spans="1:1" ht="30" customHeight="1" x14ac:dyDescent="0.2">
      <c r="A142" s="20" t="str">
        <f t="shared" si="1"/>
        <v/>
      </c>
    </row>
    <row r="143" spans="1:1" ht="30" customHeight="1" x14ac:dyDescent="0.2">
      <c r="A143" s="20" t="str">
        <f t="shared" si="1"/>
        <v/>
      </c>
    </row>
    <row r="144" spans="1:1" ht="30" customHeight="1" x14ac:dyDescent="0.2">
      <c r="A144" s="20" t="str">
        <f t="shared" si="1"/>
        <v/>
      </c>
    </row>
    <row r="145" spans="1:1" ht="30" customHeight="1" x14ac:dyDescent="0.2">
      <c r="A145" s="20" t="str">
        <f t="shared" si="1"/>
        <v/>
      </c>
    </row>
    <row r="146" spans="1:1" ht="30" customHeight="1" x14ac:dyDescent="0.2">
      <c r="A146" s="20" t="str">
        <f t="shared" si="1"/>
        <v/>
      </c>
    </row>
    <row r="147" spans="1:1" ht="30" customHeight="1" x14ac:dyDescent="0.2">
      <c r="A147" s="20" t="str">
        <f t="shared" si="1"/>
        <v/>
      </c>
    </row>
    <row r="148" spans="1:1" ht="30" customHeight="1" x14ac:dyDescent="0.2">
      <c r="A148" s="20" t="str">
        <f t="shared" si="1"/>
        <v/>
      </c>
    </row>
    <row r="149" spans="1:1" ht="30" customHeight="1" x14ac:dyDescent="0.2">
      <c r="A149" s="20" t="str">
        <f t="shared" si="1"/>
        <v/>
      </c>
    </row>
    <row r="150" spans="1:1" ht="30" customHeight="1" x14ac:dyDescent="0.2">
      <c r="A150" s="20" t="str">
        <f t="shared" si="1"/>
        <v/>
      </c>
    </row>
    <row r="151" spans="1:1" ht="30" customHeight="1" x14ac:dyDescent="0.2">
      <c r="A151" s="20" t="str">
        <f t="shared" si="1"/>
        <v/>
      </c>
    </row>
    <row r="152" spans="1:1" ht="30" customHeight="1" x14ac:dyDescent="0.2">
      <c r="A152" s="20" t="str">
        <f t="shared" ref="A152:A215" si="2">IF(AND(B151&lt;&gt;"",B152=""),$A$22&amp;"---&gt;","")</f>
        <v/>
      </c>
    </row>
    <row r="153" spans="1:1" ht="30" customHeight="1" x14ac:dyDescent="0.2">
      <c r="A153" s="20" t="str">
        <f t="shared" si="2"/>
        <v/>
      </c>
    </row>
    <row r="154" spans="1:1" ht="30" customHeight="1" x14ac:dyDescent="0.2">
      <c r="A154" s="20" t="str">
        <f t="shared" si="2"/>
        <v/>
      </c>
    </row>
    <row r="155" spans="1:1" ht="30" customHeight="1" x14ac:dyDescent="0.2">
      <c r="A155" s="20" t="str">
        <f t="shared" si="2"/>
        <v/>
      </c>
    </row>
    <row r="156" spans="1:1" ht="30" customHeight="1" x14ac:dyDescent="0.2">
      <c r="A156" s="20" t="str">
        <f t="shared" si="2"/>
        <v/>
      </c>
    </row>
    <row r="157" spans="1:1" ht="30" customHeight="1" x14ac:dyDescent="0.2">
      <c r="A157" s="20" t="str">
        <f t="shared" si="2"/>
        <v/>
      </c>
    </row>
    <row r="158" spans="1:1" ht="30" customHeight="1" x14ac:dyDescent="0.2">
      <c r="A158" s="20" t="str">
        <f t="shared" si="2"/>
        <v/>
      </c>
    </row>
    <row r="159" spans="1:1" ht="30" customHeight="1" x14ac:dyDescent="0.2">
      <c r="A159" s="20" t="str">
        <f t="shared" si="2"/>
        <v/>
      </c>
    </row>
    <row r="160" spans="1:1" ht="30" customHeight="1" x14ac:dyDescent="0.2">
      <c r="A160" s="20" t="str">
        <f t="shared" si="2"/>
        <v/>
      </c>
    </row>
    <row r="161" spans="1:1" ht="30" customHeight="1" x14ac:dyDescent="0.2">
      <c r="A161" s="20" t="str">
        <f t="shared" si="2"/>
        <v/>
      </c>
    </row>
    <row r="162" spans="1:1" ht="30" customHeight="1" x14ac:dyDescent="0.2">
      <c r="A162" s="20" t="str">
        <f t="shared" si="2"/>
        <v/>
      </c>
    </row>
    <row r="163" spans="1:1" ht="30" customHeight="1" x14ac:dyDescent="0.2">
      <c r="A163" s="20" t="str">
        <f t="shared" si="2"/>
        <v/>
      </c>
    </row>
    <row r="164" spans="1:1" ht="30" customHeight="1" x14ac:dyDescent="0.2">
      <c r="A164" s="20" t="str">
        <f t="shared" si="2"/>
        <v/>
      </c>
    </row>
    <row r="165" spans="1:1" ht="30" customHeight="1" x14ac:dyDescent="0.2">
      <c r="A165" s="20" t="str">
        <f t="shared" si="2"/>
        <v/>
      </c>
    </row>
    <row r="166" spans="1:1" ht="30" customHeight="1" x14ac:dyDescent="0.2">
      <c r="A166" s="20" t="str">
        <f t="shared" si="2"/>
        <v/>
      </c>
    </row>
    <row r="167" spans="1:1" ht="30" customHeight="1" x14ac:dyDescent="0.2">
      <c r="A167" s="20" t="str">
        <f t="shared" si="2"/>
        <v/>
      </c>
    </row>
    <row r="168" spans="1:1" ht="30" customHeight="1" x14ac:dyDescent="0.2">
      <c r="A168" s="20" t="str">
        <f t="shared" si="2"/>
        <v/>
      </c>
    </row>
    <row r="169" spans="1:1" ht="30" customHeight="1" x14ac:dyDescent="0.2">
      <c r="A169" s="20" t="str">
        <f t="shared" si="2"/>
        <v/>
      </c>
    </row>
    <row r="170" spans="1:1" ht="30" customHeight="1" x14ac:dyDescent="0.2">
      <c r="A170" s="20" t="str">
        <f t="shared" si="2"/>
        <v/>
      </c>
    </row>
    <row r="171" spans="1:1" ht="30" customHeight="1" x14ac:dyDescent="0.2">
      <c r="A171" s="20" t="str">
        <f t="shared" si="2"/>
        <v/>
      </c>
    </row>
    <row r="172" spans="1:1" ht="30" customHeight="1" x14ac:dyDescent="0.2">
      <c r="A172" s="20" t="str">
        <f t="shared" si="2"/>
        <v/>
      </c>
    </row>
    <row r="173" spans="1:1" ht="30" customHeight="1" x14ac:dyDescent="0.2">
      <c r="A173" s="20" t="str">
        <f t="shared" si="2"/>
        <v/>
      </c>
    </row>
    <row r="174" spans="1:1" ht="30" customHeight="1" x14ac:dyDescent="0.2">
      <c r="A174" s="20" t="str">
        <f t="shared" si="2"/>
        <v/>
      </c>
    </row>
    <row r="175" spans="1:1" ht="30" customHeight="1" x14ac:dyDescent="0.2">
      <c r="A175" s="20" t="str">
        <f t="shared" si="2"/>
        <v/>
      </c>
    </row>
    <row r="176" spans="1:1" ht="30" customHeight="1" x14ac:dyDescent="0.2">
      <c r="A176" s="20" t="str">
        <f t="shared" si="2"/>
        <v/>
      </c>
    </row>
    <row r="177" spans="1:1" ht="30" customHeight="1" x14ac:dyDescent="0.2">
      <c r="A177" s="20" t="str">
        <f t="shared" si="2"/>
        <v/>
      </c>
    </row>
    <row r="178" spans="1:1" ht="30" customHeight="1" x14ac:dyDescent="0.2">
      <c r="A178" s="20" t="str">
        <f t="shared" si="2"/>
        <v/>
      </c>
    </row>
    <row r="179" spans="1:1" ht="30" customHeight="1" x14ac:dyDescent="0.2">
      <c r="A179" s="20" t="str">
        <f t="shared" si="2"/>
        <v/>
      </c>
    </row>
    <row r="180" spans="1:1" ht="30" customHeight="1" x14ac:dyDescent="0.2">
      <c r="A180" s="20" t="str">
        <f t="shared" si="2"/>
        <v/>
      </c>
    </row>
    <row r="181" spans="1:1" ht="30" customHeight="1" x14ac:dyDescent="0.2">
      <c r="A181" s="20" t="str">
        <f t="shared" si="2"/>
        <v/>
      </c>
    </row>
    <row r="182" spans="1:1" ht="30" customHeight="1" x14ac:dyDescent="0.2">
      <c r="A182" s="20" t="str">
        <f t="shared" si="2"/>
        <v/>
      </c>
    </row>
    <row r="183" spans="1:1" ht="30" customHeight="1" x14ac:dyDescent="0.2">
      <c r="A183" s="20" t="str">
        <f t="shared" si="2"/>
        <v/>
      </c>
    </row>
    <row r="184" spans="1:1" ht="30" customHeight="1" x14ac:dyDescent="0.2">
      <c r="A184" s="20" t="str">
        <f t="shared" si="2"/>
        <v/>
      </c>
    </row>
    <row r="185" spans="1:1" ht="30" customHeight="1" x14ac:dyDescent="0.2">
      <c r="A185" s="20" t="str">
        <f t="shared" si="2"/>
        <v/>
      </c>
    </row>
    <row r="186" spans="1:1" ht="30" customHeight="1" x14ac:dyDescent="0.2">
      <c r="A186" s="20" t="str">
        <f t="shared" si="2"/>
        <v/>
      </c>
    </row>
    <row r="187" spans="1:1" ht="30" customHeight="1" x14ac:dyDescent="0.2">
      <c r="A187" s="20" t="str">
        <f t="shared" si="2"/>
        <v/>
      </c>
    </row>
    <row r="188" spans="1:1" ht="30" customHeight="1" x14ac:dyDescent="0.2">
      <c r="A188" s="20" t="str">
        <f t="shared" si="2"/>
        <v/>
      </c>
    </row>
    <row r="189" spans="1:1" ht="30" customHeight="1" x14ac:dyDescent="0.2">
      <c r="A189" s="20" t="str">
        <f t="shared" si="2"/>
        <v/>
      </c>
    </row>
    <row r="190" spans="1:1" ht="30" customHeight="1" x14ac:dyDescent="0.2">
      <c r="A190" s="20" t="str">
        <f t="shared" si="2"/>
        <v/>
      </c>
    </row>
    <row r="191" spans="1:1" ht="30" customHeight="1" x14ac:dyDescent="0.2">
      <c r="A191" s="20" t="str">
        <f t="shared" si="2"/>
        <v/>
      </c>
    </row>
    <row r="192" spans="1:1" ht="30" customHeight="1" x14ac:dyDescent="0.2">
      <c r="A192" s="20" t="str">
        <f t="shared" si="2"/>
        <v/>
      </c>
    </row>
    <row r="193" spans="1:1" ht="30" customHeight="1" x14ac:dyDescent="0.2">
      <c r="A193" s="20" t="str">
        <f t="shared" si="2"/>
        <v/>
      </c>
    </row>
    <row r="194" spans="1:1" ht="30" customHeight="1" x14ac:dyDescent="0.2">
      <c r="A194" s="20" t="str">
        <f t="shared" si="2"/>
        <v/>
      </c>
    </row>
    <row r="195" spans="1:1" ht="30" customHeight="1" x14ac:dyDescent="0.2">
      <c r="A195" s="20" t="str">
        <f t="shared" si="2"/>
        <v/>
      </c>
    </row>
    <row r="196" spans="1:1" ht="30" customHeight="1" x14ac:dyDescent="0.2">
      <c r="A196" s="20" t="str">
        <f t="shared" si="2"/>
        <v/>
      </c>
    </row>
    <row r="197" spans="1:1" ht="30" customHeight="1" x14ac:dyDescent="0.2">
      <c r="A197" s="20" t="str">
        <f t="shared" si="2"/>
        <v/>
      </c>
    </row>
    <row r="198" spans="1:1" ht="30" customHeight="1" x14ac:dyDescent="0.2">
      <c r="A198" s="20" t="str">
        <f t="shared" si="2"/>
        <v/>
      </c>
    </row>
    <row r="199" spans="1:1" ht="30" customHeight="1" x14ac:dyDescent="0.2">
      <c r="A199" s="20" t="str">
        <f t="shared" si="2"/>
        <v/>
      </c>
    </row>
    <row r="200" spans="1:1" ht="30" customHeight="1" x14ac:dyDescent="0.2">
      <c r="A200" s="20" t="str">
        <f t="shared" si="2"/>
        <v/>
      </c>
    </row>
    <row r="201" spans="1:1" ht="30" customHeight="1" x14ac:dyDescent="0.2">
      <c r="A201" s="20" t="str">
        <f t="shared" si="2"/>
        <v/>
      </c>
    </row>
    <row r="202" spans="1:1" ht="30" customHeight="1" x14ac:dyDescent="0.2">
      <c r="A202" s="20" t="str">
        <f t="shared" si="2"/>
        <v/>
      </c>
    </row>
    <row r="203" spans="1:1" ht="30" customHeight="1" x14ac:dyDescent="0.2">
      <c r="A203" s="20" t="str">
        <f t="shared" si="2"/>
        <v/>
      </c>
    </row>
    <row r="204" spans="1:1" ht="30" customHeight="1" x14ac:dyDescent="0.2">
      <c r="A204" s="20" t="str">
        <f t="shared" si="2"/>
        <v/>
      </c>
    </row>
    <row r="205" spans="1:1" ht="30" customHeight="1" x14ac:dyDescent="0.2">
      <c r="A205" s="20" t="str">
        <f t="shared" si="2"/>
        <v/>
      </c>
    </row>
    <row r="206" spans="1:1" ht="30" customHeight="1" x14ac:dyDescent="0.2">
      <c r="A206" s="20" t="str">
        <f t="shared" si="2"/>
        <v/>
      </c>
    </row>
    <row r="207" spans="1:1" ht="30" customHeight="1" x14ac:dyDescent="0.2">
      <c r="A207" s="20" t="str">
        <f t="shared" si="2"/>
        <v/>
      </c>
    </row>
    <row r="208" spans="1:1" ht="30" customHeight="1" x14ac:dyDescent="0.2">
      <c r="A208" s="20" t="str">
        <f t="shared" si="2"/>
        <v/>
      </c>
    </row>
    <row r="209" spans="1:1" ht="30" customHeight="1" x14ac:dyDescent="0.2">
      <c r="A209" s="20" t="str">
        <f t="shared" si="2"/>
        <v/>
      </c>
    </row>
    <row r="210" spans="1:1" ht="30" customHeight="1" x14ac:dyDescent="0.2">
      <c r="A210" s="20" t="str">
        <f t="shared" si="2"/>
        <v/>
      </c>
    </row>
    <row r="211" spans="1:1" ht="30" customHeight="1" x14ac:dyDescent="0.2">
      <c r="A211" s="20" t="str">
        <f t="shared" si="2"/>
        <v/>
      </c>
    </row>
    <row r="212" spans="1:1" ht="30" customHeight="1" x14ac:dyDescent="0.2">
      <c r="A212" s="20" t="str">
        <f t="shared" si="2"/>
        <v/>
      </c>
    </row>
    <row r="213" spans="1:1" ht="30" customHeight="1" x14ac:dyDescent="0.2">
      <c r="A213" s="20" t="str">
        <f t="shared" si="2"/>
        <v/>
      </c>
    </row>
    <row r="214" spans="1:1" ht="30" customHeight="1" x14ac:dyDescent="0.2">
      <c r="A214" s="20" t="str">
        <f t="shared" si="2"/>
        <v/>
      </c>
    </row>
    <row r="215" spans="1:1" ht="30" customHeight="1" x14ac:dyDescent="0.2">
      <c r="A215" s="20" t="str">
        <f t="shared" si="2"/>
        <v/>
      </c>
    </row>
    <row r="216" spans="1:1" ht="30" customHeight="1" x14ac:dyDescent="0.2">
      <c r="A216" s="20" t="str">
        <f t="shared" ref="A216:A279" si="3">IF(AND(B215&lt;&gt;"",B216=""),$A$22&amp;"---&gt;","")</f>
        <v/>
      </c>
    </row>
    <row r="217" spans="1:1" ht="30" customHeight="1" x14ac:dyDescent="0.2">
      <c r="A217" s="20" t="str">
        <f t="shared" si="3"/>
        <v/>
      </c>
    </row>
    <row r="218" spans="1:1" ht="30" customHeight="1" x14ac:dyDescent="0.2">
      <c r="A218" s="20" t="str">
        <f t="shared" si="3"/>
        <v/>
      </c>
    </row>
    <row r="219" spans="1:1" ht="30" customHeight="1" x14ac:dyDescent="0.2">
      <c r="A219" s="20" t="str">
        <f t="shared" si="3"/>
        <v/>
      </c>
    </row>
    <row r="220" spans="1:1" ht="30" customHeight="1" x14ac:dyDescent="0.2">
      <c r="A220" s="20" t="str">
        <f t="shared" si="3"/>
        <v/>
      </c>
    </row>
    <row r="221" spans="1:1" ht="30" customHeight="1" x14ac:dyDescent="0.2">
      <c r="A221" s="20" t="str">
        <f t="shared" si="3"/>
        <v/>
      </c>
    </row>
    <row r="222" spans="1:1" ht="30" customHeight="1" x14ac:dyDescent="0.2">
      <c r="A222" s="20" t="str">
        <f t="shared" si="3"/>
        <v/>
      </c>
    </row>
    <row r="223" spans="1:1" ht="30" customHeight="1" x14ac:dyDescent="0.2">
      <c r="A223" s="20" t="str">
        <f t="shared" si="3"/>
        <v/>
      </c>
    </row>
    <row r="224" spans="1:1" ht="30" customHeight="1" x14ac:dyDescent="0.2">
      <c r="A224" s="20" t="str">
        <f t="shared" si="3"/>
        <v/>
      </c>
    </row>
    <row r="225" spans="1:1" ht="30" customHeight="1" x14ac:dyDescent="0.2">
      <c r="A225" s="20" t="str">
        <f t="shared" si="3"/>
        <v/>
      </c>
    </row>
    <row r="226" spans="1:1" ht="30" customHeight="1" x14ac:dyDescent="0.2">
      <c r="A226" s="20" t="str">
        <f t="shared" si="3"/>
        <v/>
      </c>
    </row>
    <row r="227" spans="1:1" ht="30" customHeight="1" x14ac:dyDescent="0.2">
      <c r="A227" s="20" t="str">
        <f t="shared" si="3"/>
        <v/>
      </c>
    </row>
    <row r="228" spans="1:1" ht="30" customHeight="1" x14ac:dyDescent="0.2">
      <c r="A228" s="20" t="str">
        <f t="shared" si="3"/>
        <v/>
      </c>
    </row>
    <row r="229" spans="1:1" ht="30" customHeight="1" x14ac:dyDescent="0.2">
      <c r="A229" s="20" t="str">
        <f t="shared" si="3"/>
        <v/>
      </c>
    </row>
    <row r="230" spans="1:1" ht="30" customHeight="1" x14ac:dyDescent="0.2">
      <c r="A230" s="20" t="str">
        <f t="shared" si="3"/>
        <v/>
      </c>
    </row>
    <row r="231" spans="1:1" ht="30" customHeight="1" x14ac:dyDescent="0.2">
      <c r="A231" s="20" t="str">
        <f t="shared" si="3"/>
        <v/>
      </c>
    </row>
    <row r="232" spans="1:1" ht="30" customHeight="1" x14ac:dyDescent="0.2">
      <c r="A232" s="20" t="str">
        <f t="shared" si="3"/>
        <v/>
      </c>
    </row>
    <row r="233" spans="1:1" ht="30" customHeight="1" x14ac:dyDescent="0.2">
      <c r="A233" s="20" t="str">
        <f t="shared" si="3"/>
        <v/>
      </c>
    </row>
    <row r="234" spans="1:1" ht="30" customHeight="1" x14ac:dyDescent="0.2">
      <c r="A234" s="20" t="str">
        <f t="shared" si="3"/>
        <v/>
      </c>
    </row>
    <row r="235" spans="1:1" ht="30" customHeight="1" x14ac:dyDescent="0.2">
      <c r="A235" s="20" t="str">
        <f t="shared" si="3"/>
        <v/>
      </c>
    </row>
    <row r="236" spans="1:1" ht="30" customHeight="1" x14ac:dyDescent="0.2">
      <c r="A236" s="20" t="str">
        <f t="shared" si="3"/>
        <v/>
      </c>
    </row>
    <row r="237" spans="1:1" ht="30" customHeight="1" x14ac:dyDescent="0.2">
      <c r="A237" s="20" t="str">
        <f t="shared" si="3"/>
        <v/>
      </c>
    </row>
    <row r="238" spans="1:1" ht="30" customHeight="1" x14ac:dyDescent="0.2">
      <c r="A238" s="20" t="str">
        <f t="shared" si="3"/>
        <v/>
      </c>
    </row>
    <row r="239" spans="1:1" ht="30" customHeight="1" x14ac:dyDescent="0.2">
      <c r="A239" s="20" t="str">
        <f t="shared" si="3"/>
        <v/>
      </c>
    </row>
    <row r="240" spans="1:1" ht="30" customHeight="1" x14ac:dyDescent="0.2">
      <c r="A240" s="20" t="str">
        <f t="shared" si="3"/>
        <v/>
      </c>
    </row>
    <row r="241" spans="1:1" ht="30" customHeight="1" x14ac:dyDescent="0.2">
      <c r="A241" s="20" t="str">
        <f t="shared" si="3"/>
        <v/>
      </c>
    </row>
    <row r="242" spans="1:1" ht="30" customHeight="1" x14ac:dyDescent="0.2">
      <c r="A242" s="20" t="str">
        <f t="shared" si="3"/>
        <v/>
      </c>
    </row>
    <row r="243" spans="1:1" ht="30" customHeight="1" x14ac:dyDescent="0.2">
      <c r="A243" s="20" t="str">
        <f t="shared" si="3"/>
        <v/>
      </c>
    </row>
    <row r="244" spans="1:1" ht="30" customHeight="1" x14ac:dyDescent="0.2">
      <c r="A244" s="20" t="str">
        <f t="shared" si="3"/>
        <v/>
      </c>
    </row>
    <row r="245" spans="1:1" ht="30" customHeight="1" x14ac:dyDescent="0.2">
      <c r="A245" s="20" t="str">
        <f t="shared" si="3"/>
        <v/>
      </c>
    </row>
    <row r="246" spans="1:1" ht="30" customHeight="1" x14ac:dyDescent="0.2">
      <c r="A246" s="20" t="str">
        <f t="shared" si="3"/>
        <v/>
      </c>
    </row>
    <row r="247" spans="1:1" ht="30" customHeight="1" x14ac:dyDescent="0.2">
      <c r="A247" s="20" t="str">
        <f t="shared" si="3"/>
        <v/>
      </c>
    </row>
    <row r="248" spans="1:1" ht="30" customHeight="1" x14ac:dyDescent="0.2">
      <c r="A248" s="20" t="str">
        <f t="shared" si="3"/>
        <v/>
      </c>
    </row>
    <row r="249" spans="1:1" ht="30" customHeight="1" x14ac:dyDescent="0.2">
      <c r="A249" s="20" t="str">
        <f t="shared" si="3"/>
        <v/>
      </c>
    </row>
    <row r="250" spans="1:1" ht="30" customHeight="1" x14ac:dyDescent="0.2">
      <c r="A250" s="20" t="str">
        <f t="shared" si="3"/>
        <v/>
      </c>
    </row>
    <row r="251" spans="1:1" ht="30" customHeight="1" x14ac:dyDescent="0.2">
      <c r="A251" s="20" t="str">
        <f t="shared" si="3"/>
        <v/>
      </c>
    </row>
    <row r="252" spans="1:1" ht="30" customHeight="1" x14ac:dyDescent="0.2">
      <c r="A252" s="20" t="str">
        <f t="shared" si="3"/>
        <v/>
      </c>
    </row>
    <row r="253" spans="1:1" ht="30" customHeight="1" x14ac:dyDescent="0.2">
      <c r="A253" s="20" t="str">
        <f t="shared" si="3"/>
        <v/>
      </c>
    </row>
    <row r="254" spans="1:1" ht="30" customHeight="1" x14ac:dyDescent="0.2">
      <c r="A254" s="20" t="str">
        <f t="shared" si="3"/>
        <v/>
      </c>
    </row>
    <row r="255" spans="1:1" ht="30" customHeight="1" x14ac:dyDescent="0.2">
      <c r="A255" s="20" t="str">
        <f t="shared" si="3"/>
        <v/>
      </c>
    </row>
    <row r="256" spans="1:1" ht="30" customHeight="1" x14ac:dyDescent="0.2">
      <c r="A256" s="20" t="str">
        <f t="shared" si="3"/>
        <v/>
      </c>
    </row>
    <row r="257" spans="1:1" ht="30" customHeight="1" x14ac:dyDescent="0.2">
      <c r="A257" s="20" t="str">
        <f t="shared" si="3"/>
        <v/>
      </c>
    </row>
    <row r="258" spans="1:1" ht="30" customHeight="1" x14ac:dyDescent="0.2">
      <c r="A258" s="20" t="str">
        <f t="shared" si="3"/>
        <v/>
      </c>
    </row>
    <row r="259" spans="1:1" ht="30" customHeight="1" x14ac:dyDescent="0.2">
      <c r="A259" s="20" t="str">
        <f t="shared" si="3"/>
        <v/>
      </c>
    </row>
    <row r="260" spans="1:1" ht="30" customHeight="1" x14ac:dyDescent="0.2">
      <c r="A260" s="20" t="str">
        <f t="shared" si="3"/>
        <v/>
      </c>
    </row>
    <row r="261" spans="1:1" ht="30" customHeight="1" x14ac:dyDescent="0.2">
      <c r="A261" s="20" t="str">
        <f t="shared" si="3"/>
        <v/>
      </c>
    </row>
    <row r="262" spans="1:1" ht="30" customHeight="1" x14ac:dyDescent="0.2">
      <c r="A262" s="20" t="str">
        <f t="shared" si="3"/>
        <v/>
      </c>
    </row>
    <row r="263" spans="1:1" ht="30" customHeight="1" x14ac:dyDescent="0.2">
      <c r="A263" s="20" t="str">
        <f t="shared" si="3"/>
        <v/>
      </c>
    </row>
    <row r="264" spans="1:1" ht="30" customHeight="1" x14ac:dyDescent="0.2">
      <c r="A264" s="20" t="str">
        <f t="shared" si="3"/>
        <v/>
      </c>
    </row>
    <row r="265" spans="1:1" ht="30" customHeight="1" x14ac:dyDescent="0.2">
      <c r="A265" s="20" t="str">
        <f t="shared" si="3"/>
        <v/>
      </c>
    </row>
    <row r="266" spans="1:1" ht="30" customHeight="1" x14ac:dyDescent="0.2">
      <c r="A266" s="20" t="str">
        <f t="shared" si="3"/>
        <v/>
      </c>
    </row>
    <row r="267" spans="1:1" ht="30" customHeight="1" x14ac:dyDescent="0.2">
      <c r="A267" s="20" t="str">
        <f t="shared" si="3"/>
        <v/>
      </c>
    </row>
    <row r="268" spans="1:1" ht="30" customHeight="1" x14ac:dyDescent="0.2">
      <c r="A268" s="20" t="str">
        <f t="shared" si="3"/>
        <v/>
      </c>
    </row>
    <row r="269" spans="1:1" ht="30" customHeight="1" x14ac:dyDescent="0.2">
      <c r="A269" s="20" t="str">
        <f t="shared" si="3"/>
        <v/>
      </c>
    </row>
    <row r="270" spans="1:1" ht="30" customHeight="1" x14ac:dyDescent="0.2">
      <c r="A270" s="20" t="str">
        <f t="shared" si="3"/>
        <v/>
      </c>
    </row>
    <row r="271" spans="1:1" ht="30" customHeight="1" x14ac:dyDescent="0.2">
      <c r="A271" s="20" t="str">
        <f t="shared" si="3"/>
        <v/>
      </c>
    </row>
    <row r="272" spans="1:1" ht="30" customHeight="1" x14ac:dyDescent="0.2">
      <c r="A272" s="20" t="str">
        <f t="shared" si="3"/>
        <v/>
      </c>
    </row>
    <row r="273" spans="1:1" ht="30" customHeight="1" x14ac:dyDescent="0.2">
      <c r="A273" s="20" t="str">
        <f t="shared" si="3"/>
        <v/>
      </c>
    </row>
    <row r="274" spans="1:1" ht="30" customHeight="1" x14ac:dyDescent="0.2">
      <c r="A274" s="20" t="str">
        <f t="shared" si="3"/>
        <v/>
      </c>
    </row>
    <row r="275" spans="1:1" ht="30" customHeight="1" x14ac:dyDescent="0.2">
      <c r="A275" s="20" t="str">
        <f t="shared" si="3"/>
        <v/>
      </c>
    </row>
    <row r="276" spans="1:1" ht="30" customHeight="1" x14ac:dyDescent="0.2">
      <c r="A276" s="20" t="str">
        <f t="shared" si="3"/>
        <v/>
      </c>
    </row>
    <row r="277" spans="1:1" ht="30" customHeight="1" x14ac:dyDescent="0.2">
      <c r="A277" s="20" t="str">
        <f t="shared" si="3"/>
        <v/>
      </c>
    </row>
    <row r="278" spans="1:1" ht="30" customHeight="1" x14ac:dyDescent="0.2">
      <c r="A278" s="20" t="str">
        <f t="shared" si="3"/>
        <v/>
      </c>
    </row>
    <row r="279" spans="1:1" ht="30" customHeight="1" x14ac:dyDescent="0.2">
      <c r="A279" s="20" t="str">
        <f t="shared" si="3"/>
        <v/>
      </c>
    </row>
    <row r="280" spans="1:1" ht="30" customHeight="1" x14ac:dyDescent="0.2">
      <c r="A280" s="20" t="str">
        <f t="shared" ref="A280:A343" si="4">IF(AND(B279&lt;&gt;"",B280=""),$A$22&amp;"---&gt;","")</f>
        <v/>
      </c>
    </row>
    <row r="281" spans="1:1" ht="30" customHeight="1" x14ac:dyDescent="0.2">
      <c r="A281" s="20" t="str">
        <f t="shared" si="4"/>
        <v/>
      </c>
    </row>
    <row r="282" spans="1:1" ht="30" customHeight="1" x14ac:dyDescent="0.2">
      <c r="A282" s="20" t="str">
        <f t="shared" si="4"/>
        <v/>
      </c>
    </row>
    <row r="283" spans="1:1" ht="30" customHeight="1" x14ac:dyDescent="0.2">
      <c r="A283" s="20" t="str">
        <f t="shared" si="4"/>
        <v/>
      </c>
    </row>
    <row r="284" spans="1:1" ht="30" customHeight="1" x14ac:dyDescent="0.2">
      <c r="A284" s="20" t="str">
        <f t="shared" si="4"/>
        <v/>
      </c>
    </row>
    <row r="285" spans="1:1" ht="30" customHeight="1" x14ac:dyDescent="0.2">
      <c r="A285" s="20" t="str">
        <f t="shared" si="4"/>
        <v/>
      </c>
    </row>
    <row r="286" spans="1:1" ht="30" customHeight="1" x14ac:dyDescent="0.2">
      <c r="A286" s="20" t="str">
        <f t="shared" si="4"/>
        <v/>
      </c>
    </row>
    <row r="287" spans="1:1" ht="30" customHeight="1" x14ac:dyDescent="0.2">
      <c r="A287" s="20" t="str">
        <f t="shared" si="4"/>
        <v/>
      </c>
    </row>
    <row r="288" spans="1:1" ht="30" customHeight="1" x14ac:dyDescent="0.2">
      <c r="A288" s="20" t="str">
        <f t="shared" si="4"/>
        <v/>
      </c>
    </row>
    <row r="289" spans="1:1" ht="30" customHeight="1" x14ac:dyDescent="0.2">
      <c r="A289" s="20" t="str">
        <f t="shared" si="4"/>
        <v/>
      </c>
    </row>
    <row r="290" spans="1:1" ht="30" customHeight="1" x14ac:dyDescent="0.2">
      <c r="A290" s="20" t="str">
        <f t="shared" si="4"/>
        <v/>
      </c>
    </row>
    <row r="291" spans="1:1" ht="30" customHeight="1" x14ac:dyDescent="0.2">
      <c r="A291" s="20" t="str">
        <f t="shared" si="4"/>
        <v/>
      </c>
    </row>
    <row r="292" spans="1:1" ht="30" customHeight="1" x14ac:dyDescent="0.2">
      <c r="A292" s="20" t="str">
        <f t="shared" si="4"/>
        <v/>
      </c>
    </row>
    <row r="293" spans="1:1" ht="30" customHeight="1" x14ac:dyDescent="0.2">
      <c r="A293" s="20" t="str">
        <f t="shared" si="4"/>
        <v/>
      </c>
    </row>
    <row r="294" spans="1:1" ht="30" customHeight="1" x14ac:dyDescent="0.2">
      <c r="A294" s="20" t="str">
        <f t="shared" si="4"/>
        <v/>
      </c>
    </row>
    <row r="295" spans="1:1" ht="30" customHeight="1" x14ac:dyDescent="0.2">
      <c r="A295" s="20" t="str">
        <f t="shared" si="4"/>
        <v/>
      </c>
    </row>
    <row r="296" spans="1:1" ht="30" customHeight="1" x14ac:dyDescent="0.2">
      <c r="A296" s="20" t="str">
        <f t="shared" si="4"/>
        <v/>
      </c>
    </row>
    <row r="297" spans="1:1" ht="30" customHeight="1" x14ac:dyDescent="0.2">
      <c r="A297" s="20" t="str">
        <f t="shared" si="4"/>
        <v/>
      </c>
    </row>
    <row r="298" spans="1:1" ht="30" customHeight="1" x14ac:dyDescent="0.2">
      <c r="A298" s="20" t="str">
        <f t="shared" si="4"/>
        <v/>
      </c>
    </row>
    <row r="299" spans="1:1" ht="30" customHeight="1" x14ac:dyDescent="0.2">
      <c r="A299" s="20" t="str">
        <f t="shared" si="4"/>
        <v/>
      </c>
    </row>
    <row r="300" spans="1:1" ht="30" customHeight="1" x14ac:dyDescent="0.2">
      <c r="A300" s="20" t="str">
        <f t="shared" si="4"/>
        <v/>
      </c>
    </row>
    <row r="301" spans="1:1" ht="30" customHeight="1" x14ac:dyDescent="0.2">
      <c r="A301" s="20" t="str">
        <f t="shared" si="4"/>
        <v/>
      </c>
    </row>
    <row r="302" spans="1:1" ht="30" customHeight="1" x14ac:dyDescent="0.2">
      <c r="A302" s="20" t="str">
        <f t="shared" si="4"/>
        <v/>
      </c>
    </row>
    <row r="303" spans="1:1" ht="30" customHeight="1" x14ac:dyDescent="0.2">
      <c r="A303" s="20" t="str">
        <f t="shared" si="4"/>
        <v/>
      </c>
    </row>
    <row r="304" spans="1:1" ht="30" customHeight="1" x14ac:dyDescent="0.2">
      <c r="A304" s="20" t="str">
        <f t="shared" si="4"/>
        <v/>
      </c>
    </row>
    <row r="305" spans="1:1" ht="30" customHeight="1" x14ac:dyDescent="0.2">
      <c r="A305" s="20" t="str">
        <f t="shared" si="4"/>
        <v/>
      </c>
    </row>
    <row r="306" spans="1:1" ht="30" customHeight="1" x14ac:dyDescent="0.2">
      <c r="A306" s="20" t="str">
        <f t="shared" si="4"/>
        <v/>
      </c>
    </row>
    <row r="307" spans="1:1" ht="30" customHeight="1" x14ac:dyDescent="0.2">
      <c r="A307" s="20" t="str">
        <f t="shared" si="4"/>
        <v/>
      </c>
    </row>
    <row r="308" spans="1:1" ht="30" customHeight="1" x14ac:dyDescent="0.2">
      <c r="A308" s="20" t="str">
        <f t="shared" si="4"/>
        <v/>
      </c>
    </row>
    <row r="309" spans="1:1" ht="30" customHeight="1" x14ac:dyDescent="0.2">
      <c r="A309" s="20" t="str">
        <f t="shared" si="4"/>
        <v/>
      </c>
    </row>
    <row r="310" spans="1:1" ht="30" customHeight="1" x14ac:dyDescent="0.2">
      <c r="A310" s="20" t="str">
        <f t="shared" si="4"/>
        <v/>
      </c>
    </row>
    <row r="311" spans="1:1" ht="30" customHeight="1" x14ac:dyDescent="0.2">
      <c r="A311" s="20" t="str">
        <f t="shared" si="4"/>
        <v/>
      </c>
    </row>
    <row r="312" spans="1:1" ht="30" customHeight="1" x14ac:dyDescent="0.2">
      <c r="A312" s="20" t="str">
        <f t="shared" si="4"/>
        <v/>
      </c>
    </row>
    <row r="313" spans="1:1" ht="30" customHeight="1" x14ac:dyDescent="0.2">
      <c r="A313" s="20" t="str">
        <f t="shared" si="4"/>
        <v/>
      </c>
    </row>
    <row r="314" spans="1:1" ht="30" customHeight="1" x14ac:dyDescent="0.2">
      <c r="A314" s="20" t="str">
        <f t="shared" si="4"/>
        <v/>
      </c>
    </row>
    <row r="315" spans="1:1" ht="30" customHeight="1" x14ac:dyDescent="0.2">
      <c r="A315" s="20" t="str">
        <f t="shared" si="4"/>
        <v/>
      </c>
    </row>
    <row r="316" spans="1:1" ht="30" customHeight="1" x14ac:dyDescent="0.2">
      <c r="A316" s="20" t="str">
        <f t="shared" si="4"/>
        <v/>
      </c>
    </row>
    <row r="317" spans="1:1" ht="30" customHeight="1" x14ac:dyDescent="0.2">
      <c r="A317" s="20" t="str">
        <f t="shared" si="4"/>
        <v/>
      </c>
    </row>
    <row r="318" spans="1:1" ht="30" customHeight="1" x14ac:dyDescent="0.2">
      <c r="A318" s="20" t="str">
        <f t="shared" si="4"/>
        <v/>
      </c>
    </row>
    <row r="319" spans="1:1" ht="30" customHeight="1" x14ac:dyDescent="0.2">
      <c r="A319" s="20" t="str">
        <f t="shared" si="4"/>
        <v/>
      </c>
    </row>
    <row r="320" spans="1:1" ht="30" customHeight="1" x14ac:dyDescent="0.2">
      <c r="A320" s="20" t="str">
        <f t="shared" si="4"/>
        <v/>
      </c>
    </row>
    <row r="321" spans="1:1" ht="30" customHeight="1" x14ac:dyDescent="0.2">
      <c r="A321" s="20" t="str">
        <f t="shared" si="4"/>
        <v/>
      </c>
    </row>
    <row r="322" spans="1:1" ht="30" customHeight="1" x14ac:dyDescent="0.2">
      <c r="A322" s="20" t="str">
        <f t="shared" si="4"/>
        <v/>
      </c>
    </row>
    <row r="323" spans="1:1" ht="30" customHeight="1" x14ac:dyDescent="0.2">
      <c r="A323" s="20" t="str">
        <f t="shared" si="4"/>
        <v/>
      </c>
    </row>
    <row r="324" spans="1:1" ht="30" customHeight="1" x14ac:dyDescent="0.2">
      <c r="A324" s="20" t="str">
        <f t="shared" si="4"/>
        <v/>
      </c>
    </row>
    <row r="325" spans="1:1" ht="30" customHeight="1" x14ac:dyDescent="0.2">
      <c r="A325" s="20" t="str">
        <f t="shared" si="4"/>
        <v/>
      </c>
    </row>
    <row r="326" spans="1:1" ht="30" customHeight="1" x14ac:dyDescent="0.2">
      <c r="A326" s="20" t="str">
        <f t="shared" si="4"/>
        <v/>
      </c>
    </row>
    <row r="327" spans="1:1" ht="30" customHeight="1" x14ac:dyDescent="0.2">
      <c r="A327" s="20" t="str">
        <f t="shared" si="4"/>
        <v/>
      </c>
    </row>
    <row r="328" spans="1:1" ht="30" customHeight="1" x14ac:dyDescent="0.2">
      <c r="A328" s="20" t="str">
        <f t="shared" si="4"/>
        <v/>
      </c>
    </row>
    <row r="329" spans="1:1" ht="30" customHeight="1" x14ac:dyDescent="0.2">
      <c r="A329" s="20" t="str">
        <f t="shared" si="4"/>
        <v/>
      </c>
    </row>
    <row r="330" spans="1:1" ht="30" customHeight="1" x14ac:dyDescent="0.2">
      <c r="A330" s="20" t="str">
        <f t="shared" si="4"/>
        <v/>
      </c>
    </row>
    <row r="331" spans="1:1" ht="30" customHeight="1" x14ac:dyDescent="0.2">
      <c r="A331" s="20" t="str">
        <f t="shared" si="4"/>
        <v/>
      </c>
    </row>
    <row r="332" spans="1:1" ht="30" customHeight="1" x14ac:dyDescent="0.2">
      <c r="A332" s="20" t="str">
        <f t="shared" si="4"/>
        <v/>
      </c>
    </row>
    <row r="333" spans="1:1" ht="30" customHeight="1" x14ac:dyDescent="0.2">
      <c r="A333" s="20" t="str">
        <f t="shared" si="4"/>
        <v/>
      </c>
    </row>
    <row r="334" spans="1:1" ht="30" customHeight="1" x14ac:dyDescent="0.2">
      <c r="A334" s="20" t="str">
        <f t="shared" si="4"/>
        <v/>
      </c>
    </row>
    <row r="335" spans="1:1" ht="30" customHeight="1" x14ac:dyDescent="0.2">
      <c r="A335" s="20" t="str">
        <f t="shared" si="4"/>
        <v/>
      </c>
    </row>
    <row r="336" spans="1:1" ht="30" customHeight="1" x14ac:dyDescent="0.2">
      <c r="A336" s="20" t="str">
        <f t="shared" si="4"/>
        <v/>
      </c>
    </row>
    <row r="337" spans="1:1" ht="30" customHeight="1" x14ac:dyDescent="0.2">
      <c r="A337" s="20" t="str">
        <f t="shared" si="4"/>
        <v/>
      </c>
    </row>
    <row r="338" spans="1:1" ht="30" customHeight="1" x14ac:dyDescent="0.2">
      <c r="A338" s="20" t="str">
        <f t="shared" si="4"/>
        <v/>
      </c>
    </row>
    <row r="339" spans="1:1" ht="30" customHeight="1" x14ac:dyDescent="0.2">
      <c r="A339" s="20" t="str">
        <f t="shared" si="4"/>
        <v/>
      </c>
    </row>
    <row r="340" spans="1:1" ht="30" customHeight="1" x14ac:dyDescent="0.2">
      <c r="A340" s="20" t="str">
        <f t="shared" si="4"/>
        <v/>
      </c>
    </row>
    <row r="341" spans="1:1" ht="30" customHeight="1" x14ac:dyDescent="0.2">
      <c r="A341" s="20" t="str">
        <f t="shared" si="4"/>
        <v/>
      </c>
    </row>
    <row r="342" spans="1:1" ht="30" customHeight="1" x14ac:dyDescent="0.2">
      <c r="A342" s="20" t="str">
        <f t="shared" si="4"/>
        <v/>
      </c>
    </row>
    <row r="343" spans="1:1" ht="30" customHeight="1" x14ac:dyDescent="0.2">
      <c r="A343" s="20" t="str">
        <f t="shared" si="4"/>
        <v/>
      </c>
    </row>
    <row r="344" spans="1:1" ht="30" customHeight="1" x14ac:dyDescent="0.2">
      <c r="A344" s="20" t="str">
        <f t="shared" ref="A344:A407" si="5">IF(AND(B343&lt;&gt;"",B344=""),$A$22&amp;"---&gt;","")</f>
        <v/>
      </c>
    </row>
    <row r="345" spans="1:1" ht="30" customHeight="1" x14ac:dyDescent="0.2">
      <c r="A345" s="20" t="str">
        <f t="shared" si="5"/>
        <v/>
      </c>
    </row>
    <row r="346" spans="1:1" ht="30" customHeight="1" x14ac:dyDescent="0.2">
      <c r="A346" s="20" t="str">
        <f t="shared" si="5"/>
        <v/>
      </c>
    </row>
    <row r="347" spans="1:1" ht="30" customHeight="1" x14ac:dyDescent="0.2">
      <c r="A347" s="20" t="str">
        <f t="shared" si="5"/>
        <v/>
      </c>
    </row>
    <row r="348" spans="1:1" ht="30" customHeight="1" x14ac:dyDescent="0.2">
      <c r="A348" s="20" t="str">
        <f t="shared" si="5"/>
        <v/>
      </c>
    </row>
    <row r="349" spans="1:1" ht="30" customHeight="1" x14ac:dyDescent="0.2">
      <c r="A349" s="20" t="str">
        <f t="shared" si="5"/>
        <v/>
      </c>
    </row>
    <row r="350" spans="1:1" ht="30" customHeight="1" x14ac:dyDescent="0.2">
      <c r="A350" s="20" t="str">
        <f t="shared" si="5"/>
        <v/>
      </c>
    </row>
    <row r="351" spans="1:1" ht="30" customHeight="1" x14ac:dyDescent="0.2">
      <c r="A351" s="20" t="str">
        <f t="shared" si="5"/>
        <v/>
      </c>
    </row>
    <row r="352" spans="1:1" ht="30" customHeight="1" x14ac:dyDescent="0.2">
      <c r="A352" s="20" t="str">
        <f t="shared" si="5"/>
        <v/>
      </c>
    </row>
    <row r="353" spans="1:1" ht="30" customHeight="1" x14ac:dyDescent="0.2">
      <c r="A353" s="20" t="str">
        <f t="shared" si="5"/>
        <v/>
      </c>
    </row>
    <row r="354" spans="1:1" ht="30" customHeight="1" x14ac:dyDescent="0.2">
      <c r="A354" s="20" t="str">
        <f t="shared" si="5"/>
        <v/>
      </c>
    </row>
    <row r="355" spans="1:1" ht="30" customHeight="1" x14ac:dyDescent="0.2">
      <c r="A355" s="20" t="str">
        <f t="shared" si="5"/>
        <v/>
      </c>
    </row>
    <row r="356" spans="1:1" ht="30" customHeight="1" x14ac:dyDescent="0.2">
      <c r="A356" s="20" t="str">
        <f t="shared" si="5"/>
        <v/>
      </c>
    </row>
    <row r="357" spans="1:1" ht="30" customHeight="1" x14ac:dyDescent="0.2">
      <c r="A357" s="20" t="str">
        <f t="shared" si="5"/>
        <v/>
      </c>
    </row>
    <row r="358" spans="1:1" ht="30" customHeight="1" x14ac:dyDescent="0.2">
      <c r="A358" s="20" t="str">
        <f t="shared" si="5"/>
        <v/>
      </c>
    </row>
    <row r="359" spans="1:1" ht="30" customHeight="1" x14ac:dyDescent="0.2">
      <c r="A359" s="20" t="str">
        <f t="shared" si="5"/>
        <v/>
      </c>
    </row>
    <row r="360" spans="1:1" ht="30" customHeight="1" x14ac:dyDescent="0.2">
      <c r="A360" s="20" t="str">
        <f t="shared" si="5"/>
        <v/>
      </c>
    </row>
    <row r="361" spans="1:1" ht="30" customHeight="1" x14ac:dyDescent="0.2">
      <c r="A361" s="20" t="str">
        <f t="shared" si="5"/>
        <v/>
      </c>
    </row>
    <row r="362" spans="1:1" ht="30" customHeight="1" x14ac:dyDescent="0.2">
      <c r="A362" s="20" t="str">
        <f t="shared" si="5"/>
        <v/>
      </c>
    </row>
    <row r="363" spans="1:1" ht="30" customHeight="1" x14ac:dyDescent="0.2">
      <c r="A363" s="20" t="str">
        <f t="shared" si="5"/>
        <v/>
      </c>
    </row>
    <row r="364" spans="1:1" ht="30" customHeight="1" x14ac:dyDescent="0.2">
      <c r="A364" s="20" t="str">
        <f t="shared" si="5"/>
        <v/>
      </c>
    </row>
    <row r="365" spans="1:1" ht="30" customHeight="1" x14ac:dyDescent="0.2">
      <c r="A365" s="20" t="str">
        <f t="shared" si="5"/>
        <v/>
      </c>
    </row>
    <row r="366" spans="1:1" ht="30" customHeight="1" x14ac:dyDescent="0.2">
      <c r="A366" s="20" t="str">
        <f t="shared" si="5"/>
        <v/>
      </c>
    </row>
    <row r="367" spans="1:1" ht="30" customHeight="1" x14ac:dyDescent="0.2">
      <c r="A367" s="20" t="str">
        <f t="shared" si="5"/>
        <v/>
      </c>
    </row>
    <row r="368" spans="1:1" ht="30" customHeight="1" x14ac:dyDescent="0.2">
      <c r="A368" s="20" t="str">
        <f t="shared" si="5"/>
        <v/>
      </c>
    </row>
    <row r="369" spans="1:1" ht="30" customHeight="1" x14ac:dyDescent="0.2">
      <c r="A369" s="20" t="str">
        <f t="shared" si="5"/>
        <v/>
      </c>
    </row>
    <row r="370" spans="1:1" ht="30" customHeight="1" x14ac:dyDescent="0.2">
      <c r="A370" s="20" t="str">
        <f t="shared" si="5"/>
        <v/>
      </c>
    </row>
    <row r="371" spans="1:1" ht="30" customHeight="1" x14ac:dyDescent="0.2">
      <c r="A371" s="20" t="str">
        <f t="shared" si="5"/>
        <v/>
      </c>
    </row>
    <row r="372" spans="1:1" ht="30" customHeight="1" x14ac:dyDescent="0.2">
      <c r="A372" s="20" t="str">
        <f t="shared" si="5"/>
        <v/>
      </c>
    </row>
    <row r="373" spans="1:1" ht="30" customHeight="1" x14ac:dyDescent="0.2">
      <c r="A373" s="20" t="str">
        <f t="shared" si="5"/>
        <v/>
      </c>
    </row>
    <row r="374" spans="1:1" ht="30" customHeight="1" x14ac:dyDescent="0.2">
      <c r="A374" s="20" t="str">
        <f t="shared" si="5"/>
        <v/>
      </c>
    </row>
    <row r="375" spans="1:1" ht="30" customHeight="1" x14ac:dyDescent="0.2">
      <c r="A375" s="20" t="str">
        <f t="shared" si="5"/>
        <v/>
      </c>
    </row>
    <row r="376" spans="1:1" ht="30" customHeight="1" x14ac:dyDescent="0.2">
      <c r="A376" s="20" t="str">
        <f t="shared" si="5"/>
        <v/>
      </c>
    </row>
    <row r="377" spans="1:1" ht="30" customHeight="1" x14ac:dyDescent="0.2">
      <c r="A377" s="20" t="str">
        <f t="shared" si="5"/>
        <v/>
      </c>
    </row>
    <row r="378" spans="1:1" ht="30" customHeight="1" x14ac:dyDescent="0.2">
      <c r="A378" s="20" t="str">
        <f t="shared" si="5"/>
        <v/>
      </c>
    </row>
    <row r="379" spans="1:1" ht="30" customHeight="1" x14ac:dyDescent="0.2">
      <c r="A379" s="20" t="str">
        <f t="shared" si="5"/>
        <v/>
      </c>
    </row>
    <row r="380" spans="1:1" ht="30" customHeight="1" x14ac:dyDescent="0.2">
      <c r="A380" s="20" t="str">
        <f t="shared" si="5"/>
        <v/>
      </c>
    </row>
    <row r="381" spans="1:1" ht="30" customHeight="1" x14ac:dyDescent="0.2">
      <c r="A381" s="20" t="str">
        <f t="shared" si="5"/>
        <v/>
      </c>
    </row>
    <row r="382" spans="1:1" ht="30" customHeight="1" x14ac:dyDescent="0.2">
      <c r="A382" s="20" t="str">
        <f t="shared" si="5"/>
        <v/>
      </c>
    </row>
    <row r="383" spans="1:1" ht="30" customHeight="1" x14ac:dyDescent="0.2">
      <c r="A383" s="20" t="str">
        <f t="shared" si="5"/>
        <v/>
      </c>
    </row>
    <row r="384" spans="1:1" ht="30" customHeight="1" x14ac:dyDescent="0.2">
      <c r="A384" s="20" t="str">
        <f t="shared" si="5"/>
        <v/>
      </c>
    </row>
    <row r="385" spans="1:1" ht="30" customHeight="1" x14ac:dyDescent="0.2">
      <c r="A385" s="20" t="str">
        <f t="shared" si="5"/>
        <v/>
      </c>
    </row>
    <row r="386" spans="1:1" ht="30" customHeight="1" x14ac:dyDescent="0.2">
      <c r="A386" s="20" t="str">
        <f t="shared" si="5"/>
        <v/>
      </c>
    </row>
    <row r="387" spans="1:1" ht="30" customHeight="1" x14ac:dyDescent="0.2">
      <c r="A387" s="20" t="str">
        <f t="shared" si="5"/>
        <v/>
      </c>
    </row>
    <row r="388" spans="1:1" ht="30" customHeight="1" x14ac:dyDescent="0.2">
      <c r="A388" s="20" t="str">
        <f t="shared" si="5"/>
        <v/>
      </c>
    </row>
    <row r="389" spans="1:1" ht="30" customHeight="1" x14ac:dyDescent="0.2">
      <c r="A389" s="20" t="str">
        <f t="shared" si="5"/>
        <v/>
      </c>
    </row>
    <row r="390" spans="1:1" ht="30" customHeight="1" x14ac:dyDescent="0.2">
      <c r="A390" s="20" t="str">
        <f t="shared" si="5"/>
        <v/>
      </c>
    </row>
    <row r="391" spans="1:1" ht="30" customHeight="1" x14ac:dyDescent="0.2">
      <c r="A391" s="20" t="str">
        <f t="shared" si="5"/>
        <v/>
      </c>
    </row>
    <row r="392" spans="1:1" ht="30" customHeight="1" x14ac:dyDescent="0.2">
      <c r="A392" s="20" t="str">
        <f t="shared" si="5"/>
        <v/>
      </c>
    </row>
    <row r="393" spans="1:1" ht="30" customHeight="1" x14ac:dyDescent="0.2">
      <c r="A393" s="20" t="str">
        <f t="shared" si="5"/>
        <v/>
      </c>
    </row>
    <row r="394" spans="1:1" ht="30" customHeight="1" x14ac:dyDescent="0.2">
      <c r="A394" s="20" t="str">
        <f t="shared" si="5"/>
        <v/>
      </c>
    </row>
    <row r="395" spans="1:1" ht="30" customHeight="1" x14ac:dyDescent="0.2">
      <c r="A395" s="20" t="str">
        <f t="shared" si="5"/>
        <v/>
      </c>
    </row>
    <row r="396" spans="1:1" ht="30" customHeight="1" x14ac:dyDescent="0.2">
      <c r="A396" s="20" t="str">
        <f t="shared" si="5"/>
        <v/>
      </c>
    </row>
    <row r="397" spans="1:1" ht="30" customHeight="1" x14ac:dyDescent="0.2">
      <c r="A397" s="20" t="str">
        <f t="shared" si="5"/>
        <v/>
      </c>
    </row>
    <row r="398" spans="1:1" ht="30" customHeight="1" x14ac:dyDescent="0.2">
      <c r="A398" s="20" t="str">
        <f t="shared" si="5"/>
        <v/>
      </c>
    </row>
    <row r="399" spans="1:1" ht="30" customHeight="1" x14ac:dyDescent="0.2">
      <c r="A399" s="20" t="str">
        <f t="shared" si="5"/>
        <v/>
      </c>
    </row>
    <row r="400" spans="1:1" ht="30" customHeight="1" x14ac:dyDescent="0.2">
      <c r="A400" s="20" t="str">
        <f t="shared" si="5"/>
        <v/>
      </c>
    </row>
    <row r="401" spans="1:1" ht="30" customHeight="1" x14ac:dyDescent="0.2">
      <c r="A401" s="20" t="str">
        <f t="shared" si="5"/>
        <v/>
      </c>
    </row>
    <row r="402" spans="1:1" ht="30" customHeight="1" x14ac:dyDescent="0.2">
      <c r="A402" s="20" t="str">
        <f t="shared" si="5"/>
        <v/>
      </c>
    </row>
    <row r="403" spans="1:1" ht="30" customHeight="1" x14ac:dyDescent="0.2">
      <c r="A403" s="20" t="str">
        <f t="shared" si="5"/>
        <v/>
      </c>
    </row>
    <row r="404" spans="1:1" ht="30" customHeight="1" x14ac:dyDescent="0.2">
      <c r="A404" s="20" t="str">
        <f t="shared" si="5"/>
        <v/>
      </c>
    </row>
    <row r="405" spans="1:1" ht="30" customHeight="1" x14ac:dyDescent="0.2">
      <c r="A405" s="20" t="str">
        <f t="shared" si="5"/>
        <v/>
      </c>
    </row>
    <row r="406" spans="1:1" ht="30" customHeight="1" x14ac:dyDescent="0.2">
      <c r="A406" s="20" t="str">
        <f t="shared" si="5"/>
        <v/>
      </c>
    </row>
    <row r="407" spans="1:1" ht="30" customHeight="1" x14ac:dyDescent="0.2">
      <c r="A407" s="20" t="str">
        <f t="shared" si="5"/>
        <v/>
      </c>
    </row>
    <row r="408" spans="1:1" ht="30" customHeight="1" x14ac:dyDescent="0.2">
      <c r="A408" s="20" t="str">
        <f t="shared" ref="A408:A471" si="6">IF(AND(B407&lt;&gt;"",B408=""),$A$22&amp;"---&gt;","")</f>
        <v/>
      </c>
    </row>
    <row r="409" spans="1:1" ht="30" customHeight="1" x14ac:dyDescent="0.2">
      <c r="A409" s="20" t="str">
        <f t="shared" si="6"/>
        <v/>
      </c>
    </row>
    <row r="410" spans="1:1" ht="30" customHeight="1" x14ac:dyDescent="0.2">
      <c r="A410" s="20" t="str">
        <f t="shared" si="6"/>
        <v/>
      </c>
    </row>
    <row r="411" spans="1:1" ht="30" customHeight="1" x14ac:dyDescent="0.2">
      <c r="A411" s="20" t="str">
        <f t="shared" si="6"/>
        <v/>
      </c>
    </row>
    <row r="412" spans="1:1" ht="30" customHeight="1" x14ac:dyDescent="0.2">
      <c r="A412" s="20" t="str">
        <f t="shared" si="6"/>
        <v/>
      </c>
    </row>
    <row r="413" spans="1:1" ht="30" customHeight="1" x14ac:dyDescent="0.2">
      <c r="A413" s="20" t="str">
        <f t="shared" si="6"/>
        <v/>
      </c>
    </row>
    <row r="414" spans="1:1" ht="30" customHeight="1" x14ac:dyDescent="0.2">
      <c r="A414" s="20" t="str">
        <f t="shared" si="6"/>
        <v/>
      </c>
    </row>
    <row r="415" spans="1:1" ht="30" customHeight="1" x14ac:dyDescent="0.2">
      <c r="A415" s="20" t="str">
        <f t="shared" si="6"/>
        <v/>
      </c>
    </row>
    <row r="416" spans="1:1" ht="30" customHeight="1" x14ac:dyDescent="0.2">
      <c r="A416" s="20" t="str">
        <f t="shared" si="6"/>
        <v/>
      </c>
    </row>
    <row r="417" spans="1:1" ht="30" customHeight="1" x14ac:dyDescent="0.2">
      <c r="A417" s="20" t="str">
        <f t="shared" si="6"/>
        <v/>
      </c>
    </row>
    <row r="418" spans="1:1" ht="30" customHeight="1" x14ac:dyDescent="0.2">
      <c r="A418" s="20" t="str">
        <f t="shared" si="6"/>
        <v/>
      </c>
    </row>
    <row r="419" spans="1:1" ht="30" customHeight="1" x14ac:dyDescent="0.2">
      <c r="A419" s="20" t="str">
        <f t="shared" si="6"/>
        <v/>
      </c>
    </row>
    <row r="420" spans="1:1" ht="30" customHeight="1" x14ac:dyDescent="0.2">
      <c r="A420" s="20" t="str">
        <f t="shared" si="6"/>
        <v/>
      </c>
    </row>
    <row r="421" spans="1:1" ht="30" customHeight="1" x14ac:dyDescent="0.2">
      <c r="A421" s="20" t="str">
        <f t="shared" si="6"/>
        <v/>
      </c>
    </row>
    <row r="422" spans="1:1" ht="30" customHeight="1" x14ac:dyDescent="0.2">
      <c r="A422" s="20" t="str">
        <f t="shared" si="6"/>
        <v/>
      </c>
    </row>
    <row r="423" spans="1:1" ht="30" customHeight="1" x14ac:dyDescent="0.2">
      <c r="A423" s="20" t="str">
        <f t="shared" si="6"/>
        <v/>
      </c>
    </row>
    <row r="424" spans="1:1" ht="30" customHeight="1" x14ac:dyDescent="0.2">
      <c r="A424" s="20" t="str">
        <f t="shared" si="6"/>
        <v/>
      </c>
    </row>
    <row r="425" spans="1:1" ht="30" customHeight="1" x14ac:dyDescent="0.2">
      <c r="A425" s="20" t="str">
        <f t="shared" si="6"/>
        <v/>
      </c>
    </row>
    <row r="426" spans="1:1" ht="30" customHeight="1" x14ac:dyDescent="0.2">
      <c r="A426" s="20" t="str">
        <f t="shared" si="6"/>
        <v/>
      </c>
    </row>
    <row r="427" spans="1:1" ht="30" customHeight="1" x14ac:dyDescent="0.2">
      <c r="A427" s="20" t="str">
        <f t="shared" si="6"/>
        <v/>
      </c>
    </row>
    <row r="428" spans="1:1" ht="30" customHeight="1" x14ac:dyDescent="0.2">
      <c r="A428" s="20" t="str">
        <f t="shared" si="6"/>
        <v/>
      </c>
    </row>
    <row r="429" spans="1:1" ht="30" customHeight="1" x14ac:dyDescent="0.2">
      <c r="A429" s="20" t="str">
        <f t="shared" si="6"/>
        <v/>
      </c>
    </row>
    <row r="430" spans="1:1" ht="30" customHeight="1" x14ac:dyDescent="0.2">
      <c r="A430" s="20" t="str">
        <f t="shared" si="6"/>
        <v/>
      </c>
    </row>
    <row r="431" spans="1:1" ht="30" customHeight="1" x14ac:dyDescent="0.2">
      <c r="A431" s="20" t="str">
        <f t="shared" si="6"/>
        <v/>
      </c>
    </row>
    <row r="432" spans="1:1" ht="30" customHeight="1" x14ac:dyDescent="0.2">
      <c r="A432" s="20" t="str">
        <f t="shared" si="6"/>
        <v/>
      </c>
    </row>
    <row r="433" spans="1:1" ht="30" customHeight="1" x14ac:dyDescent="0.2">
      <c r="A433" s="20" t="str">
        <f t="shared" si="6"/>
        <v/>
      </c>
    </row>
    <row r="434" spans="1:1" ht="30" customHeight="1" x14ac:dyDescent="0.2">
      <c r="A434" s="20" t="str">
        <f t="shared" si="6"/>
        <v/>
      </c>
    </row>
    <row r="435" spans="1:1" ht="30" customHeight="1" x14ac:dyDescent="0.2">
      <c r="A435" s="20" t="str">
        <f t="shared" si="6"/>
        <v/>
      </c>
    </row>
    <row r="436" spans="1:1" ht="30" customHeight="1" x14ac:dyDescent="0.2">
      <c r="A436" s="20" t="str">
        <f t="shared" si="6"/>
        <v/>
      </c>
    </row>
    <row r="437" spans="1:1" ht="30" customHeight="1" x14ac:dyDescent="0.2">
      <c r="A437" s="20" t="str">
        <f t="shared" si="6"/>
        <v/>
      </c>
    </row>
    <row r="438" spans="1:1" ht="30" customHeight="1" x14ac:dyDescent="0.2">
      <c r="A438" s="20" t="str">
        <f t="shared" si="6"/>
        <v/>
      </c>
    </row>
    <row r="439" spans="1:1" ht="30" customHeight="1" x14ac:dyDescent="0.2">
      <c r="A439" s="20" t="str">
        <f t="shared" si="6"/>
        <v/>
      </c>
    </row>
    <row r="440" spans="1:1" ht="30" customHeight="1" x14ac:dyDescent="0.2">
      <c r="A440" s="20" t="str">
        <f t="shared" si="6"/>
        <v/>
      </c>
    </row>
    <row r="441" spans="1:1" ht="30" customHeight="1" x14ac:dyDescent="0.2">
      <c r="A441" s="20" t="str">
        <f t="shared" si="6"/>
        <v/>
      </c>
    </row>
    <row r="442" spans="1:1" ht="30" customHeight="1" x14ac:dyDescent="0.2">
      <c r="A442" s="20" t="str">
        <f t="shared" si="6"/>
        <v/>
      </c>
    </row>
    <row r="443" spans="1:1" ht="30" customHeight="1" x14ac:dyDescent="0.2">
      <c r="A443" s="20" t="str">
        <f t="shared" si="6"/>
        <v/>
      </c>
    </row>
    <row r="444" spans="1:1" ht="30" customHeight="1" x14ac:dyDescent="0.2">
      <c r="A444" s="20" t="str">
        <f t="shared" si="6"/>
        <v/>
      </c>
    </row>
    <row r="445" spans="1:1" ht="30" customHeight="1" x14ac:dyDescent="0.2">
      <c r="A445" s="20" t="str">
        <f t="shared" si="6"/>
        <v/>
      </c>
    </row>
    <row r="446" spans="1:1" ht="30" customHeight="1" x14ac:dyDescent="0.2">
      <c r="A446" s="20" t="str">
        <f t="shared" si="6"/>
        <v/>
      </c>
    </row>
    <row r="447" spans="1:1" ht="30" customHeight="1" x14ac:dyDescent="0.2">
      <c r="A447" s="20" t="str">
        <f t="shared" si="6"/>
        <v/>
      </c>
    </row>
    <row r="448" spans="1:1" ht="30" customHeight="1" x14ac:dyDescent="0.2">
      <c r="A448" s="20" t="str">
        <f t="shared" si="6"/>
        <v/>
      </c>
    </row>
    <row r="449" spans="1:1" ht="30" customHeight="1" x14ac:dyDescent="0.2">
      <c r="A449" s="20" t="str">
        <f t="shared" si="6"/>
        <v/>
      </c>
    </row>
    <row r="450" spans="1:1" ht="30" customHeight="1" x14ac:dyDescent="0.2">
      <c r="A450" s="20" t="str">
        <f t="shared" si="6"/>
        <v/>
      </c>
    </row>
    <row r="451" spans="1:1" ht="30" customHeight="1" x14ac:dyDescent="0.2">
      <c r="A451" s="20" t="str">
        <f t="shared" si="6"/>
        <v/>
      </c>
    </row>
    <row r="452" spans="1:1" ht="30" customHeight="1" x14ac:dyDescent="0.2">
      <c r="A452" s="20" t="str">
        <f t="shared" si="6"/>
        <v/>
      </c>
    </row>
    <row r="453" spans="1:1" ht="30" customHeight="1" x14ac:dyDescent="0.2">
      <c r="A453" s="20" t="str">
        <f t="shared" si="6"/>
        <v/>
      </c>
    </row>
    <row r="454" spans="1:1" ht="30" customHeight="1" x14ac:dyDescent="0.2">
      <c r="A454" s="20" t="str">
        <f t="shared" si="6"/>
        <v/>
      </c>
    </row>
    <row r="455" spans="1:1" ht="30" customHeight="1" x14ac:dyDescent="0.2">
      <c r="A455" s="20" t="str">
        <f t="shared" si="6"/>
        <v/>
      </c>
    </row>
    <row r="456" spans="1:1" ht="30" customHeight="1" x14ac:dyDescent="0.2">
      <c r="A456" s="20" t="str">
        <f t="shared" si="6"/>
        <v/>
      </c>
    </row>
    <row r="457" spans="1:1" ht="30" customHeight="1" x14ac:dyDescent="0.2">
      <c r="A457" s="20" t="str">
        <f t="shared" si="6"/>
        <v/>
      </c>
    </row>
    <row r="458" spans="1:1" ht="30" customHeight="1" x14ac:dyDescent="0.2">
      <c r="A458" s="20" t="str">
        <f t="shared" si="6"/>
        <v/>
      </c>
    </row>
    <row r="459" spans="1:1" ht="30" customHeight="1" x14ac:dyDescent="0.2">
      <c r="A459" s="20" t="str">
        <f t="shared" si="6"/>
        <v/>
      </c>
    </row>
    <row r="460" spans="1:1" ht="30" customHeight="1" x14ac:dyDescent="0.2">
      <c r="A460" s="20" t="str">
        <f t="shared" si="6"/>
        <v/>
      </c>
    </row>
    <row r="461" spans="1:1" ht="30" customHeight="1" x14ac:dyDescent="0.2">
      <c r="A461" s="20" t="str">
        <f t="shared" si="6"/>
        <v/>
      </c>
    </row>
    <row r="462" spans="1:1" ht="30" customHeight="1" x14ac:dyDescent="0.2">
      <c r="A462" s="20" t="str">
        <f t="shared" si="6"/>
        <v/>
      </c>
    </row>
    <row r="463" spans="1:1" ht="30" customHeight="1" x14ac:dyDescent="0.2">
      <c r="A463" s="20" t="str">
        <f t="shared" si="6"/>
        <v/>
      </c>
    </row>
    <row r="464" spans="1:1" ht="30" customHeight="1" x14ac:dyDescent="0.2">
      <c r="A464" s="20" t="str">
        <f t="shared" si="6"/>
        <v/>
      </c>
    </row>
    <row r="465" spans="1:1" ht="30" customHeight="1" x14ac:dyDescent="0.2">
      <c r="A465" s="20" t="str">
        <f t="shared" si="6"/>
        <v/>
      </c>
    </row>
    <row r="466" spans="1:1" ht="30" customHeight="1" x14ac:dyDescent="0.2">
      <c r="A466" s="20" t="str">
        <f t="shared" si="6"/>
        <v/>
      </c>
    </row>
    <row r="467" spans="1:1" ht="30" customHeight="1" x14ac:dyDescent="0.2">
      <c r="A467" s="20" t="str">
        <f t="shared" si="6"/>
        <v/>
      </c>
    </row>
    <row r="468" spans="1:1" ht="30" customHeight="1" x14ac:dyDescent="0.2">
      <c r="A468" s="20" t="str">
        <f t="shared" si="6"/>
        <v/>
      </c>
    </row>
    <row r="469" spans="1:1" ht="30" customHeight="1" x14ac:dyDescent="0.2">
      <c r="A469" s="20" t="str">
        <f t="shared" si="6"/>
        <v/>
      </c>
    </row>
    <row r="470" spans="1:1" ht="30" customHeight="1" x14ac:dyDescent="0.2">
      <c r="A470" s="20" t="str">
        <f t="shared" si="6"/>
        <v/>
      </c>
    </row>
    <row r="471" spans="1:1" ht="30" customHeight="1" x14ac:dyDescent="0.2">
      <c r="A471" s="20" t="str">
        <f t="shared" si="6"/>
        <v/>
      </c>
    </row>
    <row r="472" spans="1:1" ht="30" customHeight="1" x14ac:dyDescent="0.2">
      <c r="A472" s="20" t="str">
        <f t="shared" ref="A472:A535" si="7">IF(AND(B471&lt;&gt;"",B472=""),$A$22&amp;"---&gt;","")</f>
        <v/>
      </c>
    </row>
    <row r="473" spans="1:1" ht="30" customHeight="1" x14ac:dyDescent="0.2">
      <c r="A473" s="20" t="str">
        <f t="shared" si="7"/>
        <v/>
      </c>
    </row>
    <row r="474" spans="1:1" ht="30" customHeight="1" x14ac:dyDescent="0.2">
      <c r="A474" s="20" t="str">
        <f t="shared" si="7"/>
        <v/>
      </c>
    </row>
    <row r="475" spans="1:1" ht="30" customHeight="1" x14ac:dyDescent="0.2">
      <c r="A475" s="20" t="str">
        <f t="shared" si="7"/>
        <v/>
      </c>
    </row>
    <row r="476" spans="1:1" ht="30" customHeight="1" x14ac:dyDescent="0.2">
      <c r="A476" s="20" t="str">
        <f t="shared" si="7"/>
        <v/>
      </c>
    </row>
    <row r="477" spans="1:1" ht="30" customHeight="1" x14ac:dyDescent="0.2">
      <c r="A477" s="20" t="str">
        <f t="shared" si="7"/>
        <v/>
      </c>
    </row>
    <row r="478" spans="1:1" ht="30" customHeight="1" x14ac:dyDescent="0.2">
      <c r="A478" s="20" t="str">
        <f t="shared" si="7"/>
        <v/>
      </c>
    </row>
    <row r="479" spans="1:1" ht="30" customHeight="1" x14ac:dyDescent="0.2">
      <c r="A479" s="20" t="str">
        <f t="shared" si="7"/>
        <v/>
      </c>
    </row>
    <row r="480" spans="1:1" ht="30" customHeight="1" x14ac:dyDescent="0.2">
      <c r="A480" s="20" t="str">
        <f t="shared" si="7"/>
        <v/>
      </c>
    </row>
    <row r="481" spans="1:1" ht="30" customHeight="1" x14ac:dyDescent="0.2">
      <c r="A481" s="20" t="str">
        <f t="shared" si="7"/>
        <v/>
      </c>
    </row>
    <row r="482" spans="1:1" ht="30" customHeight="1" x14ac:dyDescent="0.2">
      <c r="A482" s="20" t="str">
        <f t="shared" si="7"/>
        <v/>
      </c>
    </row>
    <row r="483" spans="1:1" ht="30" customHeight="1" x14ac:dyDescent="0.2">
      <c r="A483" s="20" t="str">
        <f t="shared" si="7"/>
        <v/>
      </c>
    </row>
    <row r="484" spans="1:1" ht="30" customHeight="1" x14ac:dyDescent="0.2">
      <c r="A484" s="20" t="str">
        <f t="shared" si="7"/>
        <v/>
      </c>
    </row>
    <row r="485" spans="1:1" ht="30" customHeight="1" x14ac:dyDescent="0.2">
      <c r="A485" s="20" t="str">
        <f t="shared" si="7"/>
        <v/>
      </c>
    </row>
    <row r="486" spans="1:1" ht="30" customHeight="1" x14ac:dyDescent="0.2">
      <c r="A486" s="20" t="str">
        <f t="shared" si="7"/>
        <v/>
      </c>
    </row>
    <row r="487" spans="1:1" ht="30" customHeight="1" x14ac:dyDescent="0.2">
      <c r="A487" s="20" t="str">
        <f t="shared" si="7"/>
        <v/>
      </c>
    </row>
    <row r="488" spans="1:1" ht="30" customHeight="1" x14ac:dyDescent="0.2">
      <c r="A488" s="20" t="str">
        <f t="shared" si="7"/>
        <v/>
      </c>
    </row>
    <row r="489" spans="1:1" ht="30" customHeight="1" x14ac:dyDescent="0.2">
      <c r="A489" s="20" t="str">
        <f t="shared" si="7"/>
        <v/>
      </c>
    </row>
    <row r="490" spans="1:1" ht="30" customHeight="1" x14ac:dyDescent="0.2">
      <c r="A490" s="20" t="str">
        <f t="shared" si="7"/>
        <v/>
      </c>
    </row>
    <row r="491" spans="1:1" ht="30" customHeight="1" x14ac:dyDescent="0.2">
      <c r="A491" s="20" t="str">
        <f t="shared" si="7"/>
        <v/>
      </c>
    </row>
    <row r="492" spans="1:1" ht="30" customHeight="1" x14ac:dyDescent="0.2">
      <c r="A492" s="20" t="str">
        <f t="shared" si="7"/>
        <v/>
      </c>
    </row>
    <row r="493" spans="1:1" ht="30" customHeight="1" x14ac:dyDescent="0.2">
      <c r="A493" s="20" t="str">
        <f t="shared" si="7"/>
        <v/>
      </c>
    </row>
    <row r="494" spans="1:1" ht="30" customHeight="1" x14ac:dyDescent="0.2">
      <c r="A494" s="20" t="str">
        <f t="shared" si="7"/>
        <v/>
      </c>
    </row>
    <row r="495" spans="1:1" ht="30" customHeight="1" x14ac:dyDescent="0.2">
      <c r="A495" s="20" t="str">
        <f t="shared" si="7"/>
        <v/>
      </c>
    </row>
    <row r="496" spans="1:1" ht="30" customHeight="1" x14ac:dyDescent="0.2">
      <c r="A496" s="20" t="str">
        <f t="shared" si="7"/>
        <v/>
      </c>
    </row>
    <row r="497" spans="1:1" ht="30" customHeight="1" x14ac:dyDescent="0.2">
      <c r="A497" s="20" t="str">
        <f t="shared" si="7"/>
        <v/>
      </c>
    </row>
    <row r="498" spans="1:1" ht="30" customHeight="1" x14ac:dyDescent="0.2">
      <c r="A498" s="20" t="str">
        <f t="shared" si="7"/>
        <v/>
      </c>
    </row>
    <row r="499" spans="1:1" ht="30" customHeight="1" x14ac:dyDescent="0.2">
      <c r="A499" s="20" t="str">
        <f t="shared" si="7"/>
        <v/>
      </c>
    </row>
    <row r="500" spans="1:1" ht="30" customHeight="1" x14ac:dyDescent="0.2">
      <c r="A500" s="20" t="str">
        <f t="shared" si="7"/>
        <v/>
      </c>
    </row>
    <row r="501" spans="1:1" ht="30" customHeight="1" x14ac:dyDescent="0.2">
      <c r="A501" s="20" t="str">
        <f t="shared" si="7"/>
        <v/>
      </c>
    </row>
    <row r="502" spans="1:1" ht="30" customHeight="1" x14ac:dyDescent="0.2">
      <c r="A502" s="20" t="str">
        <f t="shared" si="7"/>
        <v/>
      </c>
    </row>
    <row r="503" spans="1:1" ht="30" customHeight="1" x14ac:dyDescent="0.2">
      <c r="A503" s="20" t="str">
        <f t="shared" si="7"/>
        <v/>
      </c>
    </row>
    <row r="504" spans="1:1" ht="30" customHeight="1" x14ac:dyDescent="0.2">
      <c r="A504" s="20" t="str">
        <f t="shared" si="7"/>
        <v/>
      </c>
    </row>
    <row r="505" spans="1:1" ht="30" customHeight="1" x14ac:dyDescent="0.2">
      <c r="A505" s="20" t="str">
        <f t="shared" si="7"/>
        <v/>
      </c>
    </row>
    <row r="506" spans="1:1" ht="30" customHeight="1" x14ac:dyDescent="0.2">
      <c r="A506" s="20" t="str">
        <f t="shared" si="7"/>
        <v/>
      </c>
    </row>
    <row r="507" spans="1:1" ht="30" customHeight="1" x14ac:dyDescent="0.2">
      <c r="A507" s="20" t="str">
        <f t="shared" si="7"/>
        <v/>
      </c>
    </row>
    <row r="508" spans="1:1" ht="30" customHeight="1" x14ac:dyDescent="0.2">
      <c r="A508" s="20" t="str">
        <f t="shared" si="7"/>
        <v/>
      </c>
    </row>
    <row r="509" spans="1:1" ht="30" customHeight="1" x14ac:dyDescent="0.2">
      <c r="A509" s="20" t="str">
        <f t="shared" si="7"/>
        <v/>
      </c>
    </row>
    <row r="510" spans="1:1" ht="30" customHeight="1" x14ac:dyDescent="0.2">
      <c r="A510" s="20" t="str">
        <f t="shared" si="7"/>
        <v/>
      </c>
    </row>
    <row r="511" spans="1:1" ht="30" customHeight="1" x14ac:dyDescent="0.2">
      <c r="A511" s="20" t="str">
        <f t="shared" si="7"/>
        <v/>
      </c>
    </row>
    <row r="512" spans="1:1" ht="30" customHeight="1" x14ac:dyDescent="0.2">
      <c r="A512" s="20" t="str">
        <f t="shared" si="7"/>
        <v/>
      </c>
    </row>
    <row r="513" spans="1:1" ht="30" customHeight="1" x14ac:dyDescent="0.2">
      <c r="A513" s="20" t="str">
        <f t="shared" si="7"/>
        <v/>
      </c>
    </row>
    <row r="514" spans="1:1" ht="30" customHeight="1" x14ac:dyDescent="0.2">
      <c r="A514" s="20" t="str">
        <f t="shared" si="7"/>
        <v/>
      </c>
    </row>
    <row r="515" spans="1:1" ht="30" customHeight="1" x14ac:dyDescent="0.2">
      <c r="A515" s="20" t="str">
        <f t="shared" si="7"/>
        <v/>
      </c>
    </row>
    <row r="516" spans="1:1" ht="30" customHeight="1" x14ac:dyDescent="0.2">
      <c r="A516" s="20" t="str">
        <f t="shared" si="7"/>
        <v/>
      </c>
    </row>
    <row r="517" spans="1:1" ht="30" customHeight="1" x14ac:dyDescent="0.2">
      <c r="A517" s="20" t="str">
        <f t="shared" si="7"/>
        <v/>
      </c>
    </row>
    <row r="518" spans="1:1" ht="30" customHeight="1" x14ac:dyDescent="0.2">
      <c r="A518" s="20" t="str">
        <f t="shared" si="7"/>
        <v/>
      </c>
    </row>
    <row r="519" spans="1:1" ht="30" customHeight="1" x14ac:dyDescent="0.2">
      <c r="A519" s="20" t="str">
        <f t="shared" si="7"/>
        <v/>
      </c>
    </row>
    <row r="520" spans="1:1" ht="30" customHeight="1" x14ac:dyDescent="0.2">
      <c r="A520" s="20" t="str">
        <f t="shared" si="7"/>
        <v/>
      </c>
    </row>
    <row r="521" spans="1:1" ht="30" customHeight="1" x14ac:dyDescent="0.2">
      <c r="A521" s="20" t="str">
        <f t="shared" si="7"/>
        <v/>
      </c>
    </row>
    <row r="522" spans="1:1" ht="30" customHeight="1" x14ac:dyDescent="0.2">
      <c r="A522" s="20" t="str">
        <f t="shared" si="7"/>
        <v/>
      </c>
    </row>
    <row r="523" spans="1:1" ht="30" customHeight="1" x14ac:dyDescent="0.2">
      <c r="A523" s="20" t="str">
        <f t="shared" si="7"/>
        <v/>
      </c>
    </row>
    <row r="524" spans="1:1" ht="30" customHeight="1" x14ac:dyDescent="0.2">
      <c r="A524" s="20" t="str">
        <f t="shared" si="7"/>
        <v/>
      </c>
    </row>
    <row r="525" spans="1:1" ht="30" customHeight="1" x14ac:dyDescent="0.2">
      <c r="A525" s="20" t="str">
        <f t="shared" si="7"/>
        <v/>
      </c>
    </row>
    <row r="526" spans="1:1" ht="30" customHeight="1" x14ac:dyDescent="0.2">
      <c r="A526" s="20" t="str">
        <f t="shared" si="7"/>
        <v/>
      </c>
    </row>
    <row r="527" spans="1:1" ht="30" customHeight="1" x14ac:dyDescent="0.2">
      <c r="A527" s="20" t="str">
        <f t="shared" si="7"/>
        <v/>
      </c>
    </row>
    <row r="528" spans="1:1" ht="30" customHeight="1" x14ac:dyDescent="0.2">
      <c r="A528" s="20" t="str">
        <f t="shared" si="7"/>
        <v/>
      </c>
    </row>
    <row r="529" spans="1:1" ht="30" customHeight="1" x14ac:dyDescent="0.2">
      <c r="A529" s="20" t="str">
        <f t="shared" si="7"/>
        <v/>
      </c>
    </row>
    <row r="530" spans="1:1" ht="30" customHeight="1" x14ac:dyDescent="0.2">
      <c r="A530" s="20" t="str">
        <f t="shared" si="7"/>
        <v/>
      </c>
    </row>
    <row r="531" spans="1:1" ht="30" customHeight="1" x14ac:dyDescent="0.2">
      <c r="A531" s="20" t="str">
        <f t="shared" si="7"/>
        <v/>
      </c>
    </row>
    <row r="532" spans="1:1" ht="30" customHeight="1" x14ac:dyDescent="0.2">
      <c r="A532" s="20" t="str">
        <f t="shared" si="7"/>
        <v/>
      </c>
    </row>
    <row r="533" spans="1:1" ht="30" customHeight="1" x14ac:dyDescent="0.2">
      <c r="A533" s="20" t="str">
        <f t="shared" si="7"/>
        <v/>
      </c>
    </row>
    <row r="534" spans="1:1" ht="30" customHeight="1" x14ac:dyDescent="0.2">
      <c r="A534" s="20" t="str">
        <f t="shared" si="7"/>
        <v/>
      </c>
    </row>
    <row r="535" spans="1:1" ht="30" customHeight="1" x14ac:dyDescent="0.2">
      <c r="A535" s="20" t="str">
        <f t="shared" si="7"/>
        <v/>
      </c>
    </row>
    <row r="536" spans="1:1" ht="30" customHeight="1" x14ac:dyDescent="0.2">
      <c r="A536" s="20" t="str">
        <f t="shared" ref="A536:A599" si="8">IF(AND(B535&lt;&gt;"",B536=""),$A$22&amp;"---&gt;","")</f>
        <v/>
      </c>
    </row>
    <row r="537" spans="1:1" ht="30" customHeight="1" x14ac:dyDescent="0.2">
      <c r="A537" s="20" t="str">
        <f t="shared" si="8"/>
        <v/>
      </c>
    </row>
    <row r="538" spans="1:1" ht="30" customHeight="1" x14ac:dyDescent="0.2">
      <c r="A538" s="20" t="str">
        <f t="shared" si="8"/>
        <v/>
      </c>
    </row>
    <row r="539" spans="1:1" ht="30" customHeight="1" x14ac:dyDescent="0.2">
      <c r="A539" s="20" t="str">
        <f t="shared" si="8"/>
        <v/>
      </c>
    </row>
    <row r="540" spans="1:1" ht="30" customHeight="1" x14ac:dyDescent="0.2">
      <c r="A540" s="20" t="str">
        <f t="shared" si="8"/>
        <v/>
      </c>
    </row>
    <row r="541" spans="1:1" ht="30" customHeight="1" x14ac:dyDescent="0.2">
      <c r="A541" s="20" t="str">
        <f t="shared" si="8"/>
        <v/>
      </c>
    </row>
    <row r="542" spans="1:1" ht="30" customHeight="1" x14ac:dyDescent="0.2">
      <c r="A542" s="20" t="str">
        <f t="shared" si="8"/>
        <v/>
      </c>
    </row>
    <row r="543" spans="1:1" ht="30" customHeight="1" x14ac:dyDescent="0.2">
      <c r="A543" s="20" t="str">
        <f t="shared" si="8"/>
        <v/>
      </c>
    </row>
    <row r="544" spans="1:1" ht="30" customHeight="1" x14ac:dyDescent="0.2">
      <c r="A544" s="20" t="str">
        <f t="shared" si="8"/>
        <v/>
      </c>
    </row>
    <row r="545" spans="1:1" ht="30" customHeight="1" x14ac:dyDescent="0.2">
      <c r="A545" s="20" t="str">
        <f t="shared" si="8"/>
        <v/>
      </c>
    </row>
    <row r="546" spans="1:1" ht="30" customHeight="1" x14ac:dyDescent="0.2">
      <c r="A546" s="20" t="str">
        <f t="shared" si="8"/>
        <v/>
      </c>
    </row>
    <row r="547" spans="1:1" ht="30" customHeight="1" x14ac:dyDescent="0.2">
      <c r="A547" s="20" t="str">
        <f t="shared" si="8"/>
        <v/>
      </c>
    </row>
    <row r="548" spans="1:1" ht="30" customHeight="1" x14ac:dyDescent="0.2">
      <c r="A548" s="20" t="str">
        <f t="shared" si="8"/>
        <v/>
      </c>
    </row>
    <row r="549" spans="1:1" ht="30" customHeight="1" x14ac:dyDescent="0.2">
      <c r="A549" s="20" t="str">
        <f t="shared" si="8"/>
        <v/>
      </c>
    </row>
    <row r="550" spans="1:1" ht="30" customHeight="1" x14ac:dyDescent="0.2">
      <c r="A550" s="20" t="str">
        <f t="shared" si="8"/>
        <v/>
      </c>
    </row>
    <row r="551" spans="1:1" ht="30" customHeight="1" x14ac:dyDescent="0.2">
      <c r="A551" s="20" t="str">
        <f t="shared" si="8"/>
        <v/>
      </c>
    </row>
    <row r="552" spans="1:1" ht="30" customHeight="1" x14ac:dyDescent="0.2">
      <c r="A552" s="20" t="str">
        <f t="shared" si="8"/>
        <v/>
      </c>
    </row>
    <row r="553" spans="1:1" ht="30" customHeight="1" x14ac:dyDescent="0.2">
      <c r="A553" s="20" t="str">
        <f t="shared" si="8"/>
        <v/>
      </c>
    </row>
    <row r="554" spans="1:1" ht="30" customHeight="1" x14ac:dyDescent="0.2">
      <c r="A554" s="20" t="str">
        <f t="shared" si="8"/>
        <v/>
      </c>
    </row>
    <row r="555" spans="1:1" ht="30" customHeight="1" x14ac:dyDescent="0.2">
      <c r="A555" s="20" t="str">
        <f t="shared" si="8"/>
        <v/>
      </c>
    </row>
    <row r="556" spans="1:1" ht="30" customHeight="1" x14ac:dyDescent="0.2">
      <c r="A556" s="20" t="str">
        <f t="shared" si="8"/>
        <v/>
      </c>
    </row>
    <row r="557" spans="1:1" ht="30" customHeight="1" x14ac:dyDescent="0.2">
      <c r="A557" s="20" t="str">
        <f t="shared" si="8"/>
        <v/>
      </c>
    </row>
    <row r="558" spans="1:1" ht="30" customHeight="1" x14ac:dyDescent="0.2">
      <c r="A558" s="20" t="str">
        <f t="shared" si="8"/>
        <v/>
      </c>
    </row>
    <row r="559" spans="1:1" ht="30" customHeight="1" x14ac:dyDescent="0.2">
      <c r="A559" s="20" t="str">
        <f t="shared" si="8"/>
        <v/>
      </c>
    </row>
    <row r="560" spans="1:1" ht="30" customHeight="1" x14ac:dyDescent="0.2">
      <c r="A560" s="20" t="str">
        <f t="shared" si="8"/>
        <v/>
      </c>
    </row>
    <row r="561" spans="1:1" ht="30" customHeight="1" x14ac:dyDescent="0.2">
      <c r="A561" s="20" t="str">
        <f t="shared" si="8"/>
        <v/>
      </c>
    </row>
    <row r="562" spans="1:1" ht="30" customHeight="1" x14ac:dyDescent="0.2">
      <c r="A562" s="20" t="str">
        <f t="shared" si="8"/>
        <v/>
      </c>
    </row>
    <row r="563" spans="1:1" ht="30" customHeight="1" x14ac:dyDescent="0.2">
      <c r="A563" s="20" t="str">
        <f t="shared" si="8"/>
        <v/>
      </c>
    </row>
    <row r="564" spans="1:1" ht="30" customHeight="1" x14ac:dyDescent="0.2">
      <c r="A564" s="20" t="str">
        <f t="shared" si="8"/>
        <v/>
      </c>
    </row>
    <row r="565" spans="1:1" ht="30" customHeight="1" x14ac:dyDescent="0.2">
      <c r="A565" s="20" t="str">
        <f t="shared" si="8"/>
        <v/>
      </c>
    </row>
    <row r="566" spans="1:1" ht="30" customHeight="1" x14ac:dyDescent="0.2">
      <c r="A566" s="20" t="str">
        <f t="shared" si="8"/>
        <v/>
      </c>
    </row>
    <row r="567" spans="1:1" ht="30" customHeight="1" x14ac:dyDescent="0.2">
      <c r="A567" s="20" t="str">
        <f t="shared" si="8"/>
        <v/>
      </c>
    </row>
    <row r="568" spans="1:1" ht="30" customHeight="1" x14ac:dyDescent="0.2">
      <c r="A568" s="20" t="str">
        <f t="shared" si="8"/>
        <v/>
      </c>
    </row>
    <row r="569" spans="1:1" ht="30" customHeight="1" x14ac:dyDescent="0.2">
      <c r="A569" s="20" t="str">
        <f t="shared" si="8"/>
        <v/>
      </c>
    </row>
    <row r="570" spans="1:1" ht="30" customHeight="1" x14ac:dyDescent="0.2">
      <c r="A570" s="20" t="str">
        <f t="shared" si="8"/>
        <v/>
      </c>
    </row>
    <row r="571" spans="1:1" ht="30" customHeight="1" x14ac:dyDescent="0.2">
      <c r="A571" s="20" t="str">
        <f t="shared" si="8"/>
        <v/>
      </c>
    </row>
    <row r="572" spans="1:1" ht="30" customHeight="1" x14ac:dyDescent="0.2">
      <c r="A572" s="20" t="str">
        <f t="shared" si="8"/>
        <v/>
      </c>
    </row>
    <row r="573" spans="1:1" ht="30" customHeight="1" x14ac:dyDescent="0.2">
      <c r="A573" s="20" t="str">
        <f t="shared" si="8"/>
        <v/>
      </c>
    </row>
    <row r="574" spans="1:1" ht="30" customHeight="1" x14ac:dyDescent="0.2">
      <c r="A574" s="20" t="str">
        <f t="shared" si="8"/>
        <v/>
      </c>
    </row>
    <row r="575" spans="1:1" ht="30" customHeight="1" x14ac:dyDescent="0.2">
      <c r="A575" s="20" t="str">
        <f t="shared" si="8"/>
        <v/>
      </c>
    </row>
    <row r="576" spans="1:1" ht="30" customHeight="1" x14ac:dyDescent="0.2">
      <c r="A576" s="20" t="str">
        <f t="shared" si="8"/>
        <v/>
      </c>
    </row>
    <row r="577" spans="1:1" ht="30" customHeight="1" x14ac:dyDescent="0.2">
      <c r="A577" s="20" t="str">
        <f t="shared" si="8"/>
        <v/>
      </c>
    </row>
    <row r="578" spans="1:1" ht="30" customHeight="1" x14ac:dyDescent="0.2">
      <c r="A578" s="20" t="str">
        <f t="shared" si="8"/>
        <v/>
      </c>
    </row>
    <row r="579" spans="1:1" ht="30" customHeight="1" x14ac:dyDescent="0.2">
      <c r="A579" s="20" t="str">
        <f t="shared" si="8"/>
        <v/>
      </c>
    </row>
    <row r="580" spans="1:1" ht="30" customHeight="1" x14ac:dyDescent="0.2">
      <c r="A580" s="20" t="str">
        <f t="shared" si="8"/>
        <v/>
      </c>
    </row>
    <row r="581" spans="1:1" ht="30" customHeight="1" x14ac:dyDescent="0.2">
      <c r="A581" s="20" t="str">
        <f t="shared" si="8"/>
        <v/>
      </c>
    </row>
    <row r="582" spans="1:1" ht="30" customHeight="1" x14ac:dyDescent="0.2">
      <c r="A582" s="20" t="str">
        <f t="shared" si="8"/>
        <v/>
      </c>
    </row>
    <row r="583" spans="1:1" ht="30" customHeight="1" x14ac:dyDescent="0.2">
      <c r="A583" s="20" t="str">
        <f t="shared" si="8"/>
        <v/>
      </c>
    </row>
    <row r="584" spans="1:1" ht="30" customHeight="1" x14ac:dyDescent="0.2">
      <c r="A584" s="20" t="str">
        <f t="shared" si="8"/>
        <v/>
      </c>
    </row>
    <row r="585" spans="1:1" ht="30" customHeight="1" x14ac:dyDescent="0.2">
      <c r="A585" s="20" t="str">
        <f t="shared" si="8"/>
        <v/>
      </c>
    </row>
    <row r="586" spans="1:1" ht="30" customHeight="1" x14ac:dyDescent="0.2">
      <c r="A586" s="20" t="str">
        <f t="shared" si="8"/>
        <v/>
      </c>
    </row>
    <row r="587" spans="1:1" ht="30" customHeight="1" x14ac:dyDescent="0.2">
      <c r="A587" s="20" t="str">
        <f t="shared" si="8"/>
        <v/>
      </c>
    </row>
    <row r="588" spans="1:1" ht="30" customHeight="1" x14ac:dyDescent="0.2">
      <c r="A588" s="20" t="str">
        <f t="shared" si="8"/>
        <v/>
      </c>
    </row>
    <row r="589" spans="1:1" ht="30" customHeight="1" x14ac:dyDescent="0.2">
      <c r="A589" s="20" t="str">
        <f t="shared" si="8"/>
        <v/>
      </c>
    </row>
    <row r="590" spans="1:1" ht="30" customHeight="1" x14ac:dyDescent="0.2">
      <c r="A590" s="20" t="str">
        <f t="shared" si="8"/>
        <v/>
      </c>
    </row>
    <row r="591" spans="1:1" ht="30" customHeight="1" x14ac:dyDescent="0.2">
      <c r="A591" s="20" t="str">
        <f t="shared" si="8"/>
        <v/>
      </c>
    </row>
    <row r="592" spans="1:1" ht="30" customHeight="1" x14ac:dyDescent="0.2">
      <c r="A592" s="20" t="str">
        <f t="shared" si="8"/>
        <v/>
      </c>
    </row>
    <row r="593" spans="1:1" ht="30" customHeight="1" x14ac:dyDescent="0.2">
      <c r="A593" s="20" t="str">
        <f t="shared" si="8"/>
        <v/>
      </c>
    </row>
    <row r="594" spans="1:1" ht="30" customHeight="1" x14ac:dyDescent="0.2">
      <c r="A594" s="20" t="str">
        <f t="shared" si="8"/>
        <v/>
      </c>
    </row>
    <row r="595" spans="1:1" ht="30" customHeight="1" x14ac:dyDescent="0.2">
      <c r="A595" s="20" t="str">
        <f t="shared" si="8"/>
        <v/>
      </c>
    </row>
    <row r="596" spans="1:1" ht="30" customHeight="1" x14ac:dyDescent="0.2">
      <c r="A596" s="20" t="str">
        <f t="shared" si="8"/>
        <v/>
      </c>
    </row>
    <row r="597" spans="1:1" ht="30" customHeight="1" x14ac:dyDescent="0.2">
      <c r="A597" s="20" t="str">
        <f t="shared" si="8"/>
        <v/>
      </c>
    </row>
    <row r="598" spans="1:1" ht="30" customHeight="1" x14ac:dyDescent="0.2">
      <c r="A598" s="20" t="str">
        <f t="shared" si="8"/>
        <v/>
      </c>
    </row>
    <row r="599" spans="1:1" ht="30" customHeight="1" x14ac:dyDescent="0.2">
      <c r="A599" s="20" t="str">
        <f t="shared" si="8"/>
        <v/>
      </c>
    </row>
    <row r="600" spans="1:1" ht="30" customHeight="1" x14ac:dyDescent="0.2">
      <c r="A600" s="20" t="str">
        <f t="shared" ref="A600:A663" si="9">IF(AND(B599&lt;&gt;"",B600=""),$A$22&amp;"---&gt;","")</f>
        <v/>
      </c>
    </row>
    <row r="601" spans="1:1" ht="30" customHeight="1" x14ac:dyDescent="0.2">
      <c r="A601" s="20" t="str">
        <f t="shared" si="9"/>
        <v/>
      </c>
    </row>
    <row r="602" spans="1:1" ht="30" customHeight="1" x14ac:dyDescent="0.2">
      <c r="A602" s="20" t="str">
        <f t="shared" si="9"/>
        <v/>
      </c>
    </row>
    <row r="603" spans="1:1" ht="30" customHeight="1" x14ac:dyDescent="0.2">
      <c r="A603" s="20" t="str">
        <f t="shared" si="9"/>
        <v/>
      </c>
    </row>
    <row r="604" spans="1:1" ht="30" customHeight="1" x14ac:dyDescent="0.2">
      <c r="A604" s="20" t="str">
        <f t="shared" si="9"/>
        <v/>
      </c>
    </row>
    <row r="605" spans="1:1" ht="30" customHeight="1" x14ac:dyDescent="0.2">
      <c r="A605" s="20" t="str">
        <f t="shared" si="9"/>
        <v/>
      </c>
    </row>
    <row r="606" spans="1:1" ht="30" customHeight="1" x14ac:dyDescent="0.2">
      <c r="A606" s="20" t="str">
        <f t="shared" si="9"/>
        <v/>
      </c>
    </row>
    <row r="607" spans="1:1" ht="30" customHeight="1" x14ac:dyDescent="0.2">
      <c r="A607" s="20" t="str">
        <f t="shared" si="9"/>
        <v/>
      </c>
    </row>
    <row r="608" spans="1:1" ht="30" customHeight="1" x14ac:dyDescent="0.2">
      <c r="A608" s="20" t="str">
        <f t="shared" si="9"/>
        <v/>
      </c>
    </row>
    <row r="609" spans="1:1" ht="30" customHeight="1" x14ac:dyDescent="0.2">
      <c r="A609" s="20" t="str">
        <f t="shared" si="9"/>
        <v/>
      </c>
    </row>
    <row r="610" spans="1:1" ht="30" customHeight="1" x14ac:dyDescent="0.2">
      <c r="A610" s="20" t="str">
        <f t="shared" si="9"/>
        <v/>
      </c>
    </row>
    <row r="611" spans="1:1" ht="30" customHeight="1" x14ac:dyDescent="0.2">
      <c r="A611" s="20" t="str">
        <f t="shared" si="9"/>
        <v/>
      </c>
    </row>
    <row r="612" spans="1:1" ht="30" customHeight="1" x14ac:dyDescent="0.2">
      <c r="A612" s="20" t="str">
        <f t="shared" si="9"/>
        <v/>
      </c>
    </row>
    <row r="613" spans="1:1" ht="30" customHeight="1" x14ac:dyDescent="0.2">
      <c r="A613" s="20" t="str">
        <f t="shared" si="9"/>
        <v/>
      </c>
    </row>
    <row r="614" spans="1:1" ht="30" customHeight="1" x14ac:dyDescent="0.2">
      <c r="A614" s="20" t="str">
        <f t="shared" si="9"/>
        <v/>
      </c>
    </row>
    <row r="615" spans="1:1" ht="30" customHeight="1" x14ac:dyDescent="0.2">
      <c r="A615" s="20" t="str">
        <f t="shared" si="9"/>
        <v/>
      </c>
    </row>
    <row r="616" spans="1:1" ht="30" customHeight="1" x14ac:dyDescent="0.2">
      <c r="A616" s="20" t="str">
        <f t="shared" si="9"/>
        <v/>
      </c>
    </row>
    <row r="617" spans="1:1" ht="30" customHeight="1" x14ac:dyDescent="0.2">
      <c r="A617" s="20" t="str">
        <f t="shared" si="9"/>
        <v/>
      </c>
    </row>
    <row r="618" spans="1:1" ht="30" customHeight="1" x14ac:dyDescent="0.2">
      <c r="A618" s="20" t="str">
        <f t="shared" si="9"/>
        <v/>
      </c>
    </row>
    <row r="619" spans="1:1" ht="30" customHeight="1" x14ac:dyDescent="0.2">
      <c r="A619" s="20" t="str">
        <f t="shared" si="9"/>
        <v/>
      </c>
    </row>
    <row r="620" spans="1:1" ht="30" customHeight="1" x14ac:dyDescent="0.2">
      <c r="A620" s="20" t="str">
        <f t="shared" si="9"/>
        <v/>
      </c>
    </row>
    <row r="621" spans="1:1" ht="30" customHeight="1" x14ac:dyDescent="0.2">
      <c r="A621" s="20" t="str">
        <f t="shared" si="9"/>
        <v/>
      </c>
    </row>
    <row r="622" spans="1:1" ht="30" customHeight="1" x14ac:dyDescent="0.2">
      <c r="A622" s="20" t="str">
        <f t="shared" si="9"/>
        <v/>
      </c>
    </row>
    <row r="623" spans="1:1" ht="30" customHeight="1" x14ac:dyDescent="0.2">
      <c r="A623" s="20" t="str">
        <f t="shared" si="9"/>
        <v/>
      </c>
    </row>
    <row r="624" spans="1:1" ht="30" customHeight="1" x14ac:dyDescent="0.2">
      <c r="A624" s="20" t="str">
        <f t="shared" si="9"/>
        <v/>
      </c>
    </row>
    <row r="625" spans="1:1" ht="30" customHeight="1" x14ac:dyDescent="0.2">
      <c r="A625" s="20" t="str">
        <f t="shared" si="9"/>
        <v/>
      </c>
    </row>
    <row r="626" spans="1:1" ht="30" customHeight="1" x14ac:dyDescent="0.2">
      <c r="A626" s="20" t="str">
        <f t="shared" si="9"/>
        <v/>
      </c>
    </row>
    <row r="627" spans="1:1" ht="30" customHeight="1" x14ac:dyDescent="0.2">
      <c r="A627" s="20" t="str">
        <f t="shared" si="9"/>
        <v/>
      </c>
    </row>
    <row r="628" spans="1:1" ht="30" customHeight="1" x14ac:dyDescent="0.2">
      <c r="A628" s="20" t="str">
        <f t="shared" si="9"/>
        <v/>
      </c>
    </row>
    <row r="629" spans="1:1" ht="30" customHeight="1" x14ac:dyDescent="0.2">
      <c r="A629" s="20" t="str">
        <f t="shared" si="9"/>
        <v/>
      </c>
    </row>
    <row r="630" spans="1:1" ht="30" customHeight="1" x14ac:dyDescent="0.2">
      <c r="A630" s="20" t="str">
        <f t="shared" si="9"/>
        <v/>
      </c>
    </row>
    <row r="631" spans="1:1" ht="30" customHeight="1" x14ac:dyDescent="0.2">
      <c r="A631" s="20" t="str">
        <f t="shared" si="9"/>
        <v/>
      </c>
    </row>
    <row r="632" spans="1:1" ht="30" customHeight="1" x14ac:dyDescent="0.2">
      <c r="A632" s="20" t="str">
        <f t="shared" si="9"/>
        <v/>
      </c>
    </row>
    <row r="633" spans="1:1" ht="30" customHeight="1" x14ac:dyDescent="0.2">
      <c r="A633" s="20" t="str">
        <f t="shared" si="9"/>
        <v/>
      </c>
    </row>
    <row r="634" spans="1:1" ht="30" customHeight="1" x14ac:dyDescent="0.2">
      <c r="A634" s="20" t="str">
        <f t="shared" si="9"/>
        <v/>
      </c>
    </row>
    <row r="635" spans="1:1" ht="30" customHeight="1" x14ac:dyDescent="0.2">
      <c r="A635" s="20" t="str">
        <f t="shared" si="9"/>
        <v/>
      </c>
    </row>
    <row r="636" spans="1:1" ht="30" customHeight="1" x14ac:dyDescent="0.2">
      <c r="A636" s="20" t="str">
        <f t="shared" si="9"/>
        <v/>
      </c>
    </row>
    <row r="637" spans="1:1" ht="30" customHeight="1" x14ac:dyDescent="0.2">
      <c r="A637" s="20" t="str">
        <f t="shared" si="9"/>
        <v/>
      </c>
    </row>
    <row r="638" spans="1:1" ht="30" customHeight="1" x14ac:dyDescent="0.2">
      <c r="A638" s="20" t="str">
        <f t="shared" si="9"/>
        <v/>
      </c>
    </row>
    <row r="639" spans="1:1" ht="30" customHeight="1" x14ac:dyDescent="0.2">
      <c r="A639" s="20" t="str">
        <f t="shared" si="9"/>
        <v/>
      </c>
    </row>
    <row r="640" spans="1:1" ht="30" customHeight="1" x14ac:dyDescent="0.2">
      <c r="A640" s="20" t="str">
        <f t="shared" si="9"/>
        <v/>
      </c>
    </row>
    <row r="641" spans="1:1" ht="30" customHeight="1" x14ac:dyDescent="0.2">
      <c r="A641" s="20" t="str">
        <f t="shared" si="9"/>
        <v/>
      </c>
    </row>
    <row r="642" spans="1:1" ht="30" customHeight="1" x14ac:dyDescent="0.2">
      <c r="A642" s="20" t="str">
        <f t="shared" si="9"/>
        <v/>
      </c>
    </row>
    <row r="643" spans="1:1" ht="30" customHeight="1" x14ac:dyDescent="0.2">
      <c r="A643" s="20" t="str">
        <f t="shared" si="9"/>
        <v/>
      </c>
    </row>
    <row r="644" spans="1:1" ht="30" customHeight="1" x14ac:dyDescent="0.2">
      <c r="A644" s="20" t="str">
        <f t="shared" si="9"/>
        <v/>
      </c>
    </row>
    <row r="645" spans="1:1" ht="30" customHeight="1" x14ac:dyDescent="0.2">
      <c r="A645" s="20" t="str">
        <f t="shared" si="9"/>
        <v/>
      </c>
    </row>
    <row r="646" spans="1:1" ht="30" customHeight="1" x14ac:dyDescent="0.2">
      <c r="A646" s="20" t="str">
        <f t="shared" si="9"/>
        <v/>
      </c>
    </row>
    <row r="647" spans="1:1" ht="30" customHeight="1" x14ac:dyDescent="0.2">
      <c r="A647" s="20" t="str">
        <f t="shared" si="9"/>
        <v/>
      </c>
    </row>
    <row r="648" spans="1:1" ht="30" customHeight="1" x14ac:dyDescent="0.2">
      <c r="A648" s="20" t="str">
        <f t="shared" si="9"/>
        <v/>
      </c>
    </row>
    <row r="649" spans="1:1" ht="30" customHeight="1" x14ac:dyDescent="0.2">
      <c r="A649" s="20" t="str">
        <f t="shared" si="9"/>
        <v/>
      </c>
    </row>
    <row r="650" spans="1:1" ht="30" customHeight="1" x14ac:dyDescent="0.2">
      <c r="A650" s="20" t="str">
        <f t="shared" si="9"/>
        <v/>
      </c>
    </row>
    <row r="651" spans="1:1" ht="30" customHeight="1" x14ac:dyDescent="0.2">
      <c r="A651" s="20" t="str">
        <f t="shared" si="9"/>
        <v/>
      </c>
    </row>
    <row r="652" spans="1:1" ht="30" customHeight="1" x14ac:dyDescent="0.2">
      <c r="A652" s="20" t="str">
        <f t="shared" si="9"/>
        <v/>
      </c>
    </row>
    <row r="653" spans="1:1" ht="30" customHeight="1" x14ac:dyDescent="0.2">
      <c r="A653" s="20" t="str">
        <f t="shared" si="9"/>
        <v/>
      </c>
    </row>
    <row r="654" spans="1:1" ht="30" customHeight="1" x14ac:dyDescent="0.2">
      <c r="A654" s="20" t="str">
        <f t="shared" si="9"/>
        <v/>
      </c>
    </row>
    <row r="655" spans="1:1" ht="30" customHeight="1" x14ac:dyDescent="0.2">
      <c r="A655" s="20" t="str">
        <f t="shared" si="9"/>
        <v/>
      </c>
    </row>
    <row r="656" spans="1:1" ht="30" customHeight="1" x14ac:dyDescent="0.2">
      <c r="A656" s="20" t="str">
        <f t="shared" si="9"/>
        <v/>
      </c>
    </row>
    <row r="657" spans="1:1" ht="30" customHeight="1" x14ac:dyDescent="0.2">
      <c r="A657" s="20" t="str">
        <f t="shared" si="9"/>
        <v/>
      </c>
    </row>
    <row r="658" spans="1:1" ht="30" customHeight="1" x14ac:dyDescent="0.2">
      <c r="A658" s="20" t="str">
        <f t="shared" si="9"/>
        <v/>
      </c>
    </row>
    <row r="659" spans="1:1" ht="30" customHeight="1" x14ac:dyDescent="0.2">
      <c r="A659" s="20" t="str">
        <f t="shared" si="9"/>
        <v/>
      </c>
    </row>
    <row r="660" spans="1:1" ht="30" customHeight="1" x14ac:dyDescent="0.2">
      <c r="A660" s="20" t="str">
        <f t="shared" si="9"/>
        <v/>
      </c>
    </row>
    <row r="661" spans="1:1" ht="30" customHeight="1" x14ac:dyDescent="0.2">
      <c r="A661" s="20" t="str">
        <f t="shared" si="9"/>
        <v/>
      </c>
    </row>
    <row r="662" spans="1:1" ht="30" customHeight="1" x14ac:dyDescent="0.2">
      <c r="A662" s="20" t="str">
        <f t="shared" si="9"/>
        <v/>
      </c>
    </row>
    <row r="663" spans="1:1" ht="30" customHeight="1" x14ac:dyDescent="0.2">
      <c r="A663" s="20" t="str">
        <f t="shared" si="9"/>
        <v/>
      </c>
    </row>
    <row r="664" spans="1:1" ht="30" customHeight="1" x14ac:dyDescent="0.2">
      <c r="A664" s="20" t="str">
        <f t="shared" ref="A664:A727" si="10">IF(AND(B663&lt;&gt;"",B664=""),$A$22&amp;"---&gt;","")</f>
        <v/>
      </c>
    </row>
    <row r="665" spans="1:1" ht="30" customHeight="1" x14ac:dyDescent="0.2">
      <c r="A665" s="20" t="str">
        <f t="shared" si="10"/>
        <v/>
      </c>
    </row>
    <row r="666" spans="1:1" ht="30" customHeight="1" x14ac:dyDescent="0.2">
      <c r="A666" s="20" t="str">
        <f t="shared" si="10"/>
        <v/>
      </c>
    </row>
    <row r="667" spans="1:1" ht="30" customHeight="1" x14ac:dyDescent="0.2">
      <c r="A667" s="20" t="str">
        <f t="shared" si="10"/>
        <v/>
      </c>
    </row>
    <row r="668" spans="1:1" ht="30" customHeight="1" x14ac:dyDescent="0.2">
      <c r="A668" s="20" t="str">
        <f t="shared" si="10"/>
        <v/>
      </c>
    </row>
    <row r="669" spans="1:1" ht="30" customHeight="1" x14ac:dyDescent="0.2">
      <c r="A669" s="20" t="str">
        <f t="shared" si="10"/>
        <v/>
      </c>
    </row>
    <row r="670" spans="1:1" ht="30" customHeight="1" x14ac:dyDescent="0.2">
      <c r="A670" s="20" t="str">
        <f t="shared" si="10"/>
        <v/>
      </c>
    </row>
    <row r="671" spans="1:1" ht="30" customHeight="1" x14ac:dyDescent="0.2">
      <c r="A671" s="20" t="str">
        <f t="shared" si="10"/>
        <v/>
      </c>
    </row>
    <row r="672" spans="1:1" ht="30" customHeight="1" x14ac:dyDescent="0.2">
      <c r="A672" s="20" t="str">
        <f t="shared" si="10"/>
        <v/>
      </c>
    </row>
    <row r="673" spans="1:1" ht="30" customHeight="1" x14ac:dyDescent="0.2">
      <c r="A673" s="20" t="str">
        <f t="shared" si="10"/>
        <v/>
      </c>
    </row>
    <row r="674" spans="1:1" ht="30" customHeight="1" x14ac:dyDescent="0.2">
      <c r="A674" s="20" t="str">
        <f t="shared" si="10"/>
        <v/>
      </c>
    </row>
    <row r="675" spans="1:1" ht="30" customHeight="1" x14ac:dyDescent="0.2">
      <c r="A675" s="20" t="str">
        <f t="shared" si="10"/>
        <v/>
      </c>
    </row>
    <row r="676" spans="1:1" ht="30" customHeight="1" x14ac:dyDescent="0.2">
      <c r="A676" s="20" t="str">
        <f t="shared" si="10"/>
        <v/>
      </c>
    </row>
    <row r="677" spans="1:1" ht="30" customHeight="1" x14ac:dyDescent="0.2">
      <c r="A677" s="20" t="str">
        <f t="shared" si="10"/>
        <v/>
      </c>
    </row>
    <row r="678" spans="1:1" ht="30" customHeight="1" x14ac:dyDescent="0.2">
      <c r="A678" s="20" t="str">
        <f t="shared" si="10"/>
        <v/>
      </c>
    </row>
    <row r="679" spans="1:1" ht="30" customHeight="1" x14ac:dyDescent="0.2">
      <c r="A679" s="20" t="str">
        <f t="shared" si="10"/>
        <v/>
      </c>
    </row>
    <row r="680" spans="1:1" ht="30" customHeight="1" x14ac:dyDescent="0.2">
      <c r="A680" s="20" t="str">
        <f t="shared" si="10"/>
        <v/>
      </c>
    </row>
    <row r="681" spans="1:1" ht="30" customHeight="1" x14ac:dyDescent="0.2">
      <c r="A681" s="20" t="str">
        <f t="shared" si="10"/>
        <v/>
      </c>
    </row>
    <row r="682" spans="1:1" ht="30" customHeight="1" x14ac:dyDescent="0.2">
      <c r="A682" s="20" t="str">
        <f t="shared" si="10"/>
        <v/>
      </c>
    </row>
    <row r="683" spans="1:1" ht="30" customHeight="1" x14ac:dyDescent="0.2">
      <c r="A683" s="20" t="str">
        <f t="shared" si="10"/>
        <v/>
      </c>
    </row>
    <row r="684" spans="1:1" ht="30" customHeight="1" x14ac:dyDescent="0.2">
      <c r="A684" s="20" t="str">
        <f t="shared" si="10"/>
        <v/>
      </c>
    </row>
    <row r="685" spans="1:1" ht="30" customHeight="1" x14ac:dyDescent="0.2">
      <c r="A685" s="20" t="str">
        <f t="shared" si="10"/>
        <v/>
      </c>
    </row>
    <row r="686" spans="1:1" ht="30" customHeight="1" x14ac:dyDescent="0.2">
      <c r="A686" s="20" t="str">
        <f t="shared" si="10"/>
        <v/>
      </c>
    </row>
    <row r="687" spans="1:1" ht="30" customHeight="1" x14ac:dyDescent="0.2">
      <c r="A687" s="20" t="str">
        <f t="shared" si="10"/>
        <v/>
      </c>
    </row>
    <row r="688" spans="1:1" ht="30" customHeight="1" x14ac:dyDescent="0.2">
      <c r="A688" s="20" t="str">
        <f t="shared" si="10"/>
        <v/>
      </c>
    </row>
    <row r="689" spans="1:1" ht="30" customHeight="1" x14ac:dyDescent="0.2">
      <c r="A689" s="20" t="str">
        <f t="shared" si="10"/>
        <v/>
      </c>
    </row>
    <row r="690" spans="1:1" ht="30" customHeight="1" x14ac:dyDescent="0.2">
      <c r="A690" s="20" t="str">
        <f t="shared" si="10"/>
        <v/>
      </c>
    </row>
    <row r="691" spans="1:1" ht="30" customHeight="1" x14ac:dyDescent="0.2">
      <c r="A691" s="20" t="str">
        <f t="shared" si="10"/>
        <v/>
      </c>
    </row>
    <row r="692" spans="1:1" ht="30" customHeight="1" x14ac:dyDescent="0.2">
      <c r="A692" s="20" t="str">
        <f t="shared" si="10"/>
        <v/>
      </c>
    </row>
    <row r="693" spans="1:1" ht="30" customHeight="1" x14ac:dyDescent="0.2">
      <c r="A693" s="20" t="str">
        <f t="shared" si="10"/>
        <v/>
      </c>
    </row>
    <row r="694" spans="1:1" ht="30" customHeight="1" x14ac:dyDescent="0.2">
      <c r="A694" s="20" t="str">
        <f t="shared" si="10"/>
        <v/>
      </c>
    </row>
    <row r="695" spans="1:1" ht="30" customHeight="1" x14ac:dyDescent="0.2">
      <c r="A695" s="20" t="str">
        <f t="shared" si="10"/>
        <v/>
      </c>
    </row>
    <row r="696" spans="1:1" ht="30" customHeight="1" x14ac:dyDescent="0.2">
      <c r="A696" s="20" t="str">
        <f t="shared" si="10"/>
        <v/>
      </c>
    </row>
    <row r="697" spans="1:1" ht="30" customHeight="1" x14ac:dyDescent="0.2">
      <c r="A697" s="20" t="str">
        <f t="shared" si="10"/>
        <v/>
      </c>
    </row>
    <row r="698" spans="1:1" ht="30" customHeight="1" x14ac:dyDescent="0.2">
      <c r="A698" s="20" t="str">
        <f t="shared" si="10"/>
        <v/>
      </c>
    </row>
    <row r="699" spans="1:1" ht="30" customHeight="1" x14ac:dyDescent="0.2">
      <c r="A699" s="20" t="str">
        <f t="shared" si="10"/>
        <v/>
      </c>
    </row>
    <row r="700" spans="1:1" ht="30" customHeight="1" x14ac:dyDescent="0.2">
      <c r="A700" s="20" t="str">
        <f t="shared" si="10"/>
        <v/>
      </c>
    </row>
    <row r="701" spans="1:1" ht="30" customHeight="1" x14ac:dyDescent="0.2">
      <c r="A701" s="20" t="str">
        <f t="shared" si="10"/>
        <v/>
      </c>
    </row>
    <row r="702" spans="1:1" ht="30" customHeight="1" x14ac:dyDescent="0.2">
      <c r="A702" s="20" t="str">
        <f t="shared" si="10"/>
        <v/>
      </c>
    </row>
    <row r="703" spans="1:1" ht="30" customHeight="1" x14ac:dyDescent="0.2">
      <c r="A703" s="20" t="str">
        <f t="shared" si="10"/>
        <v/>
      </c>
    </row>
    <row r="704" spans="1:1" ht="30" customHeight="1" x14ac:dyDescent="0.2">
      <c r="A704" s="20" t="str">
        <f t="shared" si="10"/>
        <v/>
      </c>
    </row>
    <row r="705" spans="1:1" ht="30" customHeight="1" x14ac:dyDescent="0.2">
      <c r="A705" s="20" t="str">
        <f t="shared" si="10"/>
        <v/>
      </c>
    </row>
    <row r="706" spans="1:1" ht="30" customHeight="1" x14ac:dyDescent="0.2">
      <c r="A706" s="20" t="str">
        <f t="shared" si="10"/>
        <v/>
      </c>
    </row>
    <row r="707" spans="1:1" ht="30" customHeight="1" x14ac:dyDescent="0.2">
      <c r="A707" s="20" t="str">
        <f t="shared" si="10"/>
        <v/>
      </c>
    </row>
    <row r="708" spans="1:1" ht="30" customHeight="1" x14ac:dyDescent="0.2">
      <c r="A708" s="20" t="str">
        <f t="shared" si="10"/>
        <v/>
      </c>
    </row>
    <row r="709" spans="1:1" ht="30" customHeight="1" x14ac:dyDescent="0.2">
      <c r="A709" s="20" t="str">
        <f t="shared" si="10"/>
        <v/>
      </c>
    </row>
    <row r="710" spans="1:1" ht="30" customHeight="1" x14ac:dyDescent="0.2">
      <c r="A710" s="20" t="str">
        <f t="shared" si="10"/>
        <v/>
      </c>
    </row>
    <row r="711" spans="1:1" ht="30" customHeight="1" x14ac:dyDescent="0.2">
      <c r="A711" s="20" t="str">
        <f t="shared" si="10"/>
        <v/>
      </c>
    </row>
    <row r="712" spans="1:1" ht="30" customHeight="1" x14ac:dyDescent="0.2">
      <c r="A712" s="20" t="str">
        <f t="shared" si="10"/>
        <v/>
      </c>
    </row>
    <row r="713" spans="1:1" ht="30" customHeight="1" x14ac:dyDescent="0.2">
      <c r="A713" s="20" t="str">
        <f t="shared" si="10"/>
        <v/>
      </c>
    </row>
    <row r="714" spans="1:1" ht="30" customHeight="1" x14ac:dyDescent="0.2">
      <c r="A714" s="20" t="str">
        <f t="shared" si="10"/>
        <v/>
      </c>
    </row>
    <row r="715" spans="1:1" ht="30" customHeight="1" x14ac:dyDescent="0.2">
      <c r="A715" s="20" t="str">
        <f t="shared" si="10"/>
        <v/>
      </c>
    </row>
    <row r="716" spans="1:1" ht="30" customHeight="1" x14ac:dyDescent="0.2">
      <c r="A716" s="20" t="str">
        <f t="shared" si="10"/>
        <v/>
      </c>
    </row>
    <row r="717" spans="1:1" ht="30" customHeight="1" x14ac:dyDescent="0.2">
      <c r="A717" s="20" t="str">
        <f t="shared" si="10"/>
        <v/>
      </c>
    </row>
    <row r="718" spans="1:1" ht="30" customHeight="1" x14ac:dyDescent="0.2">
      <c r="A718" s="20" t="str">
        <f t="shared" si="10"/>
        <v/>
      </c>
    </row>
    <row r="719" spans="1:1" ht="30" customHeight="1" x14ac:dyDescent="0.2">
      <c r="A719" s="20" t="str">
        <f t="shared" si="10"/>
        <v/>
      </c>
    </row>
    <row r="720" spans="1:1" ht="30" customHeight="1" x14ac:dyDescent="0.2">
      <c r="A720" s="20" t="str">
        <f t="shared" si="10"/>
        <v/>
      </c>
    </row>
    <row r="721" spans="1:1" ht="30" customHeight="1" x14ac:dyDescent="0.2">
      <c r="A721" s="20" t="str">
        <f t="shared" si="10"/>
        <v/>
      </c>
    </row>
    <row r="722" spans="1:1" ht="30" customHeight="1" x14ac:dyDescent="0.2">
      <c r="A722" s="20" t="str">
        <f t="shared" si="10"/>
        <v/>
      </c>
    </row>
    <row r="723" spans="1:1" ht="30" customHeight="1" x14ac:dyDescent="0.2">
      <c r="A723" s="20" t="str">
        <f t="shared" si="10"/>
        <v/>
      </c>
    </row>
    <row r="724" spans="1:1" ht="30" customHeight="1" x14ac:dyDescent="0.2">
      <c r="A724" s="20" t="str">
        <f t="shared" si="10"/>
        <v/>
      </c>
    </row>
    <row r="725" spans="1:1" ht="30" customHeight="1" x14ac:dyDescent="0.2">
      <c r="A725" s="20" t="str">
        <f t="shared" si="10"/>
        <v/>
      </c>
    </row>
    <row r="726" spans="1:1" ht="30" customHeight="1" x14ac:dyDescent="0.2">
      <c r="A726" s="20" t="str">
        <f t="shared" si="10"/>
        <v/>
      </c>
    </row>
    <row r="727" spans="1:1" ht="30" customHeight="1" x14ac:dyDescent="0.2">
      <c r="A727" s="20" t="str">
        <f t="shared" si="10"/>
        <v/>
      </c>
    </row>
    <row r="728" spans="1:1" ht="30" customHeight="1" x14ac:dyDescent="0.2">
      <c r="A728" s="20" t="str">
        <f t="shared" ref="A728:A791" si="11">IF(AND(B727&lt;&gt;"",B728=""),$A$22&amp;"---&gt;","")</f>
        <v/>
      </c>
    </row>
    <row r="729" spans="1:1" ht="30" customHeight="1" x14ac:dyDescent="0.2">
      <c r="A729" s="20" t="str">
        <f t="shared" si="11"/>
        <v/>
      </c>
    </row>
    <row r="730" spans="1:1" ht="30" customHeight="1" x14ac:dyDescent="0.2">
      <c r="A730" s="20" t="str">
        <f t="shared" si="11"/>
        <v/>
      </c>
    </row>
    <row r="731" spans="1:1" ht="30" customHeight="1" x14ac:dyDescent="0.2">
      <c r="A731" s="20" t="str">
        <f t="shared" si="11"/>
        <v/>
      </c>
    </row>
    <row r="732" spans="1:1" ht="30" customHeight="1" x14ac:dyDescent="0.2">
      <c r="A732" s="20" t="str">
        <f t="shared" si="11"/>
        <v/>
      </c>
    </row>
    <row r="733" spans="1:1" ht="30" customHeight="1" x14ac:dyDescent="0.2">
      <c r="A733" s="20" t="str">
        <f t="shared" si="11"/>
        <v/>
      </c>
    </row>
    <row r="734" spans="1:1" ht="30" customHeight="1" x14ac:dyDescent="0.2">
      <c r="A734" s="20" t="str">
        <f t="shared" si="11"/>
        <v/>
      </c>
    </row>
    <row r="735" spans="1:1" ht="30" customHeight="1" x14ac:dyDescent="0.2">
      <c r="A735" s="20" t="str">
        <f t="shared" si="11"/>
        <v/>
      </c>
    </row>
    <row r="736" spans="1:1" ht="30" customHeight="1" x14ac:dyDescent="0.2">
      <c r="A736" s="20" t="str">
        <f t="shared" si="11"/>
        <v/>
      </c>
    </row>
    <row r="737" spans="1:1" ht="30" customHeight="1" x14ac:dyDescent="0.2">
      <c r="A737" s="20" t="str">
        <f t="shared" si="11"/>
        <v/>
      </c>
    </row>
    <row r="738" spans="1:1" ht="30" customHeight="1" x14ac:dyDescent="0.2">
      <c r="A738" s="20" t="str">
        <f t="shared" si="11"/>
        <v/>
      </c>
    </row>
    <row r="739" spans="1:1" ht="30" customHeight="1" x14ac:dyDescent="0.2">
      <c r="A739" s="20" t="str">
        <f t="shared" si="11"/>
        <v/>
      </c>
    </row>
    <row r="740" spans="1:1" ht="30" customHeight="1" x14ac:dyDescent="0.2">
      <c r="A740" s="20" t="str">
        <f t="shared" si="11"/>
        <v/>
      </c>
    </row>
    <row r="741" spans="1:1" ht="30" customHeight="1" x14ac:dyDescent="0.2">
      <c r="A741" s="20" t="str">
        <f t="shared" si="11"/>
        <v/>
      </c>
    </row>
    <row r="742" spans="1:1" ht="30" customHeight="1" x14ac:dyDescent="0.2">
      <c r="A742" s="20" t="str">
        <f t="shared" si="11"/>
        <v/>
      </c>
    </row>
    <row r="743" spans="1:1" ht="30" customHeight="1" x14ac:dyDescent="0.2">
      <c r="A743" s="20" t="str">
        <f t="shared" si="11"/>
        <v/>
      </c>
    </row>
    <row r="744" spans="1:1" ht="30" customHeight="1" x14ac:dyDescent="0.2">
      <c r="A744" s="20" t="str">
        <f t="shared" si="11"/>
        <v/>
      </c>
    </row>
    <row r="745" spans="1:1" ht="30" customHeight="1" x14ac:dyDescent="0.2">
      <c r="A745" s="20" t="str">
        <f t="shared" si="11"/>
        <v/>
      </c>
    </row>
    <row r="746" spans="1:1" ht="30" customHeight="1" x14ac:dyDescent="0.2">
      <c r="A746" s="20" t="str">
        <f t="shared" si="11"/>
        <v/>
      </c>
    </row>
    <row r="747" spans="1:1" ht="30" customHeight="1" x14ac:dyDescent="0.2">
      <c r="A747" s="20" t="str">
        <f t="shared" si="11"/>
        <v/>
      </c>
    </row>
    <row r="748" spans="1:1" ht="30" customHeight="1" x14ac:dyDescent="0.2">
      <c r="A748" s="20" t="str">
        <f t="shared" si="11"/>
        <v/>
      </c>
    </row>
    <row r="749" spans="1:1" ht="30" customHeight="1" x14ac:dyDescent="0.2">
      <c r="A749" s="20" t="str">
        <f t="shared" si="11"/>
        <v/>
      </c>
    </row>
    <row r="750" spans="1:1" ht="30" customHeight="1" x14ac:dyDescent="0.2">
      <c r="A750" s="20" t="str">
        <f t="shared" si="11"/>
        <v/>
      </c>
    </row>
    <row r="751" spans="1:1" ht="30" customHeight="1" x14ac:dyDescent="0.2">
      <c r="A751" s="20" t="str">
        <f t="shared" si="11"/>
        <v/>
      </c>
    </row>
    <row r="752" spans="1:1" ht="30" customHeight="1" x14ac:dyDescent="0.2">
      <c r="A752" s="20" t="str">
        <f t="shared" si="11"/>
        <v/>
      </c>
    </row>
    <row r="753" spans="1:1" ht="30" customHeight="1" x14ac:dyDescent="0.2">
      <c r="A753" s="20" t="str">
        <f t="shared" si="11"/>
        <v/>
      </c>
    </row>
    <row r="754" spans="1:1" ht="30" customHeight="1" x14ac:dyDescent="0.2">
      <c r="A754" s="20" t="str">
        <f t="shared" si="11"/>
        <v/>
      </c>
    </row>
    <row r="755" spans="1:1" ht="30" customHeight="1" x14ac:dyDescent="0.2">
      <c r="A755" s="20" t="str">
        <f t="shared" si="11"/>
        <v/>
      </c>
    </row>
    <row r="756" spans="1:1" ht="30" customHeight="1" x14ac:dyDescent="0.2">
      <c r="A756" s="20" t="str">
        <f t="shared" si="11"/>
        <v/>
      </c>
    </row>
    <row r="757" spans="1:1" ht="30" customHeight="1" x14ac:dyDescent="0.2">
      <c r="A757" s="20" t="str">
        <f t="shared" si="11"/>
        <v/>
      </c>
    </row>
    <row r="758" spans="1:1" ht="30" customHeight="1" x14ac:dyDescent="0.2">
      <c r="A758" s="20" t="str">
        <f t="shared" si="11"/>
        <v/>
      </c>
    </row>
    <row r="759" spans="1:1" ht="30" customHeight="1" x14ac:dyDescent="0.2">
      <c r="A759" s="20" t="str">
        <f t="shared" si="11"/>
        <v/>
      </c>
    </row>
    <row r="760" spans="1:1" ht="30" customHeight="1" x14ac:dyDescent="0.2">
      <c r="A760" s="20" t="str">
        <f t="shared" si="11"/>
        <v/>
      </c>
    </row>
    <row r="761" spans="1:1" ht="30" customHeight="1" x14ac:dyDescent="0.2">
      <c r="A761" s="20" t="str">
        <f t="shared" si="11"/>
        <v/>
      </c>
    </row>
    <row r="762" spans="1:1" ht="30" customHeight="1" x14ac:dyDescent="0.2">
      <c r="A762" s="20" t="str">
        <f t="shared" si="11"/>
        <v/>
      </c>
    </row>
    <row r="763" spans="1:1" ht="30" customHeight="1" x14ac:dyDescent="0.2">
      <c r="A763" s="20" t="str">
        <f t="shared" si="11"/>
        <v/>
      </c>
    </row>
    <row r="764" spans="1:1" ht="30" customHeight="1" x14ac:dyDescent="0.2">
      <c r="A764" s="20" t="str">
        <f t="shared" si="11"/>
        <v/>
      </c>
    </row>
    <row r="765" spans="1:1" ht="30" customHeight="1" x14ac:dyDescent="0.2">
      <c r="A765" s="20" t="str">
        <f t="shared" si="11"/>
        <v/>
      </c>
    </row>
    <row r="766" spans="1:1" ht="30" customHeight="1" x14ac:dyDescent="0.2">
      <c r="A766" s="20" t="str">
        <f t="shared" si="11"/>
        <v/>
      </c>
    </row>
    <row r="767" spans="1:1" ht="30" customHeight="1" x14ac:dyDescent="0.2">
      <c r="A767" s="20" t="str">
        <f t="shared" si="11"/>
        <v/>
      </c>
    </row>
    <row r="768" spans="1:1" ht="30" customHeight="1" x14ac:dyDescent="0.2">
      <c r="A768" s="20" t="str">
        <f t="shared" si="11"/>
        <v/>
      </c>
    </row>
    <row r="769" spans="1:1" ht="30" customHeight="1" x14ac:dyDescent="0.2">
      <c r="A769" s="20" t="str">
        <f t="shared" si="11"/>
        <v/>
      </c>
    </row>
    <row r="770" spans="1:1" ht="30" customHeight="1" x14ac:dyDescent="0.2">
      <c r="A770" s="20" t="str">
        <f t="shared" si="11"/>
        <v/>
      </c>
    </row>
    <row r="771" spans="1:1" ht="30" customHeight="1" x14ac:dyDescent="0.2">
      <c r="A771" s="20" t="str">
        <f t="shared" si="11"/>
        <v/>
      </c>
    </row>
    <row r="772" spans="1:1" ht="30" customHeight="1" x14ac:dyDescent="0.2">
      <c r="A772" s="20" t="str">
        <f t="shared" si="11"/>
        <v/>
      </c>
    </row>
    <row r="773" spans="1:1" ht="30" customHeight="1" x14ac:dyDescent="0.2">
      <c r="A773" s="20" t="str">
        <f t="shared" si="11"/>
        <v/>
      </c>
    </row>
    <row r="774" spans="1:1" ht="30" customHeight="1" x14ac:dyDescent="0.2">
      <c r="A774" s="20" t="str">
        <f t="shared" si="11"/>
        <v/>
      </c>
    </row>
    <row r="775" spans="1:1" ht="30" customHeight="1" x14ac:dyDescent="0.2">
      <c r="A775" s="20" t="str">
        <f t="shared" si="11"/>
        <v/>
      </c>
    </row>
    <row r="776" spans="1:1" ht="30" customHeight="1" x14ac:dyDescent="0.2">
      <c r="A776" s="20" t="str">
        <f t="shared" si="11"/>
        <v/>
      </c>
    </row>
    <row r="777" spans="1:1" ht="30" customHeight="1" x14ac:dyDescent="0.2">
      <c r="A777" s="20" t="str">
        <f t="shared" si="11"/>
        <v/>
      </c>
    </row>
    <row r="778" spans="1:1" ht="30" customHeight="1" x14ac:dyDescent="0.2">
      <c r="A778" s="20" t="str">
        <f t="shared" si="11"/>
        <v/>
      </c>
    </row>
    <row r="779" spans="1:1" ht="30" customHeight="1" x14ac:dyDescent="0.2">
      <c r="A779" s="20" t="str">
        <f t="shared" si="11"/>
        <v/>
      </c>
    </row>
    <row r="780" spans="1:1" ht="30" customHeight="1" x14ac:dyDescent="0.2">
      <c r="A780" s="20" t="str">
        <f t="shared" si="11"/>
        <v/>
      </c>
    </row>
    <row r="781" spans="1:1" ht="30" customHeight="1" x14ac:dyDescent="0.2">
      <c r="A781" s="20" t="str">
        <f t="shared" si="11"/>
        <v/>
      </c>
    </row>
    <row r="782" spans="1:1" ht="30" customHeight="1" x14ac:dyDescent="0.2">
      <c r="A782" s="20" t="str">
        <f t="shared" si="11"/>
        <v/>
      </c>
    </row>
    <row r="783" spans="1:1" ht="30" customHeight="1" x14ac:dyDescent="0.2">
      <c r="A783" s="20" t="str">
        <f t="shared" si="11"/>
        <v/>
      </c>
    </row>
    <row r="784" spans="1:1" ht="30" customHeight="1" x14ac:dyDescent="0.2">
      <c r="A784" s="20" t="str">
        <f t="shared" si="11"/>
        <v/>
      </c>
    </row>
    <row r="785" spans="1:1" ht="30" customHeight="1" x14ac:dyDescent="0.2">
      <c r="A785" s="20" t="str">
        <f t="shared" si="11"/>
        <v/>
      </c>
    </row>
    <row r="786" spans="1:1" ht="30" customHeight="1" x14ac:dyDescent="0.2">
      <c r="A786" s="20" t="str">
        <f t="shared" si="11"/>
        <v/>
      </c>
    </row>
    <row r="787" spans="1:1" ht="30" customHeight="1" x14ac:dyDescent="0.2">
      <c r="A787" s="20" t="str">
        <f t="shared" si="11"/>
        <v/>
      </c>
    </row>
    <row r="788" spans="1:1" ht="30" customHeight="1" x14ac:dyDescent="0.2">
      <c r="A788" s="20" t="str">
        <f t="shared" si="11"/>
        <v/>
      </c>
    </row>
    <row r="789" spans="1:1" ht="30" customHeight="1" x14ac:dyDescent="0.2">
      <c r="A789" s="20" t="str">
        <f t="shared" si="11"/>
        <v/>
      </c>
    </row>
    <row r="790" spans="1:1" ht="30" customHeight="1" x14ac:dyDescent="0.2">
      <c r="A790" s="20" t="str">
        <f t="shared" si="11"/>
        <v/>
      </c>
    </row>
    <row r="791" spans="1:1" ht="30" customHeight="1" x14ac:dyDescent="0.2">
      <c r="A791" s="20" t="str">
        <f t="shared" si="11"/>
        <v/>
      </c>
    </row>
    <row r="792" spans="1:1" ht="30" customHeight="1" x14ac:dyDescent="0.2">
      <c r="A792" s="20" t="str">
        <f t="shared" ref="A792:A855" si="12">IF(AND(B791&lt;&gt;"",B792=""),$A$22&amp;"---&gt;","")</f>
        <v/>
      </c>
    </row>
    <row r="793" spans="1:1" ht="30" customHeight="1" x14ac:dyDescent="0.2">
      <c r="A793" s="20" t="str">
        <f t="shared" si="12"/>
        <v/>
      </c>
    </row>
    <row r="794" spans="1:1" ht="30" customHeight="1" x14ac:dyDescent="0.2">
      <c r="A794" s="20" t="str">
        <f t="shared" si="12"/>
        <v/>
      </c>
    </row>
    <row r="795" spans="1:1" ht="30" customHeight="1" x14ac:dyDescent="0.2">
      <c r="A795" s="20" t="str">
        <f t="shared" si="12"/>
        <v/>
      </c>
    </row>
    <row r="796" spans="1:1" ht="30" customHeight="1" x14ac:dyDescent="0.2">
      <c r="A796" s="20" t="str">
        <f t="shared" si="12"/>
        <v/>
      </c>
    </row>
    <row r="797" spans="1:1" ht="30" customHeight="1" x14ac:dyDescent="0.2">
      <c r="A797" s="20" t="str">
        <f t="shared" si="12"/>
        <v/>
      </c>
    </row>
    <row r="798" spans="1:1" ht="30" customHeight="1" x14ac:dyDescent="0.2">
      <c r="A798" s="20" t="str">
        <f t="shared" si="12"/>
        <v/>
      </c>
    </row>
    <row r="799" spans="1:1" ht="30" customHeight="1" x14ac:dyDescent="0.2">
      <c r="A799" s="20" t="str">
        <f t="shared" si="12"/>
        <v/>
      </c>
    </row>
    <row r="800" spans="1:1" ht="30" customHeight="1" x14ac:dyDescent="0.2">
      <c r="A800" s="20" t="str">
        <f t="shared" si="12"/>
        <v/>
      </c>
    </row>
    <row r="801" spans="1:1" ht="30" customHeight="1" x14ac:dyDescent="0.2">
      <c r="A801" s="20" t="str">
        <f t="shared" si="12"/>
        <v/>
      </c>
    </row>
    <row r="802" spans="1:1" ht="30" customHeight="1" x14ac:dyDescent="0.2">
      <c r="A802" s="20" t="str">
        <f t="shared" si="12"/>
        <v/>
      </c>
    </row>
    <row r="803" spans="1:1" ht="30" customHeight="1" x14ac:dyDescent="0.2">
      <c r="A803" s="20" t="str">
        <f t="shared" si="12"/>
        <v/>
      </c>
    </row>
    <row r="804" spans="1:1" ht="30" customHeight="1" x14ac:dyDescent="0.2">
      <c r="A804" s="20" t="str">
        <f t="shared" si="12"/>
        <v/>
      </c>
    </row>
    <row r="805" spans="1:1" ht="30" customHeight="1" x14ac:dyDescent="0.2">
      <c r="A805" s="20" t="str">
        <f t="shared" si="12"/>
        <v/>
      </c>
    </row>
    <row r="806" spans="1:1" ht="30" customHeight="1" x14ac:dyDescent="0.2">
      <c r="A806" s="20" t="str">
        <f t="shared" si="12"/>
        <v/>
      </c>
    </row>
    <row r="807" spans="1:1" ht="30" customHeight="1" x14ac:dyDescent="0.2">
      <c r="A807" s="20" t="str">
        <f t="shared" si="12"/>
        <v/>
      </c>
    </row>
    <row r="808" spans="1:1" ht="30" customHeight="1" x14ac:dyDescent="0.2">
      <c r="A808" s="20" t="str">
        <f t="shared" si="12"/>
        <v/>
      </c>
    </row>
    <row r="809" spans="1:1" ht="30" customHeight="1" x14ac:dyDescent="0.2">
      <c r="A809" s="20" t="str">
        <f t="shared" si="12"/>
        <v/>
      </c>
    </row>
    <row r="810" spans="1:1" ht="30" customHeight="1" x14ac:dyDescent="0.2">
      <c r="A810" s="20" t="str">
        <f t="shared" si="12"/>
        <v/>
      </c>
    </row>
    <row r="811" spans="1:1" ht="30" customHeight="1" x14ac:dyDescent="0.2">
      <c r="A811" s="20" t="str">
        <f t="shared" si="12"/>
        <v/>
      </c>
    </row>
    <row r="812" spans="1:1" ht="30" customHeight="1" x14ac:dyDescent="0.2">
      <c r="A812" s="20" t="str">
        <f t="shared" si="12"/>
        <v/>
      </c>
    </row>
    <row r="813" spans="1:1" ht="30" customHeight="1" x14ac:dyDescent="0.2">
      <c r="A813" s="20" t="str">
        <f t="shared" si="12"/>
        <v/>
      </c>
    </row>
    <row r="814" spans="1:1" ht="30" customHeight="1" x14ac:dyDescent="0.2">
      <c r="A814" s="20" t="str">
        <f t="shared" si="12"/>
        <v/>
      </c>
    </row>
    <row r="815" spans="1:1" ht="30" customHeight="1" x14ac:dyDescent="0.2">
      <c r="A815" s="20" t="str">
        <f t="shared" si="12"/>
        <v/>
      </c>
    </row>
    <row r="816" spans="1:1" ht="30" customHeight="1" x14ac:dyDescent="0.2">
      <c r="A816" s="20" t="str">
        <f t="shared" si="12"/>
        <v/>
      </c>
    </row>
    <row r="817" spans="1:1" ht="30" customHeight="1" x14ac:dyDescent="0.2">
      <c r="A817" s="20" t="str">
        <f t="shared" si="12"/>
        <v/>
      </c>
    </row>
    <row r="818" spans="1:1" ht="30" customHeight="1" x14ac:dyDescent="0.2">
      <c r="A818" s="20" t="str">
        <f t="shared" si="12"/>
        <v/>
      </c>
    </row>
    <row r="819" spans="1:1" ht="30" customHeight="1" x14ac:dyDescent="0.2">
      <c r="A819" s="20" t="str">
        <f t="shared" si="12"/>
        <v/>
      </c>
    </row>
    <row r="820" spans="1:1" ht="30" customHeight="1" x14ac:dyDescent="0.2">
      <c r="A820" s="20" t="str">
        <f t="shared" si="12"/>
        <v/>
      </c>
    </row>
    <row r="821" spans="1:1" ht="30" customHeight="1" x14ac:dyDescent="0.2">
      <c r="A821" s="20" t="str">
        <f t="shared" si="12"/>
        <v/>
      </c>
    </row>
    <row r="822" spans="1:1" ht="30" customHeight="1" x14ac:dyDescent="0.2">
      <c r="A822" s="20" t="str">
        <f t="shared" si="12"/>
        <v/>
      </c>
    </row>
    <row r="823" spans="1:1" ht="30" customHeight="1" x14ac:dyDescent="0.2">
      <c r="A823" s="20" t="str">
        <f t="shared" si="12"/>
        <v/>
      </c>
    </row>
    <row r="824" spans="1:1" ht="30" customHeight="1" x14ac:dyDescent="0.2">
      <c r="A824" s="20" t="str">
        <f t="shared" si="12"/>
        <v/>
      </c>
    </row>
    <row r="825" spans="1:1" ht="30" customHeight="1" x14ac:dyDescent="0.2">
      <c r="A825" s="20" t="str">
        <f t="shared" si="12"/>
        <v/>
      </c>
    </row>
    <row r="826" spans="1:1" ht="30" customHeight="1" x14ac:dyDescent="0.2">
      <c r="A826" s="20" t="str">
        <f t="shared" si="12"/>
        <v/>
      </c>
    </row>
    <row r="827" spans="1:1" ht="30" customHeight="1" x14ac:dyDescent="0.2">
      <c r="A827" s="20" t="str">
        <f t="shared" si="12"/>
        <v/>
      </c>
    </row>
    <row r="828" spans="1:1" ht="30" customHeight="1" x14ac:dyDescent="0.2">
      <c r="A828" s="20" t="str">
        <f t="shared" si="12"/>
        <v/>
      </c>
    </row>
    <row r="829" spans="1:1" ht="30" customHeight="1" x14ac:dyDescent="0.2">
      <c r="A829" s="20" t="str">
        <f t="shared" si="12"/>
        <v/>
      </c>
    </row>
    <row r="830" spans="1:1" ht="30" customHeight="1" x14ac:dyDescent="0.2">
      <c r="A830" s="20" t="str">
        <f t="shared" si="12"/>
        <v/>
      </c>
    </row>
    <row r="831" spans="1:1" ht="30" customHeight="1" x14ac:dyDescent="0.2">
      <c r="A831" s="20" t="str">
        <f t="shared" si="12"/>
        <v/>
      </c>
    </row>
    <row r="832" spans="1:1" ht="30" customHeight="1" x14ac:dyDescent="0.2">
      <c r="A832" s="20" t="str">
        <f t="shared" si="12"/>
        <v/>
      </c>
    </row>
    <row r="833" spans="1:1" ht="30" customHeight="1" x14ac:dyDescent="0.2">
      <c r="A833" s="20" t="str">
        <f t="shared" si="12"/>
        <v/>
      </c>
    </row>
    <row r="834" spans="1:1" ht="30" customHeight="1" x14ac:dyDescent="0.2">
      <c r="A834" s="20" t="str">
        <f t="shared" si="12"/>
        <v/>
      </c>
    </row>
    <row r="835" spans="1:1" ht="30" customHeight="1" x14ac:dyDescent="0.2">
      <c r="A835" s="20" t="str">
        <f t="shared" si="12"/>
        <v/>
      </c>
    </row>
    <row r="836" spans="1:1" ht="30" customHeight="1" x14ac:dyDescent="0.2">
      <c r="A836" s="20" t="str">
        <f t="shared" si="12"/>
        <v/>
      </c>
    </row>
    <row r="837" spans="1:1" ht="30" customHeight="1" x14ac:dyDescent="0.2">
      <c r="A837" s="20" t="str">
        <f t="shared" si="12"/>
        <v/>
      </c>
    </row>
    <row r="838" spans="1:1" ht="30" customHeight="1" x14ac:dyDescent="0.2">
      <c r="A838" s="20" t="str">
        <f t="shared" si="12"/>
        <v/>
      </c>
    </row>
    <row r="839" spans="1:1" ht="30" customHeight="1" x14ac:dyDescent="0.2">
      <c r="A839" s="20" t="str">
        <f t="shared" si="12"/>
        <v/>
      </c>
    </row>
    <row r="840" spans="1:1" ht="30" customHeight="1" x14ac:dyDescent="0.2">
      <c r="A840" s="20" t="str">
        <f t="shared" si="12"/>
        <v/>
      </c>
    </row>
    <row r="841" spans="1:1" ht="30" customHeight="1" x14ac:dyDescent="0.2">
      <c r="A841" s="20" t="str">
        <f t="shared" si="12"/>
        <v/>
      </c>
    </row>
    <row r="842" spans="1:1" ht="30" customHeight="1" x14ac:dyDescent="0.2">
      <c r="A842" s="20" t="str">
        <f t="shared" si="12"/>
        <v/>
      </c>
    </row>
    <row r="843" spans="1:1" ht="30" customHeight="1" x14ac:dyDescent="0.2">
      <c r="A843" s="20" t="str">
        <f t="shared" si="12"/>
        <v/>
      </c>
    </row>
    <row r="844" spans="1:1" ht="30" customHeight="1" x14ac:dyDescent="0.2">
      <c r="A844" s="20" t="str">
        <f t="shared" si="12"/>
        <v/>
      </c>
    </row>
    <row r="845" spans="1:1" ht="30" customHeight="1" x14ac:dyDescent="0.2">
      <c r="A845" s="20" t="str">
        <f t="shared" si="12"/>
        <v/>
      </c>
    </row>
    <row r="846" spans="1:1" ht="30" customHeight="1" x14ac:dyDescent="0.2">
      <c r="A846" s="20" t="str">
        <f t="shared" si="12"/>
        <v/>
      </c>
    </row>
    <row r="847" spans="1:1" ht="30" customHeight="1" x14ac:dyDescent="0.2">
      <c r="A847" s="20" t="str">
        <f t="shared" si="12"/>
        <v/>
      </c>
    </row>
    <row r="848" spans="1:1" ht="30" customHeight="1" x14ac:dyDescent="0.2">
      <c r="A848" s="20" t="str">
        <f t="shared" si="12"/>
        <v/>
      </c>
    </row>
    <row r="849" spans="1:1" ht="30" customHeight="1" x14ac:dyDescent="0.2">
      <c r="A849" s="20" t="str">
        <f t="shared" si="12"/>
        <v/>
      </c>
    </row>
    <row r="850" spans="1:1" ht="30" customHeight="1" x14ac:dyDescent="0.2">
      <c r="A850" s="20" t="str">
        <f t="shared" si="12"/>
        <v/>
      </c>
    </row>
    <row r="851" spans="1:1" ht="30" customHeight="1" x14ac:dyDescent="0.2">
      <c r="A851" s="20" t="str">
        <f t="shared" si="12"/>
        <v/>
      </c>
    </row>
    <row r="852" spans="1:1" ht="30" customHeight="1" x14ac:dyDescent="0.2">
      <c r="A852" s="20" t="str">
        <f t="shared" si="12"/>
        <v/>
      </c>
    </row>
    <row r="853" spans="1:1" ht="30" customHeight="1" x14ac:dyDescent="0.2">
      <c r="A853" s="20" t="str">
        <f t="shared" si="12"/>
        <v/>
      </c>
    </row>
    <row r="854" spans="1:1" ht="30" customHeight="1" x14ac:dyDescent="0.2">
      <c r="A854" s="20" t="str">
        <f t="shared" si="12"/>
        <v/>
      </c>
    </row>
    <row r="855" spans="1:1" ht="30" customHeight="1" x14ac:dyDescent="0.2">
      <c r="A855" s="20" t="str">
        <f t="shared" si="12"/>
        <v/>
      </c>
    </row>
    <row r="856" spans="1:1" ht="30" customHeight="1" x14ac:dyDescent="0.2">
      <c r="A856" s="20" t="str">
        <f t="shared" ref="A856:A919" si="13">IF(AND(B855&lt;&gt;"",B856=""),$A$22&amp;"---&gt;","")</f>
        <v/>
      </c>
    </row>
    <row r="857" spans="1:1" ht="30" customHeight="1" x14ac:dyDescent="0.2">
      <c r="A857" s="20" t="str">
        <f t="shared" si="13"/>
        <v/>
      </c>
    </row>
    <row r="858" spans="1:1" ht="30" customHeight="1" x14ac:dyDescent="0.2">
      <c r="A858" s="20" t="str">
        <f t="shared" si="13"/>
        <v/>
      </c>
    </row>
    <row r="859" spans="1:1" ht="30" customHeight="1" x14ac:dyDescent="0.2">
      <c r="A859" s="20" t="str">
        <f t="shared" si="13"/>
        <v/>
      </c>
    </row>
    <row r="860" spans="1:1" ht="30" customHeight="1" x14ac:dyDescent="0.2">
      <c r="A860" s="20" t="str">
        <f t="shared" si="13"/>
        <v/>
      </c>
    </row>
    <row r="861" spans="1:1" ht="30" customHeight="1" x14ac:dyDescent="0.2">
      <c r="A861" s="20" t="str">
        <f t="shared" si="13"/>
        <v/>
      </c>
    </row>
    <row r="862" spans="1:1" ht="30" customHeight="1" x14ac:dyDescent="0.2">
      <c r="A862" s="20" t="str">
        <f t="shared" si="13"/>
        <v/>
      </c>
    </row>
    <row r="863" spans="1:1" ht="30" customHeight="1" x14ac:dyDescent="0.2">
      <c r="A863" s="20" t="str">
        <f t="shared" si="13"/>
        <v/>
      </c>
    </row>
    <row r="864" spans="1:1" ht="30" customHeight="1" x14ac:dyDescent="0.2">
      <c r="A864" s="20" t="str">
        <f t="shared" si="13"/>
        <v/>
      </c>
    </row>
    <row r="865" spans="1:1" ht="30" customHeight="1" x14ac:dyDescent="0.2">
      <c r="A865" s="20" t="str">
        <f t="shared" si="13"/>
        <v/>
      </c>
    </row>
    <row r="866" spans="1:1" ht="30" customHeight="1" x14ac:dyDescent="0.2">
      <c r="A866" s="20" t="str">
        <f t="shared" si="13"/>
        <v/>
      </c>
    </row>
    <row r="867" spans="1:1" ht="30" customHeight="1" x14ac:dyDescent="0.2">
      <c r="A867" s="20" t="str">
        <f t="shared" si="13"/>
        <v/>
      </c>
    </row>
    <row r="868" spans="1:1" ht="30" customHeight="1" x14ac:dyDescent="0.2">
      <c r="A868" s="20" t="str">
        <f t="shared" si="13"/>
        <v/>
      </c>
    </row>
    <row r="869" spans="1:1" ht="30" customHeight="1" x14ac:dyDescent="0.2">
      <c r="A869" s="20" t="str">
        <f t="shared" si="13"/>
        <v/>
      </c>
    </row>
    <row r="870" spans="1:1" ht="30" customHeight="1" x14ac:dyDescent="0.2">
      <c r="A870" s="20" t="str">
        <f t="shared" si="13"/>
        <v/>
      </c>
    </row>
    <row r="871" spans="1:1" ht="30" customHeight="1" x14ac:dyDescent="0.2">
      <c r="A871" s="20" t="str">
        <f t="shared" si="13"/>
        <v/>
      </c>
    </row>
    <row r="872" spans="1:1" ht="30" customHeight="1" x14ac:dyDescent="0.2">
      <c r="A872" s="20" t="str">
        <f t="shared" si="13"/>
        <v/>
      </c>
    </row>
    <row r="873" spans="1:1" ht="30" customHeight="1" x14ac:dyDescent="0.2">
      <c r="A873" s="20" t="str">
        <f t="shared" si="13"/>
        <v/>
      </c>
    </row>
    <row r="874" spans="1:1" ht="30" customHeight="1" x14ac:dyDescent="0.2">
      <c r="A874" s="20" t="str">
        <f t="shared" si="13"/>
        <v/>
      </c>
    </row>
    <row r="875" spans="1:1" ht="30" customHeight="1" x14ac:dyDescent="0.2">
      <c r="A875" s="20" t="str">
        <f t="shared" si="13"/>
        <v/>
      </c>
    </row>
    <row r="876" spans="1:1" ht="30" customHeight="1" x14ac:dyDescent="0.2">
      <c r="A876" s="20" t="str">
        <f t="shared" si="13"/>
        <v/>
      </c>
    </row>
    <row r="877" spans="1:1" ht="30" customHeight="1" x14ac:dyDescent="0.2">
      <c r="A877" s="20" t="str">
        <f t="shared" si="13"/>
        <v/>
      </c>
    </row>
    <row r="878" spans="1:1" ht="30" customHeight="1" x14ac:dyDescent="0.2">
      <c r="A878" s="20" t="str">
        <f t="shared" si="13"/>
        <v/>
      </c>
    </row>
    <row r="879" spans="1:1" ht="30" customHeight="1" x14ac:dyDescent="0.2">
      <c r="A879" s="20" t="str">
        <f t="shared" si="13"/>
        <v/>
      </c>
    </row>
    <row r="880" spans="1:1" ht="30" customHeight="1" x14ac:dyDescent="0.2">
      <c r="A880" s="20" t="str">
        <f t="shared" si="13"/>
        <v/>
      </c>
    </row>
    <row r="881" spans="1:1" ht="30" customHeight="1" x14ac:dyDescent="0.2">
      <c r="A881" s="20" t="str">
        <f t="shared" si="13"/>
        <v/>
      </c>
    </row>
    <row r="882" spans="1:1" ht="30" customHeight="1" x14ac:dyDescent="0.2">
      <c r="A882" s="20" t="str">
        <f t="shared" si="13"/>
        <v/>
      </c>
    </row>
    <row r="883" spans="1:1" ht="30" customHeight="1" x14ac:dyDescent="0.2">
      <c r="A883" s="20" t="str">
        <f t="shared" si="13"/>
        <v/>
      </c>
    </row>
    <row r="884" spans="1:1" ht="30" customHeight="1" x14ac:dyDescent="0.2">
      <c r="A884" s="20" t="str">
        <f t="shared" si="13"/>
        <v/>
      </c>
    </row>
    <row r="885" spans="1:1" ht="30" customHeight="1" x14ac:dyDescent="0.2">
      <c r="A885" s="20" t="str">
        <f t="shared" si="13"/>
        <v/>
      </c>
    </row>
    <row r="886" spans="1:1" ht="30" customHeight="1" x14ac:dyDescent="0.2">
      <c r="A886" s="20" t="str">
        <f t="shared" si="13"/>
        <v/>
      </c>
    </row>
    <row r="887" spans="1:1" ht="30" customHeight="1" x14ac:dyDescent="0.2">
      <c r="A887" s="20" t="str">
        <f t="shared" si="13"/>
        <v/>
      </c>
    </row>
    <row r="888" spans="1:1" ht="30" customHeight="1" x14ac:dyDescent="0.2">
      <c r="A888" s="20" t="str">
        <f t="shared" si="13"/>
        <v/>
      </c>
    </row>
    <row r="889" spans="1:1" ht="30" customHeight="1" x14ac:dyDescent="0.2">
      <c r="A889" s="20" t="str">
        <f t="shared" si="13"/>
        <v/>
      </c>
    </row>
    <row r="890" spans="1:1" ht="30" customHeight="1" x14ac:dyDescent="0.2">
      <c r="A890" s="20" t="str">
        <f t="shared" si="13"/>
        <v/>
      </c>
    </row>
    <row r="891" spans="1:1" ht="30" customHeight="1" x14ac:dyDescent="0.2">
      <c r="A891" s="20" t="str">
        <f t="shared" si="13"/>
        <v/>
      </c>
    </row>
    <row r="892" spans="1:1" ht="30" customHeight="1" x14ac:dyDescent="0.2">
      <c r="A892" s="20" t="str">
        <f t="shared" si="13"/>
        <v/>
      </c>
    </row>
    <row r="893" spans="1:1" ht="30" customHeight="1" x14ac:dyDescent="0.2">
      <c r="A893" s="20" t="str">
        <f t="shared" si="13"/>
        <v/>
      </c>
    </row>
    <row r="894" spans="1:1" ht="30" customHeight="1" x14ac:dyDescent="0.2">
      <c r="A894" s="20" t="str">
        <f t="shared" si="13"/>
        <v/>
      </c>
    </row>
    <row r="895" spans="1:1" ht="30" customHeight="1" x14ac:dyDescent="0.2">
      <c r="A895" s="20" t="str">
        <f t="shared" si="13"/>
        <v/>
      </c>
    </row>
    <row r="896" spans="1:1" ht="30" customHeight="1" x14ac:dyDescent="0.2">
      <c r="A896" s="20" t="str">
        <f t="shared" si="13"/>
        <v/>
      </c>
    </row>
    <row r="897" spans="1:1" ht="30" customHeight="1" x14ac:dyDescent="0.2">
      <c r="A897" s="20" t="str">
        <f t="shared" si="13"/>
        <v/>
      </c>
    </row>
    <row r="898" spans="1:1" ht="30" customHeight="1" x14ac:dyDescent="0.2">
      <c r="A898" s="20" t="str">
        <f t="shared" si="13"/>
        <v/>
      </c>
    </row>
    <row r="899" spans="1:1" ht="30" customHeight="1" x14ac:dyDescent="0.2">
      <c r="A899" s="20" t="str">
        <f t="shared" si="13"/>
        <v/>
      </c>
    </row>
    <row r="900" spans="1:1" ht="30" customHeight="1" x14ac:dyDescent="0.2">
      <c r="A900" s="20" t="str">
        <f t="shared" si="13"/>
        <v/>
      </c>
    </row>
    <row r="901" spans="1:1" ht="30" customHeight="1" x14ac:dyDescent="0.2">
      <c r="A901" s="20" t="str">
        <f t="shared" si="13"/>
        <v/>
      </c>
    </row>
    <row r="902" spans="1:1" ht="30" customHeight="1" x14ac:dyDescent="0.2">
      <c r="A902" s="20" t="str">
        <f t="shared" si="13"/>
        <v/>
      </c>
    </row>
    <row r="903" spans="1:1" ht="30" customHeight="1" x14ac:dyDescent="0.2">
      <c r="A903" s="20" t="str">
        <f t="shared" si="13"/>
        <v/>
      </c>
    </row>
    <row r="904" spans="1:1" ht="30" customHeight="1" x14ac:dyDescent="0.2">
      <c r="A904" s="20" t="str">
        <f t="shared" si="13"/>
        <v/>
      </c>
    </row>
    <row r="905" spans="1:1" ht="30" customHeight="1" x14ac:dyDescent="0.2">
      <c r="A905" s="20" t="str">
        <f t="shared" si="13"/>
        <v/>
      </c>
    </row>
    <row r="906" spans="1:1" ht="30" customHeight="1" x14ac:dyDescent="0.2">
      <c r="A906" s="20" t="str">
        <f t="shared" si="13"/>
        <v/>
      </c>
    </row>
    <row r="907" spans="1:1" ht="30" customHeight="1" x14ac:dyDescent="0.2">
      <c r="A907" s="20" t="str">
        <f t="shared" si="13"/>
        <v/>
      </c>
    </row>
    <row r="908" spans="1:1" ht="30" customHeight="1" x14ac:dyDescent="0.2">
      <c r="A908" s="20" t="str">
        <f t="shared" si="13"/>
        <v/>
      </c>
    </row>
    <row r="909" spans="1:1" ht="30" customHeight="1" x14ac:dyDescent="0.2">
      <c r="A909" s="20" t="str">
        <f t="shared" si="13"/>
        <v/>
      </c>
    </row>
    <row r="910" spans="1:1" ht="30" customHeight="1" x14ac:dyDescent="0.2">
      <c r="A910" s="20" t="str">
        <f t="shared" si="13"/>
        <v/>
      </c>
    </row>
    <row r="911" spans="1:1" ht="30" customHeight="1" x14ac:dyDescent="0.2">
      <c r="A911" s="20" t="str">
        <f t="shared" si="13"/>
        <v/>
      </c>
    </row>
    <row r="912" spans="1:1" ht="30" customHeight="1" x14ac:dyDescent="0.2">
      <c r="A912" s="20" t="str">
        <f t="shared" si="13"/>
        <v/>
      </c>
    </row>
    <row r="913" spans="1:1" ht="30" customHeight="1" x14ac:dyDescent="0.2">
      <c r="A913" s="20" t="str">
        <f t="shared" si="13"/>
        <v/>
      </c>
    </row>
    <row r="914" spans="1:1" ht="30" customHeight="1" x14ac:dyDescent="0.2">
      <c r="A914" s="20" t="str">
        <f t="shared" si="13"/>
        <v/>
      </c>
    </row>
    <row r="915" spans="1:1" ht="30" customHeight="1" x14ac:dyDescent="0.2">
      <c r="A915" s="20" t="str">
        <f t="shared" si="13"/>
        <v/>
      </c>
    </row>
    <row r="916" spans="1:1" ht="30" customHeight="1" x14ac:dyDescent="0.2">
      <c r="A916" s="20" t="str">
        <f t="shared" si="13"/>
        <v/>
      </c>
    </row>
    <row r="917" spans="1:1" ht="30" customHeight="1" x14ac:dyDescent="0.2">
      <c r="A917" s="20" t="str">
        <f t="shared" si="13"/>
        <v/>
      </c>
    </row>
    <row r="918" spans="1:1" ht="30" customHeight="1" x14ac:dyDescent="0.2">
      <c r="A918" s="20" t="str">
        <f t="shared" si="13"/>
        <v/>
      </c>
    </row>
    <row r="919" spans="1:1" ht="30" customHeight="1" x14ac:dyDescent="0.2">
      <c r="A919" s="20" t="str">
        <f t="shared" si="13"/>
        <v/>
      </c>
    </row>
    <row r="920" spans="1:1" ht="30" customHeight="1" x14ac:dyDescent="0.2">
      <c r="A920" s="20" t="str">
        <f t="shared" ref="A920:A983" si="14">IF(AND(B919&lt;&gt;"",B920=""),$A$22&amp;"---&gt;","")</f>
        <v/>
      </c>
    </row>
    <row r="921" spans="1:1" ht="30" customHeight="1" x14ac:dyDescent="0.2">
      <c r="A921" s="20" t="str">
        <f t="shared" si="14"/>
        <v/>
      </c>
    </row>
    <row r="922" spans="1:1" ht="30" customHeight="1" x14ac:dyDescent="0.2">
      <c r="A922" s="20" t="str">
        <f t="shared" si="14"/>
        <v/>
      </c>
    </row>
    <row r="923" spans="1:1" ht="30" customHeight="1" x14ac:dyDescent="0.2">
      <c r="A923" s="20" t="str">
        <f t="shared" si="14"/>
        <v/>
      </c>
    </row>
    <row r="924" spans="1:1" ht="30" customHeight="1" x14ac:dyDescent="0.2">
      <c r="A924" s="20" t="str">
        <f t="shared" si="14"/>
        <v/>
      </c>
    </row>
    <row r="925" spans="1:1" ht="30" customHeight="1" x14ac:dyDescent="0.2">
      <c r="A925" s="20" t="str">
        <f t="shared" si="14"/>
        <v/>
      </c>
    </row>
    <row r="926" spans="1:1" ht="30" customHeight="1" x14ac:dyDescent="0.2">
      <c r="A926" s="20" t="str">
        <f t="shared" si="14"/>
        <v/>
      </c>
    </row>
    <row r="927" spans="1:1" ht="30" customHeight="1" x14ac:dyDescent="0.2">
      <c r="A927" s="20" t="str">
        <f t="shared" si="14"/>
        <v/>
      </c>
    </row>
    <row r="928" spans="1:1" ht="30" customHeight="1" x14ac:dyDescent="0.2">
      <c r="A928" s="20" t="str">
        <f t="shared" si="14"/>
        <v/>
      </c>
    </row>
    <row r="929" spans="1:1" ht="30" customHeight="1" x14ac:dyDescent="0.2">
      <c r="A929" s="20" t="str">
        <f t="shared" si="14"/>
        <v/>
      </c>
    </row>
    <row r="930" spans="1:1" ht="30" customHeight="1" x14ac:dyDescent="0.2">
      <c r="A930" s="20" t="str">
        <f t="shared" si="14"/>
        <v/>
      </c>
    </row>
    <row r="931" spans="1:1" ht="30" customHeight="1" x14ac:dyDescent="0.2">
      <c r="A931" s="20" t="str">
        <f t="shared" si="14"/>
        <v/>
      </c>
    </row>
    <row r="932" spans="1:1" ht="30" customHeight="1" x14ac:dyDescent="0.2">
      <c r="A932" s="20" t="str">
        <f t="shared" si="14"/>
        <v/>
      </c>
    </row>
    <row r="933" spans="1:1" ht="30" customHeight="1" x14ac:dyDescent="0.2">
      <c r="A933" s="20" t="str">
        <f t="shared" si="14"/>
        <v/>
      </c>
    </row>
    <row r="934" spans="1:1" ht="30" customHeight="1" x14ac:dyDescent="0.2">
      <c r="A934" s="20" t="str">
        <f t="shared" si="14"/>
        <v/>
      </c>
    </row>
    <row r="935" spans="1:1" ht="30" customHeight="1" x14ac:dyDescent="0.2">
      <c r="A935" s="20" t="str">
        <f t="shared" si="14"/>
        <v/>
      </c>
    </row>
    <row r="936" spans="1:1" ht="30" customHeight="1" x14ac:dyDescent="0.2">
      <c r="A936" s="20" t="str">
        <f t="shared" si="14"/>
        <v/>
      </c>
    </row>
    <row r="937" spans="1:1" ht="30" customHeight="1" x14ac:dyDescent="0.2">
      <c r="A937" s="20" t="str">
        <f t="shared" si="14"/>
        <v/>
      </c>
    </row>
    <row r="938" spans="1:1" ht="30" customHeight="1" x14ac:dyDescent="0.2">
      <c r="A938" s="20" t="str">
        <f t="shared" si="14"/>
        <v/>
      </c>
    </row>
    <row r="939" spans="1:1" ht="30" customHeight="1" x14ac:dyDescent="0.2">
      <c r="A939" s="20" t="str">
        <f t="shared" si="14"/>
        <v/>
      </c>
    </row>
    <row r="940" spans="1:1" ht="30" customHeight="1" x14ac:dyDescent="0.2">
      <c r="A940" s="20" t="str">
        <f t="shared" si="14"/>
        <v/>
      </c>
    </row>
    <row r="941" spans="1:1" ht="30" customHeight="1" x14ac:dyDescent="0.2">
      <c r="A941" s="20" t="str">
        <f t="shared" si="14"/>
        <v/>
      </c>
    </row>
    <row r="942" spans="1:1" ht="30" customHeight="1" x14ac:dyDescent="0.2">
      <c r="A942" s="20" t="str">
        <f t="shared" si="14"/>
        <v/>
      </c>
    </row>
    <row r="943" spans="1:1" ht="30" customHeight="1" x14ac:dyDescent="0.2">
      <c r="A943" s="20" t="str">
        <f t="shared" si="14"/>
        <v/>
      </c>
    </row>
    <row r="944" spans="1:1" ht="30" customHeight="1" x14ac:dyDescent="0.2">
      <c r="A944" s="20" t="str">
        <f t="shared" si="14"/>
        <v/>
      </c>
    </row>
    <row r="945" spans="1:1" ht="30" customHeight="1" x14ac:dyDescent="0.2">
      <c r="A945" s="20" t="str">
        <f t="shared" si="14"/>
        <v/>
      </c>
    </row>
    <row r="946" spans="1:1" ht="30" customHeight="1" x14ac:dyDescent="0.2">
      <c r="A946" s="20" t="str">
        <f t="shared" si="14"/>
        <v/>
      </c>
    </row>
    <row r="947" spans="1:1" ht="30" customHeight="1" x14ac:dyDescent="0.2">
      <c r="A947" s="20" t="str">
        <f t="shared" si="14"/>
        <v/>
      </c>
    </row>
    <row r="948" spans="1:1" ht="30" customHeight="1" x14ac:dyDescent="0.2">
      <c r="A948" s="20" t="str">
        <f t="shared" si="14"/>
        <v/>
      </c>
    </row>
    <row r="949" spans="1:1" ht="30" customHeight="1" x14ac:dyDescent="0.2">
      <c r="A949" s="20" t="str">
        <f t="shared" si="14"/>
        <v/>
      </c>
    </row>
    <row r="950" spans="1:1" ht="30" customHeight="1" x14ac:dyDescent="0.2">
      <c r="A950" s="20" t="str">
        <f t="shared" si="14"/>
        <v/>
      </c>
    </row>
    <row r="951" spans="1:1" ht="30" customHeight="1" x14ac:dyDescent="0.2">
      <c r="A951" s="20" t="str">
        <f t="shared" si="14"/>
        <v/>
      </c>
    </row>
    <row r="952" spans="1:1" ht="30" customHeight="1" x14ac:dyDescent="0.2">
      <c r="A952" s="20" t="str">
        <f t="shared" si="14"/>
        <v/>
      </c>
    </row>
    <row r="953" spans="1:1" ht="30" customHeight="1" x14ac:dyDescent="0.2">
      <c r="A953" s="20" t="str">
        <f t="shared" si="14"/>
        <v/>
      </c>
    </row>
    <row r="954" spans="1:1" ht="30" customHeight="1" x14ac:dyDescent="0.2">
      <c r="A954" s="20" t="str">
        <f t="shared" si="14"/>
        <v/>
      </c>
    </row>
    <row r="955" spans="1:1" ht="30" customHeight="1" x14ac:dyDescent="0.2">
      <c r="A955" s="20" t="str">
        <f t="shared" si="14"/>
        <v/>
      </c>
    </row>
    <row r="956" spans="1:1" ht="30" customHeight="1" x14ac:dyDescent="0.2">
      <c r="A956" s="20" t="str">
        <f t="shared" si="14"/>
        <v/>
      </c>
    </row>
    <row r="957" spans="1:1" ht="30" customHeight="1" x14ac:dyDescent="0.2">
      <c r="A957" s="20" t="str">
        <f t="shared" si="14"/>
        <v/>
      </c>
    </row>
    <row r="958" spans="1:1" ht="30" customHeight="1" x14ac:dyDescent="0.2">
      <c r="A958" s="20" t="str">
        <f t="shared" si="14"/>
        <v/>
      </c>
    </row>
    <row r="959" spans="1:1" ht="30" customHeight="1" x14ac:dyDescent="0.2">
      <c r="A959" s="20" t="str">
        <f t="shared" si="14"/>
        <v/>
      </c>
    </row>
    <row r="960" spans="1:1" ht="30" customHeight="1" x14ac:dyDescent="0.2">
      <c r="A960" s="20" t="str">
        <f t="shared" si="14"/>
        <v/>
      </c>
    </row>
    <row r="961" spans="1:1" ht="30" customHeight="1" x14ac:dyDescent="0.2">
      <c r="A961" s="20" t="str">
        <f t="shared" si="14"/>
        <v/>
      </c>
    </row>
    <row r="962" spans="1:1" ht="30" customHeight="1" x14ac:dyDescent="0.2">
      <c r="A962" s="20" t="str">
        <f t="shared" si="14"/>
        <v/>
      </c>
    </row>
    <row r="963" spans="1:1" ht="30" customHeight="1" x14ac:dyDescent="0.2">
      <c r="A963" s="20" t="str">
        <f t="shared" si="14"/>
        <v/>
      </c>
    </row>
    <row r="964" spans="1:1" ht="30" customHeight="1" x14ac:dyDescent="0.2">
      <c r="A964" s="20" t="str">
        <f t="shared" si="14"/>
        <v/>
      </c>
    </row>
    <row r="965" spans="1:1" ht="30" customHeight="1" x14ac:dyDescent="0.2">
      <c r="A965" s="20" t="str">
        <f t="shared" si="14"/>
        <v/>
      </c>
    </row>
    <row r="966" spans="1:1" ht="30" customHeight="1" x14ac:dyDescent="0.2">
      <c r="A966" s="20" t="str">
        <f t="shared" si="14"/>
        <v/>
      </c>
    </row>
    <row r="967" spans="1:1" ht="30" customHeight="1" x14ac:dyDescent="0.2">
      <c r="A967" s="20" t="str">
        <f t="shared" si="14"/>
        <v/>
      </c>
    </row>
    <row r="968" spans="1:1" ht="30" customHeight="1" x14ac:dyDescent="0.2">
      <c r="A968" s="20" t="str">
        <f t="shared" si="14"/>
        <v/>
      </c>
    </row>
    <row r="969" spans="1:1" ht="30" customHeight="1" x14ac:dyDescent="0.2">
      <c r="A969" s="20" t="str">
        <f t="shared" si="14"/>
        <v/>
      </c>
    </row>
    <row r="970" spans="1:1" ht="30" customHeight="1" x14ac:dyDescent="0.2">
      <c r="A970" s="20" t="str">
        <f t="shared" si="14"/>
        <v/>
      </c>
    </row>
    <row r="971" spans="1:1" ht="30" customHeight="1" x14ac:dyDescent="0.2">
      <c r="A971" s="20" t="str">
        <f t="shared" si="14"/>
        <v/>
      </c>
    </row>
    <row r="972" spans="1:1" ht="30" customHeight="1" x14ac:dyDescent="0.2">
      <c r="A972" s="20" t="str">
        <f t="shared" si="14"/>
        <v/>
      </c>
    </row>
    <row r="973" spans="1:1" ht="30" customHeight="1" x14ac:dyDescent="0.2">
      <c r="A973" s="20" t="str">
        <f t="shared" si="14"/>
        <v/>
      </c>
    </row>
    <row r="974" spans="1:1" ht="30" customHeight="1" x14ac:dyDescent="0.2">
      <c r="A974" s="20" t="str">
        <f t="shared" si="14"/>
        <v/>
      </c>
    </row>
    <row r="975" spans="1:1" ht="30" customHeight="1" x14ac:dyDescent="0.2">
      <c r="A975" s="20" t="str">
        <f t="shared" si="14"/>
        <v/>
      </c>
    </row>
    <row r="976" spans="1:1" ht="30" customHeight="1" x14ac:dyDescent="0.2">
      <c r="A976" s="20" t="str">
        <f t="shared" si="14"/>
        <v/>
      </c>
    </row>
    <row r="977" spans="1:1" ht="30" customHeight="1" x14ac:dyDescent="0.2">
      <c r="A977" s="20" t="str">
        <f t="shared" si="14"/>
        <v/>
      </c>
    </row>
    <row r="978" spans="1:1" ht="30" customHeight="1" x14ac:dyDescent="0.2">
      <c r="A978" s="20" t="str">
        <f t="shared" si="14"/>
        <v/>
      </c>
    </row>
    <row r="979" spans="1:1" ht="30" customHeight="1" x14ac:dyDescent="0.2">
      <c r="A979" s="20" t="str">
        <f t="shared" si="14"/>
        <v/>
      </c>
    </row>
    <row r="980" spans="1:1" ht="30" customHeight="1" x14ac:dyDescent="0.2">
      <c r="A980" s="20" t="str">
        <f t="shared" si="14"/>
        <v/>
      </c>
    </row>
    <row r="981" spans="1:1" ht="30" customHeight="1" x14ac:dyDescent="0.2">
      <c r="A981" s="20" t="str">
        <f t="shared" si="14"/>
        <v/>
      </c>
    </row>
    <row r="982" spans="1:1" ht="30" customHeight="1" x14ac:dyDescent="0.2">
      <c r="A982" s="20" t="str">
        <f t="shared" si="14"/>
        <v/>
      </c>
    </row>
    <row r="983" spans="1:1" ht="30" customHeight="1" x14ac:dyDescent="0.2">
      <c r="A983" s="20" t="str">
        <f t="shared" si="14"/>
        <v/>
      </c>
    </row>
    <row r="984" spans="1:1" ht="30" customHeight="1" x14ac:dyDescent="0.2">
      <c r="A984" s="20" t="str">
        <f t="shared" ref="A984:A1047" si="15">IF(AND(B983&lt;&gt;"",B984=""),$A$22&amp;"---&gt;","")</f>
        <v/>
      </c>
    </row>
    <row r="985" spans="1:1" ht="30" customHeight="1" x14ac:dyDescent="0.2">
      <c r="A985" s="20" t="str">
        <f t="shared" si="15"/>
        <v/>
      </c>
    </row>
    <row r="986" spans="1:1" ht="30" customHeight="1" x14ac:dyDescent="0.2">
      <c r="A986" s="20" t="str">
        <f t="shared" si="15"/>
        <v/>
      </c>
    </row>
    <row r="987" spans="1:1" ht="30" customHeight="1" x14ac:dyDescent="0.2">
      <c r="A987" s="20" t="str">
        <f t="shared" si="15"/>
        <v/>
      </c>
    </row>
    <row r="988" spans="1:1" ht="30" customHeight="1" x14ac:dyDescent="0.2">
      <c r="A988" s="20" t="str">
        <f t="shared" si="15"/>
        <v/>
      </c>
    </row>
    <row r="989" spans="1:1" ht="30" customHeight="1" x14ac:dyDescent="0.2">
      <c r="A989" s="20" t="str">
        <f t="shared" si="15"/>
        <v/>
      </c>
    </row>
    <row r="990" spans="1:1" ht="30" customHeight="1" x14ac:dyDescent="0.2">
      <c r="A990" s="20" t="str">
        <f t="shared" si="15"/>
        <v/>
      </c>
    </row>
    <row r="991" spans="1:1" ht="30" customHeight="1" x14ac:dyDescent="0.2">
      <c r="A991" s="20" t="str">
        <f t="shared" si="15"/>
        <v/>
      </c>
    </row>
    <row r="992" spans="1:1" ht="30" customHeight="1" x14ac:dyDescent="0.2">
      <c r="A992" s="20" t="str">
        <f t="shared" si="15"/>
        <v/>
      </c>
    </row>
    <row r="993" spans="1:1" ht="30" customHeight="1" x14ac:dyDescent="0.2">
      <c r="A993" s="20" t="str">
        <f t="shared" si="15"/>
        <v/>
      </c>
    </row>
    <row r="994" spans="1:1" ht="30" customHeight="1" x14ac:dyDescent="0.2">
      <c r="A994" s="20" t="str">
        <f t="shared" si="15"/>
        <v/>
      </c>
    </row>
    <row r="995" spans="1:1" ht="30" customHeight="1" x14ac:dyDescent="0.2">
      <c r="A995" s="20" t="str">
        <f t="shared" si="15"/>
        <v/>
      </c>
    </row>
    <row r="996" spans="1:1" ht="30" customHeight="1" x14ac:dyDescent="0.2">
      <c r="A996" s="20" t="str">
        <f t="shared" si="15"/>
        <v/>
      </c>
    </row>
    <row r="997" spans="1:1" ht="30" customHeight="1" x14ac:dyDescent="0.2">
      <c r="A997" s="20" t="str">
        <f t="shared" si="15"/>
        <v/>
      </c>
    </row>
    <row r="998" spans="1:1" ht="30" customHeight="1" x14ac:dyDescent="0.2">
      <c r="A998" s="20" t="str">
        <f t="shared" si="15"/>
        <v/>
      </c>
    </row>
    <row r="999" spans="1:1" ht="30" customHeight="1" x14ac:dyDescent="0.2">
      <c r="A999" s="20" t="str">
        <f t="shared" si="15"/>
        <v/>
      </c>
    </row>
    <row r="1000" spans="1:1" ht="30" customHeight="1" x14ac:dyDescent="0.2">
      <c r="A1000" s="20" t="str">
        <f t="shared" si="15"/>
        <v/>
      </c>
    </row>
    <row r="1001" spans="1:1" ht="30" customHeight="1" x14ac:dyDescent="0.2">
      <c r="A1001" s="20" t="str">
        <f t="shared" si="15"/>
        <v/>
      </c>
    </row>
    <row r="1002" spans="1:1" ht="30" customHeight="1" x14ac:dyDescent="0.2">
      <c r="A1002" s="20" t="str">
        <f t="shared" si="15"/>
        <v/>
      </c>
    </row>
    <row r="1003" spans="1:1" ht="30" customHeight="1" x14ac:dyDescent="0.2">
      <c r="A1003" s="20" t="str">
        <f t="shared" si="15"/>
        <v/>
      </c>
    </row>
    <row r="1004" spans="1:1" ht="30" customHeight="1" x14ac:dyDescent="0.2">
      <c r="A1004" s="20" t="str">
        <f t="shared" si="15"/>
        <v/>
      </c>
    </row>
    <row r="1005" spans="1:1" ht="30" customHeight="1" x14ac:dyDescent="0.2">
      <c r="A1005" s="20" t="str">
        <f t="shared" si="15"/>
        <v/>
      </c>
    </row>
    <row r="1006" spans="1:1" ht="30" customHeight="1" x14ac:dyDescent="0.2">
      <c r="A1006" s="20" t="str">
        <f t="shared" si="15"/>
        <v/>
      </c>
    </row>
    <row r="1007" spans="1:1" ht="30" customHeight="1" x14ac:dyDescent="0.2">
      <c r="A1007" s="20" t="str">
        <f t="shared" si="15"/>
        <v/>
      </c>
    </row>
    <row r="1008" spans="1:1" ht="30" customHeight="1" x14ac:dyDescent="0.2">
      <c r="A1008" s="20" t="str">
        <f t="shared" si="15"/>
        <v/>
      </c>
    </row>
    <row r="1009" spans="1:1" ht="30" customHeight="1" x14ac:dyDescent="0.2">
      <c r="A1009" s="20" t="str">
        <f t="shared" si="15"/>
        <v/>
      </c>
    </row>
    <row r="1010" spans="1:1" ht="30" customHeight="1" x14ac:dyDescent="0.2">
      <c r="A1010" s="20" t="str">
        <f t="shared" si="15"/>
        <v/>
      </c>
    </row>
    <row r="1011" spans="1:1" ht="30" customHeight="1" x14ac:dyDescent="0.2">
      <c r="A1011" s="20" t="str">
        <f t="shared" si="15"/>
        <v/>
      </c>
    </row>
    <row r="1012" spans="1:1" ht="30" customHeight="1" x14ac:dyDescent="0.2">
      <c r="A1012" s="20" t="str">
        <f t="shared" si="15"/>
        <v/>
      </c>
    </row>
    <row r="1013" spans="1:1" ht="30" customHeight="1" x14ac:dyDescent="0.2">
      <c r="A1013" s="20" t="str">
        <f t="shared" si="15"/>
        <v/>
      </c>
    </row>
    <row r="1014" spans="1:1" ht="30" customHeight="1" x14ac:dyDescent="0.2">
      <c r="A1014" s="20" t="str">
        <f t="shared" si="15"/>
        <v/>
      </c>
    </row>
    <row r="1015" spans="1:1" ht="30" customHeight="1" x14ac:dyDescent="0.2">
      <c r="A1015" s="20" t="str">
        <f t="shared" si="15"/>
        <v/>
      </c>
    </row>
    <row r="1016" spans="1:1" ht="30" customHeight="1" x14ac:dyDescent="0.2">
      <c r="A1016" s="20" t="str">
        <f t="shared" si="15"/>
        <v/>
      </c>
    </row>
    <row r="1017" spans="1:1" ht="30" customHeight="1" x14ac:dyDescent="0.2">
      <c r="A1017" s="20" t="str">
        <f t="shared" si="15"/>
        <v/>
      </c>
    </row>
    <row r="1018" spans="1:1" ht="30" customHeight="1" x14ac:dyDescent="0.2">
      <c r="A1018" s="20" t="str">
        <f t="shared" si="15"/>
        <v/>
      </c>
    </row>
    <row r="1019" spans="1:1" ht="30" customHeight="1" x14ac:dyDescent="0.2">
      <c r="A1019" s="20" t="str">
        <f t="shared" si="15"/>
        <v/>
      </c>
    </row>
    <row r="1020" spans="1:1" ht="30" customHeight="1" x14ac:dyDescent="0.2">
      <c r="A1020" s="20" t="str">
        <f t="shared" si="15"/>
        <v/>
      </c>
    </row>
    <row r="1021" spans="1:1" ht="30" customHeight="1" x14ac:dyDescent="0.2">
      <c r="A1021" s="20" t="str">
        <f t="shared" si="15"/>
        <v/>
      </c>
    </row>
    <row r="1022" spans="1:1" ht="30" customHeight="1" x14ac:dyDescent="0.2">
      <c r="A1022" s="20" t="str">
        <f t="shared" si="15"/>
        <v/>
      </c>
    </row>
    <row r="1023" spans="1:1" ht="30" customHeight="1" x14ac:dyDescent="0.2">
      <c r="A1023" s="20" t="str">
        <f t="shared" si="15"/>
        <v/>
      </c>
    </row>
    <row r="1024" spans="1:1" ht="30" customHeight="1" x14ac:dyDescent="0.2">
      <c r="A1024" s="20" t="str">
        <f t="shared" si="15"/>
        <v/>
      </c>
    </row>
    <row r="1025" spans="1:1" ht="30" customHeight="1" x14ac:dyDescent="0.2">
      <c r="A1025" s="20" t="str">
        <f t="shared" si="15"/>
        <v/>
      </c>
    </row>
    <row r="1026" spans="1:1" ht="30" customHeight="1" x14ac:dyDescent="0.2">
      <c r="A1026" s="20" t="str">
        <f t="shared" si="15"/>
        <v/>
      </c>
    </row>
    <row r="1027" spans="1:1" ht="30" customHeight="1" x14ac:dyDescent="0.2">
      <c r="A1027" s="20" t="str">
        <f t="shared" si="15"/>
        <v/>
      </c>
    </row>
    <row r="1028" spans="1:1" ht="30" customHeight="1" x14ac:dyDescent="0.2">
      <c r="A1028" s="20" t="str">
        <f t="shared" si="15"/>
        <v/>
      </c>
    </row>
    <row r="1029" spans="1:1" ht="30" customHeight="1" x14ac:dyDescent="0.2">
      <c r="A1029" s="20" t="str">
        <f t="shared" si="15"/>
        <v/>
      </c>
    </row>
    <row r="1030" spans="1:1" ht="30" customHeight="1" x14ac:dyDescent="0.2">
      <c r="A1030" s="20" t="str">
        <f t="shared" si="15"/>
        <v/>
      </c>
    </row>
    <row r="1031" spans="1:1" ht="30" customHeight="1" x14ac:dyDescent="0.2">
      <c r="A1031" s="20" t="str">
        <f t="shared" si="15"/>
        <v/>
      </c>
    </row>
    <row r="1032" spans="1:1" ht="30" customHeight="1" x14ac:dyDescent="0.2">
      <c r="A1032" s="20" t="str">
        <f t="shared" si="15"/>
        <v/>
      </c>
    </row>
    <row r="1033" spans="1:1" ht="30" customHeight="1" x14ac:dyDescent="0.2">
      <c r="A1033" s="20" t="str">
        <f t="shared" si="15"/>
        <v/>
      </c>
    </row>
    <row r="1034" spans="1:1" ht="30" customHeight="1" x14ac:dyDescent="0.2">
      <c r="A1034" s="20" t="str">
        <f t="shared" si="15"/>
        <v/>
      </c>
    </row>
    <row r="1035" spans="1:1" ht="30" customHeight="1" x14ac:dyDescent="0.2">
      <c r="A1035" s="20" t="str">
        <f t="shared" si="15"/>
        <v/>
      </c>
    </row>
    <row r="1036" spans="1:1" ht="30" customHeight="1" x14ac:dyDescent="0.2">
      <c r="A1036" s="20" t="str">
        <f t="shared" si="15"/>
        <v/>
      </c>
    </row>
    <row r="1037" spans="1:1" ht="30" customHeight="1" x14ac:dyDescent="0.2">
      <c r="A1037" s="20" t="str">
        <f t="shared" si="15"/>
        <v/>
      </c>
    </row>
    <row r="1038" spans="1:1" ht="30" customHeight="1" x14ac:dyDescent="0.2">
      <c r="A1038" s="20" t="str">
        <f t="shared" si="15"/>
        <v/>
      </c>
    </row>
    <row r="1039" spans="1:1" ht="30" customHeight="1" x14ac:dyDescent="0.2">
      <c r="A1039" s="20" t="str">
        <f t="shared" si="15"/>
        <v/>
      </c>
    </row>
    <row r="1040" spans="1:1" ht="30" customHeight="1" x14ac:dyDescent="0.2">
      <c r="A1040" s="20" t="str">
        <f t="shared" si="15"/>
        <v/>
      </c>
    </row>
    <row r="1041" spans="1:1" ht="30" customHeight="1" x14ac:dyDescent="0.2">
      <c r="A1041" s="20" t="str">
        <f t="shared" si="15"/>
        <v/>
      </c>
    </row>
    <row r="1042" spans="1:1" ht="30" customHeight="1" x14ac:dyDescent="0.2">
      <c r="A1042" s="20" t="str">
        <f t="shared" si="15"/>
        <v/>
      </c>
    </row>
    <row r="1043" spans="1:1" ht="30" customHeight="1" x14ac:dyDescent="0.2">
      <c r="A1043" s="20" t="str">
        <f t="shared" si="15"/>
        <v/>
      </c>
    </row>
    <row r="1044" spans="1:1" ht="30" customHeight="1" x14ac:dyDescent="0.2">
      <c r="A1044" s="20" t="str">
        <f t="shared" si="15"/>
        <v/>
      </c>
    </row>
    <row r="1045" spans="1:1" ht="30" customHeight="1" x14ac:dyDescent="0.2">
      <c r="A1045" s="20" t="str">
        <f t="shared" si="15"/>
        <v/>
      </c>
    </row>
    <row r="1046" spans="1:1" ht="30" customHeight="1" x14ac:dyDescent="0.2">
      <c r="A1046" s="20" t="str">
        <f t="shared" si="15"/>
        <v/>
      </c>
    </row>
    <row r="1047" spans="1:1" ht="30" customHeight="1" x14ac:dyDescent="0.2">
      <c r="A1047" s="20" t="str">
        <f t="shared" si="15"/>
        <v/>
      </c>
    </row>
    <row r="1048" spans="1:1" ht="30" customHeight="1" x14ac:dyDescent="0.2">
      <c r="A1048" s="20" t="str">
        <f t="shared" ref="A1048:A1111" si="16">IF(AND(B1047&lt;&gt;"",B1048=""),$A$22&amp;"---&gt;","")</f>
        <v/>
      </c>
    </row>
    <row r="1049" spans="1:1" ht="30" customHeight="1" x14ac:dyDescent="0.2">
      <c r="A1049" s="20" t="str">
        <f t="shared" si="16"/>
        <v/>
      </c>
    </row>
    <row r="1050" spans="1:1" ht="30" customHeight="1" x14ac:dyDescent="0.2">
      <c r="A1050" s="20" t="str">
        <f t="shared" si="16"/>
        <v/>
      </c>
    </row>
    <row r="1051" spans="1:1" ht="30" customHeight="1" x14ac:dyDescent="0.2">
      <c r="A1051" s="20" t="str">
        <f t="shared" si="16"/>
        <v/>
      </c>
    </row>
    <row r="1052" spans="1:1" ht="30" customHeight="1" x14ac:dyDescent="0.2">
      <c r="A1052" s="20" t="str">
        <f t="shared" si="16"/>
        <v/>
      </c>
    </row>
    <row r="1053" spans="1:1" ht="30" customHeight="1" x14ac:dyDescent="0.2">
      <c r="A1053" s="20" t="str">
        <f t="shared" si="16"/>
        <v/>
      </c>
    </row>
    <row r="1054" spans="1:1" ht="30" customHeight="1" x14ac:dyDescent="0.2">
      <c r="A1054" s="20" t="str">
        <f t="shared" si="16"/>
        <v/>
      </c>
    </row>
    <row r="1055" spans="1:1" ht="30" customHeight="1" x14ac:dyDescent="0.2">
      <c r="A1055" s="20" t="str">
        <f t="shared" si="16"/>
        <v/>
      </c>
    </row>
    <row r="1056" spans="1:1" ht="30" customHeight="1" x14ac:dyDescent="0.2">
      <c r="A1056" s="20" t="str">
        <f t="shared" si="16"/>
        <v/>
      </c>
    </row>
    <row r="1057" spans="1:1" ht="30" customHeight="1" x14ac:dyDescent="0.2">
      <c r="A1057" s="20" t="str">
        <f t="shared" si="16"/>
        <v/>
      </c>
    </row>
    <row r="1058" spans="1:1" ht="30" customHeight="1" x14ac:dyDescent="0.2">
      <c r="A1058" s="20" t="str">
        <f t="shared" si="16"/>
        <v/>
      </c>
    </row>
    <row r="1059" spans="1:1" ht="30" customHeight="1" x14ac:dyDescent="0.2">
      <c r="A1059" s="20" t="str">
        <f t="shared" si="16"/>
        <v/>
      </c>
    </row>
    <row r="1060" spans="1:1" ht="30" customHeight="1" x14ac:dyDescent="0.2">
      <c r="A1060" s="20" t="str">
        <f t="shared" si="16"/>
        <v/>
      </c>
    </row>
    <row r="1061" spans="1:1" ht="30" customHeight="1" x14ac:dyDescent="0.2">
      <c r="A1061" s="20" t="str">
        <f t="shared" si="16"/>
        <v/>
      </c>
    </row>
    <row r="1062" spans="1:1" ht="30" customHeight="1" x14ac:dyDescent="0.2">
      <c r="A1062" s="20" t="str">
        <f t="shared" si="16"/>
        <v/>
      </c>
    </row>
    <row r="1063" spans="1:1" ht="30" customHeight="1" x14ac:dyDescent="0.2">
      <c r="A1063" s="20" t="str">
        <f t="shared" si="16"/>
        <v/>
      </c>
    </row>
    <row r="1064" spans="1:1" ht="30" customHeight="1" x14ac:dyDescent="0.2">
      <c r="A1064" s="20" t="str">
        <f t="shared" si="16"/>
        <v/>
      </c>
    </row>
    <row r="1065" spans="1:1" ht="30" customHeight="1" x14ac:dyDescent="0.2">
      <c r="A1065" s="20" t="str">
        <f t="shared" si="16"/>
        <v/>
      </c>
    </row>
    <row r="1066" spans="1:1" ht="30" customHeight="1" x14ac:dyDescent="0.2">
      <c r="A1066" s="20" t="str">
        <f t="shared" si="16"/>
        <v/>
      </c>
    </row>
    <row r="1067" spans="1:1" ht="30" customHeight="1" x14ac:dyDescent="0.2">
      <c r="A1067" s="20" t="str">
        <f t="shared" si="16"/>
        <v/>
      </c>
    </row>
    <row r="1068" spans="1:1" ht="30" customHeight="1" x14ac:dyDescent="0.2">
      <c r="A1068" s="20" t="str">
        <f t="shared" si="16"/>
        <v/>
      </c>
    </row>
    <row r="1069" spans="1:1" ht="30" customHeight="1" x14ac:dyDescent="0.2">
      <c r="A1069" s="20" t="str">
        <f t="shared" si="16"/>
        <v/>
      </c>
    </row>
    <row r="1070" spans="1:1" ht="30" customHeight="1" x14ac:dyDescent="0.2">
      <c r="A1070" s="20" t="str">
        <f t="shared" si="16"/>
        <v/>
      </c>
    </row>
    <row r="1071" spans="1:1" ht="30" customHeight="1" x14ac:dyDescent="0.2">
      <c r="A1071" s="20" t="str">
        <f t="shared" si="16"/>
        <v/>
      </c>
    </row>
    <row r="1072" spans="1:1" ht="30" customHeight="1" x14ac:dyDescent="0.2">
      <c r="A1072" s="20" t="str">
        <f t="shared" si="16"/>
        <v/>
      </c>
    </row>
    <row r="1073" spans="1:1" ht="30" customHeight="1" x14ac:dyDescent="0.2">
      <c r="A1073" s="20" t="str">
        <f t="shared" si="16"/>
        <v/>
      </c>
    </row>
    <row r="1074" spans="1:1" ht="30" customHeight="1" x14ac:dyDescent="0.2">
      <c r="A1074" s="20" t="str">
        <f t="shared" si="16"/>
        <v/>
      </c>
    </row>
    <row r="1075" spans="1:1" ht="30" customHeight="1" x14ac:dyDescent="0.2">
      <c r="A1075" s="20" t="str">
        <f t="shared" si="16"/>
        <v/>
      </c>
    </row>
    <row r="1076" spans="1:1" ht="30" customHeight="1" x14ac:dyDescent="0.2">
      <c r="A1076" s="20" t="str">
        <f t="shared" si="16"/>
        <v/>
      </c>
    </row>
    <row r="1077" spans="1:1" ht="30" customHeight="1" x14ac:dyDescent="0.2">
      <c r="A1077" s="20" t="str">
        <f t="shared" si="16"/>
        <v/>
      </c>
    </row>
    <row r="1078" spans="1:1" ht="30" customHeight="1" x14ac:dyDescent="0.2">
      <c r="A1078" s="20" t="str">
        <f t="shared" si="16"/>
        <v/>
      </c>
    </row>
    <row r="1079" spans="1:1" ht="30" customHeight="1" x14ac:dyDescent="0.2">
      <c r="A1079" s="20" t="str">
        <f t="shared" si="16"/>
        <v/>
      </c>
    </row>
    <row r="1080" spans="1:1" ht="30" customHeight="1" x14ac:dyDescent="0.2">
      <c r="A1080" s="20" t="str">
        <f t="shared" si="16"/>
        <v/>
      </c>
    </row>
    <row r="1081" spans="1:1" ht="30" customHeight="1" x14ac:dyDescent="0.2">
      <c r="A1081" s="20" t="str">
        <f t="shared" si="16"/>
        <v/>
      </c>
    </row>
    <row r="1082" spans="1:1" ht="30" customHeight="1" x14ac:dyDescent="0.2">
      <c r="A1082" s="20" t="str">
        <f t="shared" si="16"/>
        <v/>
      </c>
    </row>
    <row r="1083" spans="1:1" ht="30" customHeight="1" x14ac:dyDescent="0.2">
      <c r="A1083" s="20" t="str">
        <f t="shared" si="16"/>
        <v/>
      </c>
    </row>
    <row r="1084" spans="1:1" ht="30" customHeight="1" x14ac:dyDescent="0.2">
      <c r="A1084" s="20" t="str">
        <f t="shared" si="16"/>
        <v/>
      </c>
    </row>
    <row r="1085" spans="1:1" ht="30" customHeight="1" x14ac:dyDescent="0.2">
      <c r="A1085" s="20" t="str">
        <f t="shared" si="16"/>
        <v/>
      </c>
    </row>
    <row r="1086" spans="1:1" ht="30" customHeight="1" x14ac:dyDescent="0.2">
      <c r="A1086" s="20" t="str">
        <f t="shared" si="16"/>
        <v/>
      </c>
    </row>
    <row r="1087" spans="1:1" ht="30" customHeight="1" x14ac:dyDescent="0.2">
      <c r="A1087" s="20" t="str">
        <f t="shared" si="16"/>
        <v/>
      </c>
    </row>
    <row r="1088" spans="1:1" ht="30" customHeight="1" x14ac:dyDescent="0.2">
      <c r="A1088" s="20" t="str">
        <f t="shared" si="16"/>
        <v/>
      </c>
    </row>
    <row r="1089" spans="1:1" ht="30" customHeight="1" x14ac:dyDescent="0.2">
      <c r="A1089" s="20" t="str">
        <f t="shared" si="16"/>
        <v/>
      </c>
    </row>
    <row r="1090" spans="1:1" ht="30" customHeight="1" x14ac:dyDescent="0.2">
      <c r="A1090" s="20" t="str">
        <f t="shared" si="16"/>
        <v/>
      </c>
    </row>
    <row r="1091" spans="1:1" ht="30" customHeight="1" x14ac:dyDescent="0.2">
      <c r="A1091" s="20" t="str">
        <f t="shared" si="16"/>
        <v/>
      </c>
    </row>
    <row r="1092" spans="1:1" ht="30" customHeight="1" x14ac:dyDescent="0.2">
      <c r="A1092" s="20" t="str">
        <f t="shared" si="16"/>
        <v/>
      </c>
    </row>
    <row r="1093" spans="1:1" ht="30" customHeight="1" x14ac:dyDescent="0.2">
      <c r="A1093" s="20" t="str">
        <f t="shared" si="16"/>
        <v/>
      </c>
    </row>
    <row r="1094" spans="1:1" ht="30" customHeight="1" x14ac:dyDescent="0.2">
      <c r="A1094" s="20" t="str">
        <f t="shared" si="16"/>
        <v/>
      </c>
    </row>
    <row r="1095" spans="1:1" ht="30" customHeight="1" x14ac:dyDescent="0.2">
      <c r="A1095" s="20" t="str">
        <f t="shared" si="16"/>
        <v/>
      </c>
    </row>
    <row r="1096" spans="1:1" ht="30" customHeight="1" x14ac:dyDescent="0.2">
      <c r="A1096" s="20" t="str">
        <f t="shared" si="16"/>
        <v/>
      </c>
    </row>
    <row r="1097" spans="1:1" ht="30" customHeight="1" x14ac:dyDescent="0.2">
      <c r="A1097" s="20" t="str">
        <f t="shared" si="16"/>
        <v/>
      </c>
    </row>
    <row r="1098" spans="1:1" ht="30" customHeight="1" x14ac:dyDescent="0.2">
      <c r="A1098" s="20" t="str">
        <f t="shared" si="16"/>
        <v/>
      </c>
    </row>
    <row r="1099" spans="1:1" ht="30" customHeight="1" x14ac:dyDescent="0.2">
      <c r="A1099" s="20" t="str">
        <f t="shared" si="16"/>
        <v/>
      </c>
    </row>
    <row r="1100" spans="1:1" ht="30" customHeight="1" x14ac:dyDescent="0.2">
      <c r="A1100" s="20" t="str">
        <f t="shared" si="16"/>
        <v/>
      </c>
    </row>
    <row r="1101" spans="1:1" ht="30" customHeight="1" x14ac:dyDescent="0.2">
      <c r="A1101" s="20" t="str">
        <f t="shared" si="16"/>
        <v/>
      </c>
    </row>
    <row r="1102" spans="1:1" ht="30" customHeight="1" x14ac:dyDescent="0.2">
      <c r="A1102" s="20" t="str">
        <f t="shared" si="16"/>
        <v/>
      </c>
    </row>
    <row r="1103" spans="1:1" ht="30" customHeight="1" x14ac:dyDescent="0.2">
      <c r="A1103" s="20" t="str">
        <f t="shared" si="16"/>
        <v/>
      </c>
    </row>
    <row r="1104" spans="1:1" ht="30" customHeight="1" x14ac:dyDescent="0.2">
      <c r="A1104" s="20" t="str">
        <f t="shared" si="16"/>
        <v/>
      </c>
    </row>
    <row r="1105" spans="1:1" ht="30" customHeight="1" x14ac:dyDescent="0.2">
      <c r="A1105" s="20" t="str">
        <f t="shared" si="16"/>
        <v/>
      </c>
    </row>
    <row r="1106" spans="1:1" ht="30" customHeight="1" x14ac:dyDescent="0.2">
      <c r="A1106" s="20" t="str">
        <f t="shared" si="16"/>
        <v/>
      </c>
    </row>
    <row r="1107" spans="1:1" ht="30" customHeight="1" x14ac:dyDescent="0.2">
      <c r="A1107" s="20" t="str">
        <f t="shared" si="16"/>
        <v/>
      </c>
    </row>
    <row r="1108" spans="1:1" ht="30" customHeight="1" x14ac:dyDescent="0.2">
      <c r="A1108" s="20" t="str">
        <f t="shared" si="16"/>
        <v/>
      </c>
    </row>
    <row r="1109" spans="1:1" ht="30" customHeight="1" x14ac:dyDescent="0.2">
      <c r="A1109" s="20" t="str">
        <f t="shared" si="16"/>
        <v/>
      </c>
    </row>
    <row r="1110" spans="1:1" ht="30" customHeight="1" x14ac:dyDescent="0.2">
      <c r="A1110" s="20" t="str">
        <f t="shared" si="16"/>
        <v/>
      </c>
    </row>
    <row r="1111" spans="1:1" ht="30" customHeight="1" x14ac:dyDescent="0.2">
      <c r="A1111" s="20" t="str">
        <f t="shared" si="16"/>
        <v/>
      </c>
    </row>
    <row r="1112" spans="1:1" ht="30" customHeight="1" x14ac:dyDescent="0.2">
      <c r="A1112" s="20" t="str">
        <f t="shared" ref="A1112:A1175" si="17">IF(AND(B1111&lt;&gt;"",B1112=""),$A$22&amp;"---&gt;","")</f>
        <v/>
      </c>
    </row>
    <row r="1113" spans="1:1" ht="30" customHeight="1" x14ac:dyDescent="0.2">
      <c r="A1113" s="20" t="str">
        <f t="shared" si="17"/>
        <v/>
      </c>
    </row>
    <row r="1114" spans="1:1" ht="30" customHeight="1" x14ac:dyDescent="0.2">
      <c r="A1114" s="20" t="str">
        <f t="shared" si="17"/>
        <v/>
      </c>
    </row>
    <row r="1115" spans="1:1" ht="30" customHeight="1" x14ac:dyDescent="0.2">
      <c r="A1115" s="20" t="str">
        <f t="shared" si="17"/>
        <v/>
      </c>
    </row>
    <row r="1116" spans="1:1" ht="30" customHeight="1" x14ac:dyDescent="0.2">
      <c r="A1116" s="20" t="str">
        <f t="shared" si="17"/>
        <v/>
      </c>
    </row>
    <row r="1117" spans="1:1" ht="30" customHeight="1" x14ac:dyDescent="0.2">
      <c r="A1117" s="20" t="str">
        <f t="shared" si="17"/>
        <v/>
      </c>
    </row>
    <row r="1118" spans="1:1" ht="30" customHeight="1" x14ac:dyDescent="0.2">
      <c r="A1118" s="20" t="str">
        <f t="shared" si="17"/>
        <v/>
      </c>
    </row>
    <row r="1119" spans="1:1" ht="30" customHeight="1" x14ac:dyDescent="0.2">
      <c r="A1119" s="20" t="str">
        <f t="shared" si="17"/>
        <v/>
      </c>
    </row>
    <row r="1120" spans="1:1" ht="30" customHeight="1" x14ac:dyDescent="0.2">
      <c r="A1120" s="20" t="str">
        <f t="shared" si="17"/>
        <v/>
      </c>
    </row>
    <row r="1121" spans="1:1" ht="30" customHeight="1" x14ac:dyDescent="0.2">
      <c r="A1121" s="20" t="str">
        <f t="shared" si="17"/>
        <v/>
      </c>
    </row>
    <row r="1122" spans="1:1" ht="30" customHeight="1" x14ac:dyDescent="0.2">
      <c r="A1122" s="20" t="str">
        <f t="shared" si="17"/>
        <v/>
      </c>
    </row>
    <row r="1123" spans="1:1" ht="30" customHeight="1" x14ac:dyDescent="0.2">
      <c r="A1123" s="20" t="str">
        <f t="shared" si="17"/>
        <v/>
      </c>
    </row>
    <row r="1124" spans="1:1" ht="30" customHeight="1" x14ac:dyDescent="0.2">
      <c r="A1124" s="20" t="str">
        <f t="shared" si="17"/>
        <v/>
      </c>
    </row>
    <row r="1125" spans="1:1" ht="30" customHeight="1" x14ac:dyDescent="0.2">
      <c r="A1125" s="20" t="str">
        <f t="shared" si="17"/>
        <v/>
      </c>
    </row>
    <row r="1126" spans="1:1" ht="30" customHeight="1" x14ac:dyDescent="0.2">
      <c r="A1126" s="20" t="str">
        <f t="shared" si="17"/>
        <v/>
      </c>
    </row>
    <row r="1127" spans="1:1" ht="30" customHeight="1" x14ac:dyDescent="0.2">
      <c r="A1127" s="20" t="str">
        <f t="shared" si="17"/>
        <v/>
      </c>
    </row>
    <row r="1128" spans="1:1" ht="30" customHeight="1" x14ac:dyDescent="0.2">
      <c r="A1128" s="20" t="str">
        <f t="shared" si="17"/>
        <v/>
      </c>
    </row>
    <row r="1129" spans="1:1" ht="30" customHeight="1" x14ac:dyDescent="0.2">
      <c r="A1129" s="20" t="str">
        <f t="shared" si="17"/>
        <v/>
      </c>
    </row>
    <row r="1130" spans="1:1" ht="30" customHeight="1" x14ac:dyDescent="0.2">
      <c r="A1130" s="20" t="str">
        <f t="shared" si="17"/>
        <v/>
      </c>
    </row>
    <row r="1131" spans="1:1" ht="30" customHeight="1" x14ac:dyDescent="0.2">
      <c r="A1131" s="20" t="str">
        <f t="shared" si="17"/>
        <v/>
      </c>
    </row>
    <row r="1132" spans="1:1" ht="30" customHeight="1" x14ac:dyDescent="0.2">
      <c r="A1132" s="20" t="str">
        <f t="shared" si="17"/>
        <v/>
      </c>
    </row>
    <row r="1133" spans="1:1" ht="30" customHeight="1" x14ac:dyDescent="0.2">
      <c r="A1133" s="20" t="str">
        <f t="shared" si="17"/>
        <v/>
      </c>
    </row>
    <row r="1134" spans="1:1" ht="30" customHeight="1" x14ac:dyDescent="0.2">
      <c r="A1134" s="20" t="str">
        <f t="shared" si="17"/>
        <v/>
      </c>
    </row>
    <row r="1135" spans="1:1" ht="30" customHeight="1" x14ac:dyDescent="0.2">
      <c r="A1135" s="20" t="str">
        <f t="shared" si="17"/>
        <v/>
      </c>
    </row>
    <row r="1136" spans="1:1" ht="30" customHeight="1" x14ac:dyDescent="0.2">
      <c r="A1136" s="20" t="str">
        <f t="shared" si="17"/>
        <v/>
      </c>
    </row>
    <row r="1137" spans="1:1" ht="30" customHeight="1" x14ac:dyDescent="0.2">
      <c r="A1137" s="20" t="str">
        <f t="shared" si="17"/>
        <v/>
      </c>
    </row>
    <row r="1138" spans="1:1" ht="30" customHeight="1" x14ac:dyDescent="0.2">
      <c r="A1138" s="20" t="str">
        <f t="shared" si="17"/>
        <v/>
      </c>
    </row>
    <row r="1139" spans="1:1" ht="30" customHeight="1" x14ac:dyDescent="0.2">
      <c r="A1139" s="20" t="str">
        <f t="shared" si="17"/>
        <v/>
      </c>
    </row>
    <row r="1140" spans="1:1" ht="30" customHeight="1" x14ac:dyDescent="0.2">
      <c r="A1140" s="20" t="str">
        <f t="shared" si="17"/>
        <v/>
      </c>
    </row>
    <row r="1141" spans="1:1" ht="30" customHeight="1" x14ac:dyDescent="0.2">
      <c r="A1141" s="20" t="str">
        <f t="shared" si="17"/>
        <v/>
      </c>
    </row>
    <row r="1142" spans="1:1" ht="30" customHeight="1" x14ac:dyDescent="0.2">
      <c r="A1142" s="20" t="str">
        <f t="shared" si="17"/>
        <v/>
      </c>
    </row>
    <row r="1143" spans="1:1" ht="30" customHeight="1" x14ac:dyDescent="0.2">
      <c r="A1143" s="20" t="str">
        <f t="shared" si="17"/>
        <v/>
      </c>
    </row>
    <row r="1144" spans="1:1" ht="30" customHeight="1" x14ac:dyDescent="0.2">
      <c r="A1144" s="20" t="str">
        <f t="shared" si="17"/>
        <v/>
      </c>
    </row>
    <row r="1145" spans="1:1" ht="30" customHeight="1" x14ac:dyDescent="0.2">
      <c r="A1145" s="20" t="str">
        <f t="shared" si="17"/>
        <v/>
      </c>
    </row>
    <row r="1146" spans="1:1" ht="30" customHeight="1" x14ac:dyDescent="0.2">
      <c r="A1146" s="20" t="str">
        <f t="shared" si="17"/>
        <v/>
      </c>
    </row>
    <row r="1147" spans="1:1" ht="30" customHeight="1" x14ac:dyDescent="0.2">
      <c r="A1147" s="20" t="str">
        <f t="shared" si="17"/>
        <v/>
      </c>
    </row>
    <row r="1148" spans="1:1" ht="30" customHeight="1" x14ac:dyDescent="0.2">
      <c r="A1148" s="20" t="str">
        <f t="shared" si="17"/>
        <v/>
      </c>
    </row>
    <row r="1149" spans="1:1" ht="30" customHeight="1" x14ac:dyDescent="0.2">
      <c r="A1149" s="20" t="str">
        <f t="shared" si="17"/>
        <v/>
      </c>
    </row>
    <row r="1150" spans="1:1" ht="30" customHeight="1" x14ac:dyDescent="0.2">
      <c r="A1150" s="20" t="str">
        <f t="shared" si="17"/>
        <v/>
      </c>
    </row>
    <row r="1151" spans="1:1" ht="30" customHeight="1" x14ac:dyDescent="0.2">
      <c r="A1151" s="20" t="str">
        <f t="shared" si="17"/>
        <v/>
      </c>
    </row>
    <row r="1152" spans="1:1" ht="30" customHeight="1" x14ac:dyDescent="0.2">
      <c r="A1152" s="20" t="str">
        <f t="shared" si="17"/>
        <v/>
      </c>
    </row>
    <row r="1153" spans="1:1" ht="30" customHeight="1" x14ac:dyDescent="0.2">
      <c r="A1153" s="20" t="str">
        <f t="shared" si="17"/>
        <v/>
      </c>
    </row>
    <row r="1154" spans="1:1" ht="30" customHeight="1" x14ac:dyDescent="0.2">
      <c r="A1154" s="20" t="str">
        <f t="shared" si="17"/>
        <v/>
      </c>
    </row>
    <row r="1155" spans="1:1" ht="30" customHeight="1" x14ac:dyDescent="0.2">
      <c r="A1155" s="20" t="str">
        <f t="shared" si="17"/>
        <v/>
      </c>
    </row>
    <row r="1156" spans="1:1" ht="30" customHeight="1" x14ac:dyDescent="0.2">
      <c r="A1156" s="20" t="str">
        <f t="shared" si="17"/>
        <v/>
      </c>
    </row>
    <row r="1157" spans="1:1" ht="30" customHeight="1" x14ac:dyDescent="0.2">
      <c r="A1157" s="20" t="str">
        <f t="shared" si="17"/>
        <v/>
      </c>
    </row>
    <row r="1158" spans="1:1" ht="30" customHeight="1" x14ac:dyDescent="0.2">
      <c r="A1158" s="20" t="str">
        <f t="shared" si="17"/>
        <v/>
      </c>
    </row>
    <row r="1159" spans="1:1" ht="30" customHeight="1" x14ac:dyDescent="0.2">
      <c r="A1159" s="20" t="str">
        <f t="shared" si="17"/>
        <v/>
      </c>
    </row>
    <row r="1160" spans="1:1" ht="30" customHeight="1" x14ac:dyDescent="0.2">
      <c r="A1160" s="20" t="str">
        <f t="shared" si="17"/>
        <v/>
      </c>
    </row>
    <row r="1161" spans="1:1" ht="30" customHeight="1" x14ac:dyDescent="0.2">
      <c r="A1161" s="20" t="str">
        <f t="shared" si="17"/>
        <v/>
      </c>
    </row>
    <row r="1162" spans="1:1" ht="30" customHeight="1" x14ac:dyDescent="0.2">
      <c r="A1162" s="20" t="str">
        <f t="shared" si="17"/>
        <v/>
      </c>
    </row>
    <row r="1163" spans="1:1" ht="30" customHeight="1" x14ac:dyDescent="0.2">
      <c r="A1163" s="20" t="str">
        <f t="shared" si="17"/>
        <v/>
      </c>
    </row>
    <row r="1164" spans="1:1" ht="30" customHeight="1" x14ac:dyDescent="0.2">
      <c r="A1164" s="20" t="str">
        <f t="shared" si="17"/>
        <v/>
      </c>
    </row>
    <row r="1165" spans="1:1" ht="30" customHeight="1" x14ac:dyDescent="0.2">
      <c r="A1165" s="20" t="str">
        <f t="shared" si="17"/>
        <v/>
      </c>
    </row>
    <row r="1166" spans="1:1" ht="30" customHeight="1" x14ac:dyDescent="0.2">
      <c r="A1166" s="20" t="str">
        <f t="shared" si="17"/>
        <v/>
      </c>
    </row>
    <row r="1167" spans="1:1" ht="30" customHeight="1" x14ac:dyDescent="0.2">
      <c r="A1167" s="20" t="str">
        <f t="shared" si="17"/>
        <v/>
      </c>
    </row>
    <row r="1168" spans="1:1" ht="30" customHeight="1" x14ac:dyDescent="0.2">
      <c r="A1168" s="20" t="str">
        <f t="shared" si="17"/>
        <v/>
      </c>
    </row>
    <row r="1169" spans="1:1" ht="30" customHeight="1" x14ac:dyDescent="0.2">
      <c r="A1169" s="20" t="str">
        <f t="shared" si="17"/>
        <v/>
      </c>
    </row>
    <row r="1170" spans="1:1" ht="30" customHeight="1" x14ac:dyDescent="0.2">
      <c r="A1170" s="20" t="str">
        <f t="shared" si="17"/>
        <v/>
      </c>
    </row>
    <row r="1171" spans="1:1" ht="30" customHeight="1" x14ac:dyDescent="0.2">
      <c r="A1171" s="20" t="str">
        <f t="shared" si="17"/>
        <v/>
      </c>
    </row>
    <row r="1172" spans="1:1" ht="30" customHeight="1" x14ac:dyDescent="0.2">
      <c r="A1172" s="20" t="str">
        <f t="shared" si="17"/>
        <v/>
      </c>
    </row>
    <row r="1173" spans="1:1" ht="30" customHeight="1" x14ac:dyDescent="0.2">
      <c r="A1173" s="20" t="str">
        <f t="shared" si="17"/>
        <v/>
      </c>
    </row>
    <row r="1174" spans="1:1" ht="30" customHeight="1" x14ac:dyDescent="0.2">
      <c r="A1174" s="20" t="str">
        <f t="shared" si="17"/>
        <v/>
      </c>
    </row>
    <row r="1175" spans="1:1" ht="30" customHeight="1" x14ac:dyDescent="0.2">
      <c r="A1175" s="20" t="str">
        <f t="shared" si="17"/>
        <v/>
      </c>
    </row>
    <row r="1176" spans="1:1" ht="30" customHeight="1" x14ac:dyDescent="0.2">
      <c r="A1176" s="20" t="str">
        <f t="shared" ref="A1176:A1239" si="18">IF(AND(B1175&lt;&gt;"",B1176=""),$A$22&amp;"---&gt;","")</f>
        <v/>
      </c>
    </row>
    <row r="1177" spans="1:1" ht="30" customHeight="1" x14ac:dyDescent="0.2">
      <c r="A1177" s="20" t="str">
        <f t="shared" si="18"/>
        <v/>
      </c>
    </row>
    <row r="1178" spans="1:1" ht="30" customHeight="1" x14ac:dyDescent="0.2">
      <c r="A1178" s="20" t="str">
        <f t="shared" si="18"/>
        <v/>
      </c>
    </row>
    <row r="1179" spans="1:1" ht="30" customHeight="1" x14ac:dyDescent="0.2">
      <c r="A1179" s="20" t="str">
        <f t="shared" si="18"/>
        <v/>
      </c>
    </row>
    <row r="1180" spans="1:1" ht="30" customHeight="1" x14ac:dyDescent="0.2">
      <c r="A1180" s="20" t="str">
        <f t="shared" si="18"/>
        <v/>
      </c>
    </row>
    <row r="1181" spans="1:1" ht="30" customHeight="1" x14ac:dyDescent="0.2">
      <c r="A1181" s="20" t="str">
        <f t="shared" si="18"/>
        <v/>
      </c>
    </row>
    <row r="1182" spans="1:1" ht="30" customHeight="1" x14ac:dyDescent="0.2">
      <c r="A1182" s="20" t="str">
        <f t="shared" si="18"/>
        <v/>
      </c>
    </row>
    <row r="1183" spans="1:1" ht="30" customHeight="1" x14ac:dyDescent="0.2">
      <c r="A1183" s="20" t="str">
        <f t="shared" si="18"/>
        <v/>
      </c>
    </row>
    <row r="1184" spans="1:1" ht="30" customHeight="1" x14ac:dyDescent="0.2">
      <c r="A1184" s="20" t="str">
        <f t="shared" si="18"/>
        <v/>
      </c>
    </row>
    <row r="1185" spans="1:1" ht="30" customHeight="1" x14ac:dyDescent="0.2">
      <c r="A1185" s="20" t="str">
        <f t="shared" si="18"/>
        <v/>
      </c>
    </row>
    <row r="1186" spans="1:1" ht="30" customHeight="1" x14ac:dyDescent="0.2">
      <c r="A1186" s="20" t="str">
        <f t="shared" si="18"/>
        <v/>
      </c>
    </row>
    <row r="1187" spans="1:1" ht="30" customHeight="1" x14ac:dyDescent="0.2">
      <c r="A1187" s="20" t="str">
        <f t="shared" si="18"/>
        <v/>
      </c>
    </row>
    <row r="1188" spans="1:1" ht="30" customHeight="1" x14ac:dyDescent="0.2">
      <c r="A1188" s="20" t="str">
        <f t="shared" si="18"/>
        <v/>
      </c>
    </row>
    <row r="1189" spans="1:1" ht="30" customHeight="1" x14ac:dyDescent="0.2">
      <c r="A1189" s="20" t="str">
        <f t="shared" si="18"/>
        <v/>
      </c>
    </row>
    <row r="1190" spans="1:1" ht="30" customHeight="1" x14ac:dyDescent="0.2">
      <c r="A1190" s="20" t="str">
        <f t="shared" si="18"/>
        <v/>
      </c>
    </row>
    <row r="1191" spans="1:1" ht="30" customHeight="1" x14ac:dyDescent="0.2">
      <c r="A1191" s="20" t="str">
        <f t="shared" si="18"/>
        <v/>
      </c>
    </row>
    <row r="1192" spans="1:1" ht="30" customHeight="1" x14ac:dyDescent="0.2">
      <c r="A1192" s="20" t="str">
        <f t="shared" si="18"/>
        <v/>
      </c>
    </row>
    <row r="1193" spans="1:1" ht="30" customHeight="1" x14ac:dyDescent="0.2">
      <c r="A1193" s="20" t="str">
        <f t="shared" si="18"/>
        <v/>
      </c>
    </row>
    <row r="1194" spans="1:1" ht="30" customHeight="1" x14ac:dyDescent="0.2">
      <c r="A1194" s="20" t="str">
        <f t="shared" si="18"/>
        <v/>
      </c>
    </row>
    <row r="1195" spans="1:1" ht="30" customHeight="1" x14ac:dyDescent="0.2">
      <c r="A1195" s="20" t="str">
        <f t="shared" si="18"/>
        <v/>
      </c>
    </row>
    <row r="1196" spans="1:1" ht="30" customHeight="1" x14ac:dyDescent="0.2">
      <c r="A1196" s="20" t="str">
        <f t="shared" si="18"/>
        <v/>
      </c>
    </row>
    <row r="1197" spans="1:1" ht="30" customHeight="1" x14ac:dyDescent="0.2">
      <c r="A1197" s="20" t="str">
        <f t="shared" si="18"/>
        <v/>
      </c>
    </row>
    <row r="1198" spans="1:1" ht="30" customHeight="1" x14ac:dyDescent="0.2">
      <c r="A1198" s="20" t="str">
        <f t="shared" si="18"/>
        <v/>
      </c>
    </row>
    <row r="1199" spans="1:1" ht="30" customHeight="1" x14ac:dyDescent="0.2">
      <c r="A1199" s="20" t="str">
        <f t="shared" si="18"/>
        <v/>
      </c>
    </row>
    <row r="1200" spans="1:1" ht="30" customHeight="1" x14ac:dyDescent="0.2">
      <c r="A1200" s="20" t="str">
        <f t="shared" si="18"/>
        <v/>
      </c>
    </row>
    <row r="1201" spans="1:1" ht="30" customHeight="1" x14ac:dyDescent="0.2">
      <c r="A1201" s="20" t="str">
        <f t="shared" si="18"/>
        <v/>
      </c>
    </row>
    <row r="1202" spans="1:1" ht="30" customHeight="1" x14ac:dyDescent="0.2">
      <c r="A1202" s="20" t="str">
        <f t="shared" si="18"/>
        <v/>
      </c>
    </row>
    <row r="1203" spans="1:1" ht="30" customHeight="1" x14ac:dyDescent="0.2">
      <c r="A1203" s="20" t="str">
        <f t="shared" si="18"/>
        <v/>
      </c>
    </row>
    <row r="1204" spans="1:1" ht="30" customHeight="1" x14ac:dyDescent="0.2">
      <c r="A1204" s="20" t="str">
        <f t="shared" si="18"/>
        <v/>
      </c>
    </row>
    <row r="1205" spans="1:1" ht="30" customHeight="1" x14ac:dyDescent="0.2">
      <c r="A1205" s="20" t="str">
        <f t="shared" si="18"/>
        <v/>
      </c>
    </row>
    <row r="1206" spans="1:1" ht="30" customHeight="1" x14ac:dyDescent="0.2">
      <c r="A1206" s="20" t="str">
        <f t="shared" si="18"/>
        <v/>
      </c>
    </row>
    <row r="1207" spans="1:1" ht="30" customHeight="1" x14ac:dyDescent="0.2">
      <c r="A1207" s="20" t="str">
        <f t="shared" si="18"/>
        <v/>
      </c>
    </row>
    <row r="1208" spans="1:1" ht="30" customHeight="1" x14ac:dyDescent="0.2">
      <c r="A1208" s="20" t="str">
        <f t="shared" si="18"/>
        <v/>
      </c>
    </row>
    <row r="1209" spans="1:1" ht="30" customHeight="1" x14ac:dyDescent="0.2">
      <c r="A1209" s="20" t="str">
        <f t="shared" si="18"/>
        <v/>
      </c>
    </row>
    <row r="1210" spans="1:1" ht="30" customHeight="1" x14ac:dyDescent="0.2">
      <c r="A1210" s="20" t="str">
        <f t="shared" si="18"/>
        <v/>
      </c>
    </row>
    <row r="1211" spans="1:1" ht="30" customHeight="1" x14ac:dyDescent="0.2">
      <c r="A1211" s="20" t="str">
        <f t="shared" si="18"/>
        <v/>
      </c>
    </row>
    <row r="1212" spans="1:1" ht="30" customHeight="1" x14ac:dyDescent="0.2">
      <c r="A1212" s="20" t="str">
        <f t="shared" si="18"/>
        <v/>
      </c>
    </row>
    <row r="1213" spans="1:1" ht="30" customHeight="1" x14ac:dyDescent="0.2">
      <c r="A1213" s="20" t="str">
        <f t="shared" si="18"/>
        <v/>
      </c>
    </row>
    <row r="1214" spans="1:1" ht="30" customHeight="1" x14ac:dyDescent="0.2">
      <c r="A1214" s="20" t="str">
        <f t="shared" si="18"/>
        <v/>
      </c>
    </row>
    <row r="1215" spans="1:1" ht="30" customHeight="1" x14ac:dyDescent="0.2">
      <c r="A1215" s="20" t="str">
        <f t="shared" si="18"/>
        <v/>
      </c>
    </row>
    <row r="1216" spans="1:1" ht="30" customHeight="1" x14ac:dyDescent="0.2">
      <c r="A1216" s="20" t="str">
        <f t="shared" si="18"/>
        <v/>
      </c>
    </row>
    <row r="1217" spans="1:1" ht="30" customHeight="1" x14ac:dyDescent="0.2">
      <c r="A1217" s="20" t="str">
        <f t="shared" si="18"/>
        <v/>
      </c>
    </row>
    <row r="1218" spans="1:1" ht="30" customHeight="1" x14ac:dyDescent="0.2">
      <c r="A1218" s="20" t="str">
        <f t="shared" si="18"/>
        <v/>
      </c>
    </row>
    <row r="1219" spans="1:1" ht="30" customHeight="1" x14ac:dyDescent="0.2">
      <c r="A1219" s="20" t="str">
        <f t="shared" si="18"/>
        <v/>
      </c>
    </row>
    <row r="1220" spans="1:1" ht="30" customHeight="1" x14ac:dyDescent="0.2">
      <c r="A1220" s="20" t="str">
        <f t="shared" si="18"/>
        <v/>
      </c>
    </row>
    <row r="1221" spans="1:1" ht="30" customHeight="1" x14ac:dyDescent="0.2">
      <c r="A1221" s="20" t="str">
        <f t="shared" si="18"/>
        <v/>
      </c>
    </row>
    <row r="1222" spans="1:1" ht="30" customHeight="1" x14ac:dyDescent="0.2">
      <c r="A1222" s="20" t="str">
        <f t="shared" si="18"/>
        <v/>
      </c>
    </row>
    <row r="1223" spans="1:1" ht="30" customHeight="1" x14ac:dyDescent="0.2">
      <c r="A1223" s="20" t="str">
        <f t="shared" si="18"/>
        <v/>
      </c>
    </row>
    <row r="1224" spans="1:1" ht="30" customHeight="1" x14ac:dyDescent="0.2">
      <c r="A1224" s="20" t="str">
        <f t="shared" si="18"/>
        <v/>
      </c>
    </row>
    <row r="1225" spans="1:1" ht="30" customHeight="1" x14ac:dyDescent="0.2">
      <c r="A1225" s="20" t="str">
        <f t="shared" si="18"/>
        <v/>
      </c>
    </row>
    <row r="1226" spans="1:1" ht="30" customHeight="1" x14ac:dyDescent="0.2">
      <c r="A1226" s="20" t="str">
        <f t="shared" si="18"/>
        <v/>
      </c>
    </row>
    <row r="1227" spans="1:1" ht="30" customHeight="1" x14ac:dyDescent="0.2">
      <c r="A1227" s="20" t="str">
        <f t="shared" si="18"/>
        <v/>
      </c>
    </row>
    <row r="1228" spans="1:1" ht="30" customHeight="1" x14ac:dyDescent="0.2">
      <c r="A1228" s="20" t="str">
        <f t="shared" si="18"/>
        <v/>
      </c>
    </row>
    <row r="1229" spans="1:1" ht="30" customHeight="1" x14ac:dyDescent="0.2">
      <c r="A1229" s="20" t="str">
        <f t="shared" si="18"/>
        <v/>
      </c>
    </row>
    <row r="1230" spans="1:1" ht="30" customHeight="1" x14ac:dyDescent="0.2">
      <c r="A1230" s="20" t="str">
        <f t="shared" si="18"/>
        <v/>
      </c>
    </row>
    <row r="1231" spans="1:1" ht="30" customHeight="1" x14ac:dyDescent="0.2">
      <c r="A1231" s="20" t="str">
        <f t="shared" si="18"/>
        <v/>
      </c>
    </row>
    <row r="1232" spans="1:1" ht="30" customHeight="1" x14ac:dyDescent="0.2">
      <c r="A1232" s="20" t="str">
        <f t="shared" si="18"/>
        <v/>
      </c>
    </row>
    <row r="1233" spans="1:1" ht="30" customHeight="1" x14ac:dyDescent="0.2">
      <c r="A1233" s="20" t="str">
        <f t="shared" si="18"/>
        <v/>
      </c>
    </row>
    <row r="1234" spans="1:1" ht="30" customHeight="1" x14ac:dyDescent="0.2">
      <c r="A1234" s="20" t="str">
        <f t="shared" si="18"/>
        <v/>
      </c>
    </row>
    <row r="1235" spans="1:1" ht="30" customHeight="1" x14ac:dyDescent="0.2">
      <c r="A1235" s="20" t="str">
        <f t="shared" si="18"/>
        <v/>
      </c>
    </row>
    <row r="1236" spans="1:1" ht="30" customHeight="1" x14ac:dyDescent="0.2">
      <c r="A1236" s="20" t="str">
        <f t="shared" si="18"/>
        <v/>
      </c>
    </row>
    <row r="1237" spans="1:1" ht="30" customHeight="1" x14ac:dyDescent="0.2">
      <c r="A1237" s="20" t="str">
        <f t="shared" si="18"/>
        <v/>
      </c>
    </row>
    <row r="1238" spans="1:1" ht="30" customHeight="1" x14ac:dyDescent="0.2">
      <c r="A1238" s="20" t="str">
        <f t="shared" si="18"/>
        <v/>
      </c>
    </row>
    <row r="1239" spans="1:1" ht="30" customHeight="1" x14ac:dyDescent="0.2">
      <c r="A1239" s="20" t="str">
        <f t="shared" si="18"/>
        <v/>
      </c>
    </row>
    <row r="1240" spans="1:1" ht="30" customHeight="1" x14ac:dyDescent="0.2">
      <c r="A1240" s="20" t="str">
        <f t="shared" ref="A1240:A1303" si="19">IF(AND(B1239&lt;&gt;"",B1240=""),$A$22&amp;"---&gt;","")</f>
        <v/>
      </c>
    </row>
    <row r="1241" spans="1:1" ht="30" customHeight="1" x14ac:dyDescent="0.2">
      <c r="A1241" s="20" t="str">
        <f t="shared" si="19"/>
        <v/>
      </c>
    </row>
    <row r="1242" spans="1:1" ht="30" customHeight="1" x14ac:dyDescent="0.2">
      <c r="A1242" s="20" t="str">
        <f t="shared" si="19"/>
        <v/>
      </c>
    </row>
    <row r="1243" spans="1:1" ht="30" customHeight="1" x14ac:dyDescent="0.2">
      <c r="A1243" s="20" t="str">
        <f t="shared" si="19"/>
        <v/>
      </c>
    </row>
    <row r="1244" spans="1:1" ht="30" customHeight="1" x14ac:dyDescent="0.2">
      <c r="A1244" s="20" t="str">
        <f t="shared" si="19"/>
        <v/>
      </c>
    </row>
    <row r="1245" spans="1:1" ht="30" customHeight="1" x14ac:dyDescent="0.2">
      <c r="A1245" s="20" t="str">
        <f t="shared" si="19"/>
        <v/>
      </c>
    </row>
    <row r="1246" spans="1:1" ht="30" customHeight="1" x14ac:dyDescent="0.2">
      <c r="A1246" s="20" t="str">
        <f t="shared" si="19"/>
        <v/>
      </c>
    </row>
    <row r="1247" spans="1:1" ht="30" customHeight="1" x14ac:dyDescent="0.2">
      <c r="A1247" s="20" t="str">
        <f t="shared" si="19"/>
        <v/>
      </c>
    </row>
    <row r="1248" spans="1:1" ht="30" customHeight="1" x14ac:dyDescent="0.2">
      <c r="A1248" s="20" t="str">
        <f t="shared" si="19"/>
        <v/>
      </c>
    </row>
    <row r="1249" spans="1:1" ht="30" customHeight="1" x14ac:dyDescent="0.2">
      <c r="A1249" s="20" t="str">
        <f t="shared" si="19"/>
        <v/>
      </c>
    </row>
    <row r="1250" spans="1:1" ht="30" customHeight="1" x14ac:dyDescent="0.2">
      <c r="A1250" s="20" t="str">
        <f t="shared" si="19"/>
        <v/>
      </c>
    </row>
    <row r="1251" spans="1:1" ht="30" customHeight="1" x14ac:dyDescent="0.2">
      <c r="A1251" s="20" t="str">
        <f t="shared" si="19"/>
        <v/>
      </c>
    </row>
    <row r="1252" spans="1:1" ht="30" customHeight="1" x14ac:dyDescent="0.2">
      <c r="A1252" s="20" t="str">
        <f t="shared" si="19"/>
        <v/>
      </c>
    </row>
    <row r="1253" spans="1:1" ht="30" customHeight="1" x14ac:dyDescent="0.2">
      <c r="A1253" s="20" t="str">
        <f t="shared" si="19"/>
        <v/>
      </c>
    </row>
    <row r="1254" spans="1:1" ht="30" customHeight="1" x14ac:dyDescent="0.2">
      <c r="A1254" s="20" t="str">
        <f t="shared" si="19"/>
        <v/>
      </c>
    </row>
    <row r="1255" spans="1:1" ht="30" customHeight="1" x14ac:dyDescent="0.2">
      <c r="A1255" s="20" t="str">
        <f t="shared" si="19"/>
        <v/>
      </c>
    </row>
    <row r="1256" spans="1:1" ht="30" customHeight="1" x14ac:dyDescent="0.2">
      <c r="A1256" s="20" t="str">
        <f t="shared" si="19"/>
        <v/>
      </c>
    </row>
    <row r="1257" spans="1:1" ht="30" customHeight="1" x14ac:dyDescent="0.2">
      <c r="A1257" s="20" t="str">
        <f t="shared" si="19"/>
        <v/>
      </c>
    </row>
    <row r="1258" spans="1:1" ht="30" customHeight="1" x14ac:dyDescent="0.2">
      <c r="A1258" s="20" t="str">
        <f t="shared" si="19"/>
        <v/>
      </c>
    </row>
    <row r="1259" spans="1:1" ht="30" customHeight="1" x14ac:dyDescent="0.2">
      <c r="A1259" s="20" t="str">
        <f t="shared" si="19"/>
        <v/>
      </c>
    </row>
    <row r="1260" spans="1:1" ht="30" customHeight="1" x14ac:dyDescent="0.2">
      <c r="A1260" s="20" t="str">
        <f t="shared" si="19"/>
        <v/>
      </c>
    </row>
    <row r="1261" spans="1:1" ht="30" customHeight="1" x14ac:dyDescent="0.2">
      <c r="A1261" s="20" t="str">
        <f t="shared" si="19"/>
        <v/>
      </c>
    </row>
    <row r="1262" spans="1:1" ht="30" customHeight="1" x14ac:dyDescent="0.2">
      <c r="A1262" s="20" t="str">
        <f t="shared" si="19"/>
        <v/>
      </c>
    </row>
    <row r="1263" spans="1:1" ht="30" customHeight="1" x14ac:dyDescent="0.2">
      <c r="A1263" s="20" t="str">
        <f t="shared" si="19"/>
        <v/>
      </c>
    </row>
    <row r="1264" spans="1:1" ht="30" customHeight="1" x14ac:dyDescent="0.2">
      <c r="A1264" s="20" t="str">
        <f t="shared" si="19"/>
        <v/>
      </c>
    </row>
    <row r="1265" spans="1:1" ht="30" customHeight="1" x14ac:dyDescent="0.2">
      <c r="A1265" s="20" t="str">
        <f t="shared" si="19"/>
        <v/>
      </c>
    </row>
    <row r="1266" spans="1:1" ht="30" customHeight="1" x14ac:dyDescent="0.2">
      <c r="A1266" s="20" t="str">
        <f t="shared" si="19"/>
        <v/>
      </c>
    </row>
    <row r="1267" spans="1:1" ht="30" customHeight="1" x14ac:dyDescent="0.2">
      <c r="A1267" s="20" t="str">
        <f t="shared" si="19"/>
        <v/>
      </c>
    </row>
    <row r="1268" spans="1:1" ht="30" customHeight="1" x14ac:dyDescent="0.2">
      <c r="A1268" s="20" t="str">
        <f t="shared" si="19"/>
        <v/>
      </c>
    </row>
    <row r="1269" spans="1:1" ht="30" customHeight="1" x14ac:dyDescent="0.2">
      <c r="A1269" s="20" t="str">
        <f t="shared" si="19"/>
        <v/>
      </c>
    </row>
    <row r="1270" spans="1:1" ht="30" customHeight="1" x14ac:dyDescent="0.2">
      <c r="A1270" s="20" t="str">
        <f t="shared" si="19"/>
        <v/>
      </c>
    </row>
    <row r="1271" spans="1:1" ht="30" customHeight="1" x14ac:dyDescent="0.2">
      <c r="A1271" s="20" t="str">
        <f t="shared" si="19"/>
        <v/>
      </c>
    </row>
    <row r="1272" spans="1:1" ht="30" customHeight="1" x14ac:dyDescent="0.2">
      <c r="A1272" s="20" t="str">
        <f t="shared" si="19"/>
        <v/>
      </c>
    </row>
    <row r="1273" spans="1:1" ht="30" customHeight="1" x14ac:dyDescent="0.2">
      <c r="A1273" s="20" t="str">
        <f t="shared" si="19"/>
        <v/>
      </c>
    </row>
    <row r="1274" spans="1:1" ht="30" customHeight="1" x14ac:dyDescent="0.2">
      <c r="A1274" s="20" t="str">
        <f t="shared" si="19"/>
        <v/>
      </c>
    </row>
    <row r="1275" spans="1:1" ht="30" customHeight="1" x14ac:dyDescent="0.2">
      <c r="A1275" s="20" t="str">
        <f t="shared" si="19"/>
        <v/>
      </c>
    </row>
    <row r="1276" spans="1:1" ht="30" customHeight="1" x14ac:dyDescent="0.2">
      <c r="A1276" s="20" t="str">
        <f t="shared" si="19"/>
        <v/>
      </c>
    </row>
    <row r="1277" spans="1:1" ht="30" customHeight="1" x14ac:dyDescent="0.2">
      <c r="A1277" s="20" t="str">
        <f t="shared" si="19"/>
        <v/>
      </c>
    </row>
    <row r="1278" spans="1:1" ht="30" customHeight="1" x14ac:dyDescent="0.2">
      <c r="A1278" s="20" t="str">
        <f t="shared" si="19"/>
        <v/>
      </c>
    </row>
    <row r="1279" spans="1:1" ht="30" customHeight="1" x14ac:dyDescent="0.2">
      <c r="A1279" s="20" t="str">
        <f t="shared" si="19"/>
        <v/>
      </c>
    </row>
    <row r="1280" spans="1:1" ht="30" customHeight="1" x14ac:dyDescent="0.2">
      <c r="A1280" s="20" t="str">
        <f t="shared" si="19"/>
        <v/>
      </c>
    </row>
    <row r="1281" spans="1:1" ht="30" customHeight="1" x14ac:dyDescent="0.2">
      <c r="A1281" s="20" t="str">
        <f t="shared" si="19"/>
        <v/>
      </c>
    </row>
    <row r="1282" spans="1:1" ht="30" customHeight="1" x14ac:dyDescent="0.2">
      <c r="A1282" s="20" t="str">
        <f t="shared" si="19"/>
        <v/>
      </c>
    </row>
    <row r="1283" spans="1:1" ht="30" customHeight="1" x14ac:dyDescent="0.2">
      <c r="A1283" s="20" t="str">
        <f t="shared" si="19"/>
        <v/>
      </c>
    </row>
    <row r="1284" spans="1:1" ht="30" customHeight="1" x14ac:dyDescent="0.2">
      <c r="A1284" s="20" t="str">
        <f t="shared" si="19"/>
        <v/>
      </c>
    </row>
    <row r="1285" spans="1:1" ht="30" customHeight="1" x14ac:dyDescent="0.2">
      <c r="A1285" s="20" t="str">
        <f t="shared" si="19"/>
        <v/>
      </c>
    </row>
    <row r="1286" spans="1:1" ht="30" customHeight="1" x14ac:dyDescent="0.2">
      <c r="A1286" s="20" t="str">
        <f t="shared" si="19"/>
        <v/>
      </c>
    </row>
    <row r="1287" spans="1:1" ht="30" customHeight="1" x14ac:dyDescent="0.2">
      <c r="A1287" s="20" t="str">
        <f t="shared" si="19"/>
        <v/>
      </c>
    </row>
    <row r="1288" spans="1:1" ht="30" customHeight="1" x14ac:dyDescent="0.2">
      <c r="A1288" s="20" t="str">
        <f t="shared" si="19"/>
        <v/>
      </c>
    </row>
    <row r="1289" spans="1:1" ht="30" customHeight="1" x14ac:dyDescent="0.2">
      <c r="A1289" s="20" t="str">
        <f t="shared" si="19"/>
        <v/>
      </c>
    </row>
    <row r="1290" spans="1:1" ht="30" customHeight="1" x14ac:dyDescent="0.2">
      <c r="A1290" s="20" t="str">
        <f t="shared" si="19"/>
        <v/>
      </c>
    </row>
    <row r="1291" spans="1:1" ht="30" customHeight="1" x14ac:dyDescent="0.2">
      <c r="A1291" s="20" t="str">
        <f t="shared" si="19"/>
        <v/>
      </c>
    </row>
    <row r="1292" spans="1:1" ht="30" customHeight="1" x14ac:dyDescent="0.2">
      <c r="A1292" s="20" t="str">
        <f t="shared" si="19"/>
        <v/>
      </c>
    </row>
    <row r="1293" spans="1:1" ht="30" customHeight="1" x14ac:dyDescent="0.2">
      <c r="A1293" s="20" t="str">
        <f t="shared" si="19"/>
        <v/>
      </c>
    </row>
    <row r="1294" spans="1:1" ht="30" customHeight="1" x14ac:dyDescent="0.2">
      <c r="A1294" s="20" t="str">
        <f t="shared" si="19"/>
        <v/>
      </c>
    </row>
    <row r="1295" spans="1:1" ht="30" customHeight="1" x14ac:dyDescent="0.2">
      <c r="A1295" s="20" t="str">
        <f t="shared" si="19"/>
        <v/>
      </c>
    </row>
    <row r="1296" spans="1:1" ht="30" customHeight="1" x14ac:dyDescent="0.2">
      <c r="A1296" s="20" t="str">
        <f t="shared" si="19"/>
        <v/>
      </c>
    </row>
    <row r="1297" spans="1:1" ht="30" customHeight="1" x14ac:dyDescent="0.2">
      <c r="A1297" s="20" t="str">
        <f t="shared" si="19"/>
        <v/>
      </c>
    </row>
    <row r="1298" spans="1:1" ht="30" customHeight="1" x14ac:dyDescent="0.2">
      <c r="A1298" s="20" t="str">
        <f t="shared" si="19"/>
        <v/>
      </c>
    </row>
    <row r="1299" spans="1:1" ht="30" customHeight="1" x14ac:dyDescent="0.2">
      <c r="A1299" s="20" t="str">
        <f t="shared" si="19"/>
        <v/>
      </c>
    </row>
    <row r="1300" spans="1:1" ht="30" customHeight="1" x14ac:dyDescent="0.2">
      <c r="A1300" s="20" t="str">
        <f t="shared" si="19"/>
        <v/>
      </c>
    </row>
    <row r="1301" spans="1:1" ht="30" customHeight="1" x14ac:dyDescent="0.2">
      <c r="A1301" s="20" t="str">
        <f t="shared" si="19"/>
        <v/>
      </c>
    </row>
    <row r="1302" spans="1:1" ht="30" customHeight="1" x14ac:dyDescent="0.2">
      <c r="A1302" s="20" t="str">
        <f t="shared" si="19"/>
        <v/>
      </c>
    </row>
    <row r="1303" spans="1:1" ht="30" customHeight="1" x14ac:dyDescent="0.2">
      <c r="A1303" s="20" t="str">
        <f t="shared" si="19"/>
        <v/>
      </c>
    </row>
    <row r="1304" spans="1:1" ht="30" customHeight="1" x14ac:dyDescent="0.2">
      <c r="A1304" s="20" t="str">
        <f t="shared" ref="A1304:A1367" si="20">IF(AND(B1303&lt;&gt;"",B1304=""),$A$22&amp;"---&gt;","")</f>
        <v/>
      </c>
    </row>
    <row r="1305" spans="1:1" ht="30" customHeight="1" x14ac:dyDescent="0.2">
      <c r="A1305" s="20" t="str">
        <f t="shared" si="20"/>
        <v/>
      </c>
    </row>
    <row r="1306" spans="1:1" ht="30" customHeight="1" x14ac:dyDescent="0.2">
      <c r="A1306" s="20" t="str">
        <f t="shared" si="20"/>
        <v/>
      </c>
    </row>
    <row r="1307" spans="1:1" ht="30" customHeight="1" x14ac:dyDescent="0.2">
      <c r="A1307" s="20" t="str">
        <f t="shared" si="20"/>
        <v/>
      </c>
    </row>
    <row r="1308" spans="1:1" ht="30" customHeight="1" x14ac:dyDescent="0.2">
      <c r="A1308" s="20" t="str">
        <f t="shared" si="20"/>
        <v/>
      </c>
    </row>
    <row r="1309" spans="1:1" ht="30" customHeight="1" x14ac:dyDescent="0.2">
      <c r="A1309" s="20" t="str">
        <f t="shared" si="20"/>
        <v/>
      </c>
    </row>
    <row r="1310" spans="1:1" ht="30" customHeight="1" x14ac:dyDescent="0.2">
      <c r="A1310" s="20" t="str">
        <f t="shared" si="20"/>
        <v/>
      </c>
    </row>
    <row r="1311" spans="1:1" ht="30" customHeight="1" x14ac:dyDescent="0.2">
      <c r="A1311" s="20" t="str">
        <f t="shared" si="20"/>
        <v/>
      </c>
    </row>
    <row r="1312" spans="1:1" ht="30" customHeight="1" x14ac:dyDescent="0.2">
      <c r="A1312" s="20" t="str">
        <f t="shared" si="20"/>
        <v/>
      </c>
    </row>
    <row r="1313" spans="1:1" ht="30" customHeight="1" x14ac:dyDescent="0.2">
      <c r="A1313" s="20" t="str">
        <f t="shared" si="20"/>
        <v/>
      </c>
    </row>
    <row r="1314" spans="1:1" ht="30" customHeight="1" x14ac:dyDescent="0.2">
      <c r="A1314" s="20" t="str">
        <f t="shared" si="20"/>
        <v/>
      </c>
    </row>
    <row r="1315" spans="1:1" ht="30" customHeight="1" x14ac:dyDescent="0.2">
      <c r="A1315" s="20" t="str">
        <f t="shared" si="20"/>
        <v/>
      </c>
    </row>
    <row r="1316" spans="1:1" ht="30" customHeight="1" x14ac:dyDescent="0.2">
      <c r="A1316" s="20" t="str">
        <f t="shared" si="20"/>
        <v/>
      </c>
    </row>
    <row r="1317" spans="1:1" ht="30" customHeight="1" x14ac:dyDescent="0.2">
      <c r="A1317" s="20" t="str">
        <f t="shared" si="20"/>
        <v/>
      </c>
    </row>
    <row r="1318" spans="1:1" ht="30" customHeight="1" x14ac:dyDescent="0.2">
      <c r="A1318" s="20" t="str">
        <f t="shared" si="20"/>
        <v/>
      </c>
    </row>
    <row r="1319" spans="1:1" ht="30" customHeight="1" x14ac:dyDescent="0.2">
      <c r="A1319" s="20" t="str">
        <f t="shared" si="20"/>
        <v/>
      </c>
    </row>
    <row r="1320" spans="1:1" ht="30" customHeight="1" x14ac:dyDescent="0.2">
      <c r="A1320" s="20" t="str">
        <f t="shared" si="20"/>
        <v/>
      </c>
    </row>
    <row r="1321" spans="1:1" ht="30" customHeight="1" x14ac:dyDescent="0.2">
      <c r="A1321" s="20" t="str">
        <f t="shared" si="20"/>
        <v/>
      </c>
    </row>
    <row r="1322" spans="1:1" ht="30" customHeight="1" x14ac:dyDescent="0.2">
      <c r="A1322" s="20" t="str">
        <f t="shared" si="20"/>
        <v/>
      </c>
    </row>
    <row r="1323" spans="1:1" ht="30" customHeight="1" x14ac:dyDescent="0.2">
      <c r="A1323" s="20" t="str">
        <f t="shared" si="20"/>
        <v/>
      </c>
    </row>
    <row r="1324" spans="1:1" ht="30" customHeight="1" x14ac:dyDescent="0.2">
      <c r="A1324" s="20" t="str">
        <f t="shared" si="20"/>
        <v/>
      </c>
    </row>
    <row r="1325" spans="1:1" ht="30" customHeight="1" x14ac:dyDescent="0.2">
      <c r="A1325" s="20" t="str">
        <f t="shared" si="20"/>
        <v/>
      </c>
    </row>
    <row r="1326" spans="1:1" ht="30" customHeight="1" x14ac:dyDescent="0.2">
      <c r="A1326" s="20" t="str">
        <f t="shared" si="20"/>
        <v/>
      </c>
    </row>
    <row r="1327" spans="1:1" ht="30" customHeight="1" x14ac:dyDescent="0.2">
      <c r="A1327" s="20" t="str">
        <f t="shared" si="20"/>
        <v/>
      </c>
    </row>
    <row r="1328" spans="1:1" ht="30" customHeight="1" x14ac:dyDescent="0.2">
      <c r="A1328" s="20" t="str">
        <f t="shared" si="20"/>
        <v/>
      </c>
    </row>
    <row r="1329" spans="1:1" ht="30" customHeight="1" x14ac:dyDescent="0.2">
      <c r="A1329" s="20" t="str">
        <f t="shared" si="20"/>
        <v/>
      </c>
    </row>
    <row r="1330" spans="1:1" ht="30" customHeight="1" x14ac:dyDescent="0.2">
      <c r="A1330" s="20" t="str">
        <f t="shared" si="20"/>
        <v/>
      </c>
    </row>
    <row r="1331" spans="1:1" ht="30" customHeight="1" x14ac:dyDescent="0.2">
      <c r="A1331" s="20" t="str">
        <f t="shared" si="20"/>
        <v/>
      </c>
    </row>
    <row r="1332" spans="1:1" ht="30" customHeight="1" x14ac:dyDescent="0.2">
      <c r="A1332" s="20" t="str">
        <f t="shared" si="20"/>
        <v/>
      </c>
    </row>
    <row r="1333" spans="1:1" ht="30" customHeight="1" x14ac:dyDescent="0.2">
      <c r="A1333" s="20" t="str">
        <f t="shared" si="20"/>
        <v/>
      </c>
    </row>
    <row r="1334" spans="1:1" ht="30" customHeight="1" x14ac:dyDescent="0.2">
      <c r="A1334" s="20" t="str">
        <f t="shared" si="20"/>
        <v/>
      </c>
    </row>
    <row r="1335" spans="1:1" ht="30" customHeight="1" x14ac:dyDescent="0.2">
      <c r="A1335" s="20" t="str">
        <f t="shared" si="20"/>
        <v/>
      </c>
    </row>
    <row r="1336" spans="1:1" ht="30" customHeight="1" x14ac:dyDescent="0.2">
      <c r="A1336" s="20" t="str">
        <f t="shared" si="20"/>
        <v/>
      </c>
    </row>
    <row r="1337" spans="1:1" ht="30" customHeight="1" x14ac:dyDescent="0.2">
      <c r="A1337" s="20" t="str">
        <f t="shared" si="20"/>
        <v/>
      </c>
    </row>
    <row r="1338" spans="1:1" ht="30" customHeight="1" x14ac:dyDescent="0.2">
      <c r="A1338" s="20" t="str">
        <f t="shared" si="20"/>
        <v/>
      </c>
    </row>
    <row r="1339" spans="1:1" ht="30" customHeight="1" x14ac:dyDescent="0.2">
      <c r="A1339" s="20" t="str">
        <f t="shared" si="20"/>
        <v/>
      </c>
    </row>
    <row r="1340" spans="1:1" ht="30" customHeight="1" x14ac:dyDescent="0.2">
      <c r="A1340" s="20" t="str">
        <f t="shared" si="20"/>
        <v/>
      </c>
    </row>
    <row r="1341" spans="1:1" ht="30" customHeight="1" x14ac:dyDescent="0.2">
      <c r="A1341" s="20" t="str">
        <f t="shared" si="20"/>
        <v/>
      </c>
    </row>
    <row r="1342" spans="1:1" ht="30" customHeight="1" x14ac:dyDescent="0.2">
      <c r="A1342" s="20" t="str">
        <f t="shared" si="20"/>
        <v/>
      </c>
    </row>
    <row r="1343" spans="1:1" ht="30" customHeight="1" x14ac:dyDescent="0.2">
      <c r="A1343" s="20" t="str">
        <f t="shared" si="20"/>
        <v/>
      </c>
    </row>
    <row r="1344" spans="1:1" ht="30" customHeight="1" x14ac:dyDescent="0.2">
      <c r="A1344" s="20" t="str">
        <f t="shared" si="20"/>
        <v/>
      </c>
    </row>
    <row r="1345" spans="1:1" ht="30" customHeight="1" x14ac:dyDescent="0.2">
      <c r="A1345" s="20" t="str">
        <f t="shared" si="20"/>
        <v/>
      </c>
    </row>
    <row r="1346" spans="1:1" ht="30" customHeight="1" x14ac:dyDescent="0.2">
      <c r="A1346" s="20" t="str">
        <f t="shared" si="20"/>
        <v/>
      </c>
    </row>
    <row r="1347" spans="1:1" ht="30" customHeight="1" x14ac:dyDescent="0.2">
      <c r="A1347" s="20" t="str">
        <f t="shared" si="20"/>
        <v/>
      </c>
    </row>
    <row r="1348" spans="1:1" ht="30" customHeight="1" x14ac:dyDescent="0.2">
      <c r="A1348" s="20" t="str">
        <f t="shared" si="20"/>
        <v/>
      </c>
    </row>
    <row r="1349" spans="1:1" ht="30" customHeight="1" x14ac:dyDescent="0.2">
      <c r="A1349" s="20" t="str">
        <f t="shared" si="20"/>
        <v/>
      </c>
    </row>
    <row r="1350" spans="1:1" ht="30" customHeight="1" x14ac:dyDescent="0.2">
      <c r="A1350" s="20" t="str">
        <f t="shared" si="20"/>
        <v/>
      </c>
    </row>
    <row r="1351" spans="1:1" ht="30" customHeight="1" x14ac:dyDescent="0.2">
      <c r="A1351" s="20" t="str">
        <f t="shared" si="20"/>
        <v/>
      </c>
    </row>
    <row r="1352" spans="1:1" ht="30" customHeight="1" x14ac:dyDescent="0.2">
      <c r="A1352" s="20" t="str">
        <f t="shared" si="20"/>
        <v/>
      </c>
    </row>
    <row r="1353" spans="1:1" ht="30" customHeight="1" x14ac:dyDescent="0.2">
      <c r="A1353" s="20" t="str">
        <f t="shared" si="20"/>
        <v/>
      </c>
    </row>
    <row r="1354" spans="1:1" ht="30" customHeight="1" x14ac:dyDescent="0.2">
      <c r="A1354" s="20" t="str">
        <f t="shared" si="20"/>
        <v/>
      </c>
    </row>
    <row r="1355" spans="1:1" ht="30" customHeight="1" x14ac:dyDescent="0.2">
      <c r="A1355" s="20" t="str">
        <f t="shared" si="20"/>
        <v/>
      </c>
    </row>
    <row r="1356" spans="1:1" ht="30" customHeight="1" x14ac:dyDescent="0.2">
      <c r="A1356" s="20" t="str">
        <f t="shared" si="20"/>
        <v/>
      </c>
    </row>
    <row r="1357" spans="1:1" ht="30" customHeight="1" x14ac:dyDescent="0.2">
      <c r="A1357" s="20" t="str">
        <f t="shared" si="20"/>
        <v/>
      </c>
    </row>
    <row r="1358" spans="1:1" ht="30" customHeight="1" x14ac:dyDescent="0.2">
      <c r="A1358" s="20" t="str">
        <f t="shared" si="20"/>
        <v/>
      </c>
    </row>
    <row r="1359" spans="1:1" ht="30" customHeight="1" x14ac:dyDescent="0.2">
      <c r="A1359" s="20" t="str">
        <f t="shared" si="20"/>
        <v/>
      </c>
    </row>
    <row r="1360" spans="1:1" ht="30" customHeight="1" x14ac:dyDescent="0.2">
      <c r="A1360" s="20" t="str">
        <f t="shared" si="20"/>
        <v/>
      </c>
    </row>
    <row r="1361" spans="1:1" ht="30" customHeight="1" x14ac:dyDescent="0.2">
      <c r="A1361" s="20" t="str">
        <f t="shared" si="20"/>
        <v/>
      </c>
    </row>
    <row r="1362" spans="1:1" ht="30" customHeight="1" x14ac:dyDescent="0.2">
      <c r="A1362" s="20" t="str">
        <f t="shared" si="20"/>
        <v/>
      </c>
    </row>
    <row r="1363" spans="1:1" ht="30" customHeight="1" x14ac:dyDescent="0.2">
      <c r="A1363" s="20" t="str">
        <f t="shared" si="20"/>
        <v/>
      </c>
    </row>
    <row r="1364" spans="1:1" ht="30" customHeight="1" x14ac:dyDescent="0.2">
      <c r="A1364" s="20" t="str">
        <f t="shared" si="20"/>
        <v/>
      </c>
    </row>
    <row r="1365" spans="1:1" ht="30" customHeight="1" x14ac:dyDescent="0.2">
      <c r="A1365" s="20" t="str">
        <f t="shared" si="20"/>
        <v/>
      </c>
    </row>
    <row r="1366" spans="1:1" ht="30" customHeight="1" x14ac:dyDescent="0.2">
      <c r="A1366" s="20" t="str">
        <f t="shared" si="20"/>
        <v/>
      </c>
    </row>
    <row r="1367" spans="1:1" ht="30" customHeight="1" x14ac:dyDescent="0.2">
      <c r="A1367" s="20" t="str">
        <f t="shared" si="20"/>
        <v/>
      </c>
    </row>
    <row r="1368" spans="1:1" ht="30" customHeight="1" x14ac:dyDescent="0.2">
      <c r="A1368" s="20" t="str">
        <f t="shared" ref="A1368:A1431" si="21">IF(AND(B1367&lt;&gt;"",B1368=""),$A$22&amp;"---&gt;","")</f>
        <v/>
      </c>
    </row>
    <row r="1369" spans="1:1" ht="30" customHeight="1" x14ac:dyDescent="0.2">
      <c r="A1369" s="20" t="str">
        <f t="shared" si="21"/>
        <v/>
      </c>
    </row>
    <row r="1370" spans="1:1" ht="30" customHeight="1" x14ac:dyDescent="0.2">
      <c r="A1370" s="20" t="str">
        <f t="shared" si="21"/>
        <v/>
      </c>
    </row>
    <row r="1371" spans="1:1" ht="30" customHeight="1" x14ac:dyDescent="0.2">
      <c r="A1371" s="20" t="str">
        <f t="shared" si="21"/>
        <v/>
      </c>
    </row>
    <row r="1372" spans="1:1" ht="30" customHeight="1" x14ac:dyDescent="0.2">
      <c r="A1372" s="20" t="str">
        <f t="shared" si="21"/>
        <v/>
      </c>
    </row>
    <row r="1373" spans="1:1" ht="30" customHeight="1" x14ac:dyDescent="0.2">
      <c r="A1373" s="20" t="str">
        <f t="shared" si="21"/>
        <v/>
      </c>
    </row>
    <row r="1374" spans="1:1" ht="30" customHeight="1" x14ac:dyDescent="0.2">
      <c r="A1374" s="20" t="str">
        <f t="shared" si="21"/>
        <v/>
      </c>
    </row>
    <row r="1375" spans="1:1" ht="30" customHeight="1" x14ac:dyDescent="0.2">
      <c r="A1375" s="20" t="str">
        <f t="shared" si="21"/>
        <v/>
      </c>
    </row>
    <row r="1376" spans="1:1" ht="30" customHeight="1" x14ac:dyDescent="0.2">
      <c r="A1376" s="20" t="str">
        <f t="shared" si="21"/>
        <v/>
      </c>
    </row>
    <row r="1377" spans="1:1" ht="30" customHeight="1" x14ac:dyDescent="0.2">
      <c r="A1377" s="20" t="str">
        <f t="shared" si="21"/>
        <v/>
      </c>
    </row>
    <row r="1378" spans="1:1" ht="30" customHeight="1" x14ac:dyDescent="0.2">
      <c r="A1378" s="20" t="str">
        <f t="shared" si="21"/>
        <v/>
      </c>
    </row>
    <row r="1379" spans="1:1" ht="30" customHeight="1" x14ac:dyDescent="0.2">
      <c r="A1379" s="20" t="str">
        <f t="shared" si="21"/>
        <v/>
      </c>
    </row>
    <row r="1380" spans="1:1" ht="30" customHeight="1" x14ac:dyDescent="0.2">
      <c r="A1380" s="20" t="str">
        <f t="shared" si="21"/>
        <v/>
      </c>
    </row>
    <row r="1381" spans="1:1" ht="30" customHeight="1" x14ac:dyDescent="0.2">
      <c r="A1381" s="20" t="str">
        <f t="shared" si="21"/>
        <v/>
      </c>
    </row>
    <row r="1382" spans="1:1" ht="30" customHeight="1" x14ac:dyDescent="0.2">
      <c r="A1382" s="20" t="str">
        <f t="shared" si="21"/>
        <v/>
      </c>
    </row>
    <row r="1383" spans="1:1" ht="30" customHeight="1" x14ac:dyDescent="0.2">
      <c r="A1383" s="20" t="str">
        <f t="shared" si="21"/>
        <v/>
      </c>
    </row>
    <row r="1384" spans="1:1" ht="30" customHeight="1" x14ac:dyDescent="0.2">
      <c r="A1384" s="20" t="str">
        <f t="shared" si="21"/>
        <v/>
      </c>
    </row>
    <row r="1385" spans="1:1" ht="30" customHeight="1" x14ac:dyDescent="0.2">
      <c r="A1385" s="20" t="str">
        <f t="shared" si="21"/>
        <v/>
      </c>
    </row>
    <row r="1386" spans="1:1" ht="30" customHeight="1" x14ac:dyDescent="0.2">
      <c r="A1386" s="20" t="str">
        <f t="shared" si="21"/>
        <v/>
      </c>
    </row>
    <row r="1387" spans="1:1" ht="30" customHeight="1" x14ac:dyDescent="0.2">
      <c r="A1387" s="20" t="str">
        <f t="shared" si="21"/>
        <v/>
      </c>
    </row>
    <row r="1388" spans="1:1" ht="30" customHeight="1" x14ac:dyDescent="0.2">
      <c r="A1388" s="20" t="str">
        <f t="shared" si="21"/>
        <v/>
      </c>
    </row>
    <row r="1389" spans="1:1" ht="30" customHeight="1" x14ac:dyDescent="0.2">
      <c r="A1389" s="20" t="str">
        <f t="shared" si="21"/>
        <v/>
      </c>
    </row>
    <row r="1390" spans="1:1" ht="30" customHeight="1" x14ac:dyDescent="0.2">
      <c r="A1390" s="20" t="str">
        <f t="shared" si="21"/>
        <v/>
      </c>
    </row>
    <row r="1391" spans="1:1" ht="30" customHeight="1" x14ac:dyDescent="0.2">
      <c r="A1391" s="20" t="str">
        <f t="shared" si="21"/>
        <v/>
      </c>
    </row>
    <row r="1392" spans="1:1" ht="30" customHeight="1" x14ac:dyDescent="0.2">
      <c r="A1392" s="20" t="str">
        <f t="shared" si="21"/>
        <v/>
      </c>
    </row>
    <row r="1393" spans="1:1" ht="30" customHeight="1" x14ac:dyDescent="0.2">
      <c r="A1393" s="20" t="str">
        <f t="shared" si="21"/>
        <v/>
      </c>
    </row>
    <row r="1394" spans="1:1" ht="30" customHeight="1" x14ac:dyDescent="0.2">
      <c r="A1394" s="20" t="str">
        <f t="shared" si="21"/>
        <v/>
      </c>
    </row>
    <row r="1395" spans="1:1" ht="30" customHeight="1" x14ac:dyDescent="0.2">
      <c r="A1395" s="20" t="str">
        <f t="shared" si="21"/>
        <v/>
      </c>
    </row>
    <row r="1396" spans="1:1" ht="30" customHeight="1" x14ac:dyDescent="0.2">
      <c r="A1396" s="20" t="str">
        <f t="shared" si="21"/>
        <v/>
      </c>
    </row>
    <row r="1397" spans="1:1" ht="30" customHeight="1" x14ac:dyDescent="0.2">
      <c r="A1397" s="20" t="str">
        <f t="shared" si="21"/>
        <v/>
      </c>
    </row>
    <row r="1398" spans="1:1" ht="30" customHeight="1" x14ac:dyDescent="0.2">
      <c r="A1398" s="20" t="str">
        <f t="shared" si="21"/>
        <v/>
      </c>
    </row>
    <row r="1399" spans="1:1" ht="30" customHeight="1" x14ac:dyDescent="0.2">
      <c r="A1399" s="20" t="str">
        <f t="shared" si="21"/>
        <v/>
      </c>
    </row>
    <row r="1400" spans="1:1" ht="30" customHeight="1" x14ac:dyDescent="0.2">
      <c r="A1400" s="20" t="str">
        <f t="shared" si="21"/>
        <v/>
      </c>
    </row>
    <row r="1401" spans="1:1" ht="30" customHeight="1" x14ac:dyDescent="0.2">
      <c r="A1401" s="20" t="str">
        <f t="shared" si="21"/>
        <v/>
      </c>
    </row>
    <row r="1402" spans="1:1" ht="30" customHeight="1" x14ac:dyDescent="0.2">
      <c r="A1402" s="20" t="str">
        <f t="shared" si="21"/>
        <v/>
      </c>
    </row>
    <row r="1403" spans="1:1" ht="30" customHeight="1" x14ac:dyDescent="0.2">
      <c r="A1403" s="20" t="str">
        <f t="shared" si="21"/>
        <v/>
      </c>
    </row>
    <row r="1404" spans="1:1" ht="30" customHeight="1" x14ac:dyDescent="0.2">
      <c r="A1404" s="20" t="str">
        <f t="shared" si="21"/>
        <v/>
      </c>
    </row>
    <row r="1405" spans="1:1" ht="30" customHeight="1" x14ac:dyDescent="0.2">
      <c r="A1405" s="20" t="str">
        <f t="shared" si="21"/>
        <v/>
      </c>
    </row>
    <row r="1406" spans="1:1" ht="30" customHeight="1" x14ac:dyDescent="0.2">
      <c r="A1406" s="20" t="str">
        <f t="shared" si="21"/>
        <v/>
      </c>
    </row>
    <row r="1407" spans="1:1" ht="30" customHeight="1" x14ac:dyDescent="0.2">
      <c r="A1407" s="20" t="str">
        <f t="shared" si="21"/>
        <v/>
      </c>
    </row>
    <row r="1408" spans="1:1" ht="30" customHeight="1" x14ac:dyDescent="0.2">
      <c r="A1408" s="20" t="str">
        <f t="shared" si="21"/>
        <v/>
      </c>
    </row>
    <row r="1409" spans="1:1" ht="30" customHeight="1" x14ac:dyDescent="0.2">
      <c r="A1409" s="20" t="str">
        <f t="shared" si="21"/>
        <v/>
      </c>
    </row>
    <row r="1410" spans="1:1" ht="30" customHeight="1" x14ac:dyDescent="0.2">
      <c r="A1410" s="20" t="str">
        <f t="shared" si="21"/>
        <v/>
      </c>
    </row>
    <row r="1411" spans="1:1" ht="30" customHeight="1" x14ac:dyDescent="0.2">
      <c r="A1411" s="20" t="str">
        <f t="shared" si="21"/>
        <v/>
      </c>
    </row>
    <row r="1412" spans="1:1" ht="30" customHeight="1" x14ac:dyDescent="0.2">
      <c r="A1412" s="20" t="str">
        <f t="shared" si="21"/>
        <v/>
      </c>
    </row>
    <row r="1413" spans="1:1" ht="30" customHeight="1" x14ac:dyDescent="0.2">
      <c r="A1413" s="20" t="str">
        <f t="shared" si="21"/>
        <v/>
      </c>
    </row>
    <row r="1414" spans="1:1" ht="30" customHeight="1" x14ac:dyDescent="0.2">
      <c r="A1414" s="20" t="str">
        <f t="shared" si="21"/>
        <v/>
      </c>
    </row>
    <row r="1415" spans="1:1" ht="30" customHeight="1" x14ac:dyDescent="0.2">
      <c r="A1415" s="20" t="str">
        <f t="shared" si="21"/>
        <v/>
      </c>
    </row>
    <row r="1416" spans="1:1" ht="30" customHeight="1" x14ac:dyDescent="0.2">
      <c r="A1416" s="20" t="str">
        <f t="shared" si="21"/>
        <v/>
      </c>
    </row>
    <row r="1417" spans="1:1" ht="30" customHeight="1" x14ac:dyDescent="0.2">
      <c r="A1417" s="20" t="str">
        <f t="shared" si="21"/>
        <v/>
      </c>
    </row>
    <row r="1418" spans="1:1" ht="30" customHeight="1" x14ac:dyDescent="0.2">
      <c r="A1418" s="20" t="str">
        <f t="shared" si="21"/>
        <v/>
      </c>
    </row>
    <row r="1419" spans="1:1" ht="30" customHeight="1" x14ac:dyDescent="0.2">
      <c r="A1419" s="20" t="str">
        <f t="shared" si="21"/>
        <v/>
      </c>
    </row>
    <row r="1420" spans="1:1" ht="30" customHeight="1" x14ac:dyDescent="0.2">
      <c r="A1420" s="20" t="str">
        <f t="shared" si="21"/>
        <v/>
      </c>
    </row>
    <row r="1421" spans="1:1" ht="30" customHeight="1" x14ac:dyDescent="0.2">
      <c r="A1421" s="20" t="str">
        <f t="shared" si="21"/>
        <v/>
      </c>
    </row>
    <row r="1422" spans="1:1" ht="30" customHeight="1" x14ac:dyDescent="0.2">
      <c r="A1422" s="20" t="str">
        <f t="shared" si="21"/>
        <v/>
      </c>
    </row>
    <row r="1423" spans="1:1" ht="30" customHeight="1" x14ac:dyDescent="0.2">
      <c r="A1423" s="20" t="str">
        <f t="shared" si="21"/>
        <v/>
      </c>
    </row>
    <row r="1424" spans="1:1" ht="30" customHeight="1" x14ac:dyDescent="0.2">
      <c r="A1424" s="20" t="str">
        <f t="shared" si="21"/>
        <v/>
      </c>
    </row>
    <row r="1425" spans="1:1" ht="30" customHeight="1" x14ac:dyDescent="0.2">
      <c r="A1425" s="20" t="str">
        <f t="shared" si="21"/>
        <v/>
      </c>
    </row>
    <row r="1426" spans="1:1" ht="30" customHeight="1" x14ac:dyDescent="0.2">
      <c r="A1426" s="20" t="str">
        <f t="shared" si="21"/>
        <v/>
      </c>
    </row>
    <row r="1427" spans="1:1" ht="30" customHeight="1" x14ac:dyDescent="0.2">
      <c r="A1427" s="20" t="str">
        <f t="shared" si="21"/>
        <v/>
      </c>
    </row>
    <row r="1428" spans="1:1" ht="30" customHeight="1" x14ac:dyDescent="0.2">
      <c r="A1428" s="20" t="str">
        <f t="shared" si="21"/>
        <v/>
      </c>
    </row>
    <row r="1429" spans="1:1" ht="30" customHeight="1" x14ac:dyDescent="0.2">
      <c r="A1429" s="20" t="str">
        <f t="shared" si="21"/>
        <v/>
      </c>
    </row>
    <row r="1430" spans="1:1" ht="30" customHeight="1" x14ac:dyDescent="0.2">
      <c r="A1430" s="20" t="str">
        <f t="shared" si="21"/>
        <v/>
      </c>
    </row>
    <row r="1431" spans="1:1" ht="30" customHeight="1" x14ac:dyDescent="0.2">
      <c r="A1431" s="20" t="str">
        <f t="shared" si="21"/>
        <v/>
      </c>
    </row>
    <row r="1432" spans="1:1" ht="30" customHeight="1" x14ac:dyDescent="0.2">
      <c r="A1432" s="20" t="str">
        <f t="shared" ref="A1432:A1495" si="22">IF(AND(B1431&lt;&gt;"",B1432=""),$A$22&amp;"---&gt;","")</f>
        <v/>
      </c>
    </row>
    <row r="1433" spans="1:1" ht="30" customHeight="1" x14ac:dyDescent="0.2">
      <c r="A1433" s="20" t="str">
        <f t="shared" si="22"/>
        <v/>
      </c>
    </row>
    <row r="1434" spans="1:1" ht="30" customHeight="1" x14ac:dyDescent="0.2">
      <c r="A1434" s="20" t="str">
        <f t="shared" si="22"/>
        <v/>
      </c>
    </row>
    <row r="1435" spans="1:1" ht="30" customHeight="1" x14ac:dyDescent="0.2">
      <c r="A1435" s="20" t="str">
        <f t="shared" si="22"/>
        <v/>
      </c>
    </row>
    <row r="1436" spans="1:1" ht="30" customHeight="1" x14ac:dyDescent="0.2">
      <c r="A1436" s="20" t="str">
        <f t="shared" si="22"/>
        <v/>
      </c>
    </row>
    <row r="1437" spans="1:1" ht="30" customHeight="1" x14ac:dyDescent="0.2">
      <c r="A1437" s="20" t="str">
        <f t="shared" si="22"/>
        <v/>
      </c>
    </row>
    <row r="1438" spans="1:1" ht="30" customHeight="1" x14ac:dyDescent="0.2">
      <c r="A1438" s="20" t="str">
        <f t="shared" si="22"/>
        <v/>
      </c>
    </row>
    <row r="1439" spans="1:1" ht="30" customHeight="1" x14ac:dyDescent="0.2">
      <c r="A1439" s="20" t="str">
        <f t="shared" si="22"/>
        <v/>
      </c>
    </row>
    <row r="1440" spans="1:1" ht="30" customHeight="1" x14ac:dyDescent="0.2">
      <c r="A1440" s="20" t="str">
        <f t="shared" si="22"/>
        <v/>
      </c>
    </row>
    <row r="1441" spans="1:1" ht="30" customHeight="1" x14ac:dyDescent="0.2">
      <c r="A1441" s="20" t="str">
        <f t="shared" si="22"/>
        <v/>
      </c>
    </row>
    <row r="1442" spans="1:1" ht="30" customHeight="1" x14ac:dyDescent="0.2">
      <c r="A1442" s="20" t="str">
        <f t="shared" si="22"/>
        <v/>
      </c>
    </row>
    <row r="1443" spans="1:1" ht="30" customHeight="1" x14ac:dyDescent="0.2">
      <c r="A1443" s="20" t="str">
        <f t="shared" si="22"/>
        <v/>
      </c>
    </row>
    <row r="1444" spans="1:1" ht="30" customHeight="1" x14ac:dyDescent="0.2">
      <c r="A1444" s="20" t="str">
        <f t="shared" si="22"/>
        <v/>
      </c>
    </row>
    <row r="1445" spans="1:1" ht="30" customHeight="1" x14ac:dyDescent="0.2">
      <c r="A1445" s="20" t="str">
        <f t="shared" si="22"/>
        <v/>
      </c>
    </row>
    <row r="1446" spans="1:1" ht="30" customHeight="1" x14ac:dyDescent="0.2">
      <c r="A1446" s="20" t="str">
        <f t="shared" si="22"/>
        <v/>
      </c>
    </row>
    <row r="1447" spans="1:1" ht="30" customHeight="1" x14ac:dyDescent="0.2">
      <c r="A1447" s="20" t="str">
        <f t="shared" si="22"/>
        <v/>
      </c>
    </row>
    <row r="1448" spans="1:1" ht="30" customHeight="1" x14ac:dyDescent="0.2">
      <c r="A1448" s="20" t="str">
        <f t="shared" si="22"/>
        <v/>
      </c>
    </row>
    <row r="1449" spans="1:1" ht="30" customHeight="1" x14ac:dyDescent="0.2">
      <c r="A1449" s="20" t="str">
        <f t="shared" si="22"/>
        <v/>
      </c>
    </row>
    <row r="1450" spans="1:1" ht="30" customHeight="1" x14ac:dyDescent="0.2">
      <c r="A1450" s="20" t="str">
        <f t="shared" si="22"/>
        <v/>
      </c>
    </row>
    <row r="1451" spans="1:1" ht="30" customHeight="1" x14ac:dyDescent="0.2">
      <c r="A1451" s="20" t="str">
        <f t="shared" si="22"/>
        <v/>
      </c>
    </row>
    <row r="1452" spans="1:1" ht="30" customHeight="1" x14ac:dyDescent="0.2">
      <c r="A1452" s="20" t="str">
        <f t="shared" si="22"/>
        <v/>
      </c>
    </row>
    <row r="1453" spans="1:1" ht="30" customHeight="1" x14ac:dyDescent="0.2">
      <c r="A1453" s="20" t="str">
        <f t="shared" si="22"/>
        <v/>
      </c>
    </row>
    <row r="1454" spans="1:1" ht="30" customHeight="1" x14ac:dyDescent="0.2">
      <c r="A1454" s="20" t="str">
        <f t="shared" si="22"/>
        <v/>
      </c>
    </row>
    <row r="1455" spans="1:1" ht="30" customHeight="1" x14ac:dyDescent="0.2">
      <c r="A1455" s="20" t="str">
        <f t="shared" si="22"/>
        <v/>
      </c>
    </row>
    <row r="1456" spans="1:1" ht="30" customHeight="1" x14ac:dyDescent="0.2">
      <c r="A1456" s="20" t="str">
        <f t="shared" si="22"/>
        <v/>
      </c>
    </row>
    <row r="1457" spans="1:1" ht="30" customHeight="1" x14ac:dyDescent="0.2">
      <c r="A1457" s="20" t="str">
        <f t="shared" si="22"/>
        <v/>
      </c>
    </row>
    <row r="1458" spans="1:1" ht="30" customHeight="1" x14ac:dyDescent="0.2">
      <c r="A1458" s="20" t="str">
        <f t="shared" si="22"/>
        <v/>
      </c>
    </row>
    <row r="1459" spans="1:1" ht="30" customHeight="1" x14ac:dyDescent="0.2">
      <c r="A1459" s="20" t="str">
        <f t="shared" si="22"/>
        <v/>
      </c>
    </row>
    <row r="1460" spans="1:1" ht="30" customHeight="1" x14ac:dyDescent="0.2">
      <c r="A1460" s="20" t="str">
        <f t="shared" si="22"/>
        <v/>
      </c>
    </row>
    <row r="1461" spans="1:1" ht="30" customHeight="1" x14ac:dyDescent="0.2">
      <c r="A1461" s="20" t="str">
        <f t="shared" si="22"/>
        <v/>
      </c>
    </row>
    <row r="1462" spans="1:1" ht="30" customHeight="1" x14ac:dyDescent="0.2">
      <c r="A1462" s="20" t="str">
        <f t="shared" si="22"/>
        <v/>
      </c>
    </row>
    <row r="1463" spans="1:1" ht="30" customHeight="1" x14ac:dyDescent="0.2">
      <c r="A1463" s="20" t="str">
        <f t="shared" si="22"/>
        <v/>
      </c>
    </row>
    <row r="1464" spans="1:1" ht="30" customHeight="1" x14ac:dyDescent="0.2">
      <c r="A1464" s="20" t="str">
        <f t="shared" si="22"/>
        <v/>
      </c>
    </row>
    <row r="1465" spans="1:1" ht="30" customHeight="1" x14ac:dyDescent="0.2">
      <c r="A1465" s="20" t="str">
        <f t="shared" si="22"/>
        <v/>
      </c>
    </row>
    <row r="1466" spans="1:1" ht="30" customHeight="1" x14ac:dyDescent="0.2">
      <c r="A1466" s="20" t="str">
        <f t="shared" si="22"/>
        <v/>
      </c>
    </row>
    <row r="1467" spans="1:1" ht="30" customHeight="1" x14ac:dyDescent="0.2">
      <c r="A1467" s="20" t="str">
        <f t="shared" si="22"/>
        <v/>
      </c>
    </row>
    <row r="1468" spans="1:1" ht="30" customHeight="1" x14ac:dyDescent="0.2">
      <c r="A1468" s="20" t="str">
        <f t="shared" si="22"/>
        <v/>
      </c>
    </row>
    <row r="1469" spans="1:1" ht="30" customHeight="1" x14ac:dyDescent="0.2">
      <c r="A1469" s="20" t="str">
        <f t="shared" si="22"/>
        <v/>
      </c>
    </row>
    <row r="1470" spans="1:1" ht="30" customHeight="1" x14ac:dyDescent="0.2">
      <c r="A1470" s="20" t="str">
        <f t="shared" si="22"/>
        <v/>
      </c>
    </row>
    <row r="1471" spans="1:1" ht="30" customHeight="1" x14ac:dyDescent="0.2">
      <c r="A1471" s="20" t="str">
        <f t="shared" si="22"/>
        <v/>
      </c>
    </row>
    <row r="1472" spans="1:1" ht="30" customHeight="1" x14ac:dyDescent="0.2">
      <c r="A1472" s="20" t="str">
        <f t="shared" si="22"/>
        <v/>
      </c>
    </row>
    <row r="1473" spans="1:1" ht="30" customHeight="1" x14ac:dyDescent="0.2">
      <c r="A1473" s="20" t="str">
        <f t="shared" si="22"/>
        <v/>
      </c>
    </row>
    <row r="1474" spans="1:1" ht="30" customHeight="1" x14ac:dyDescent="0.2">
      <c r="A1474" s="20" t="str">
        <f t="shared" si="22"/>
        <v/>
      </c>
    </row>
    <row r="1475" spans="1:1" ht="30" customHeight="1" x14ac:dyDescent="0.2">
      <c r="A1475" s="20" t="str">
        <f t="shared" si="22"/>
        <v/>
      </c>
    </row>
    <row r="1476" spans="1:1" ht="30" customHeight="1" x14ac:dyDescent="0.2">
      <c r="A1476" s="20" t="str">
        <f t="shared" si="22"/>
        <v/>
      </c>
    </row>
    <row r="1477" spans="1:1" ht="30" customHeight="1" x14ac:dyDescent="0.2">
      <c r="A1477" s="20" t="str">
        <f t="shared" si="22"/>
        <v/>
      </c>
    </row>
    <row r="1478" spans="1:1" ht="30" customHeight="1" x14ac:dyDescent="0.2">
      <c r="A1478" s="20" t="str">
        <f t="shared" si="22"/>
        <v/>
      </c>
    </row>
    <row r="1479" spans="1:1" ht="30" customHeight="1" x14ac:dyDescent="0.2">
      <c r="A1479" s="20" t="str">
        <f t="shared" si="22"/>
        <v/>
      </c>
    </row>
    <row r="1480" spans="1:1" ht="30" customHeight="1" x14ac:dyDescent="0.2">
      <c r="A1480" s="20" t="str">
        <f t="shared" si="22"/>
        <v/>
      </c>
    </row>
    <row r="1481" spans="1:1" ht="30" customHeight="1" x14ac:dyDescent="0.2">
      <c r="A1481" s="20" t="str">
        <f t="shared" si="22"/>
        <v/>
      </c>
    </row>
    <row r="1482" spans="1:1" ht="30" customHeight="1" x14ac:dyDescent="0.2">
      <c r="A1482" s="20" t="str">
        <f t="shared" si="22"/>
        <v/>
      </c>
    </row>
    <row r="1483" spans="1:1" ht="30" customHeight="1" x14ac:dyDescent="0.2">
      <c r="A1483" s="20" t="str">
        <f t="shared" si="22"/>
        <v/>
      </c>
    </row>
    <row r="1484" spans="1:1" ht="30" customHeight="1" x14ac:dyDescent="0.2">
      <c r="A1484" s="20" t="str">
        <f t="shared" si="22"/>
        <v/>
      </c>
    </row>
    <row r="1485" spans="1:1" ht="30" customHeight="1" x14ac:dyDescent="0.2">
      <c r="A1485" s="20" t="str">
        <f t="shared" si="22"/>
        <v/>
      </c>
    </row>
    <row r="1486" spans="1:1" ht="30" customHeight="1" x14ac:dyDescent="0.2">
      <c r="A1486" s="20" t="str">
        <f t="shared" si="22"/>
        <v/>
      </c>
    </row>
    <row r="1487" spans="1:1" ht="30" customHeight="1" x14ac:dyDescent="0.2">
      <c r="A1487" s="20" t="str">
        <f t="shared" si="22"/>
        <v/>
      </c>
    </row>
    <row r="1488" spans="1:1" ht="30" customHeight="1" x14ac:dyDescent="0.2">
      <c r="A1488" s="20" t="str">
        <f t="shared" si="22"/>
        <v/>
      </c>
    </row>
    <row r="1489" spans="1:1" ht="30" customHeight="1" x14ac:dyDescent="0.2">
      <c r="A1489" s="20" t="str">
        <f t="shared" si="22"/>
        <v/>
      </c>
    </row>
    <row r="1490" spans="1:1" ht="30" customHeight="1" x14ac:dyDescent="0.2">
      <c r="A1490" s="20" t="str">
        <f t="shared" si="22"/>
        <v/>
      </c>
    </row>
    <row r="1491" spans="1:1" ht="30" customHeight="1" x14ac:dyDescent="0.2">
      <c r="A1491" s="20" t="str">
        <f t="shared" si="22"/>
        <v/>
      </c>
    </row>
    <row r="1492" spans="1:1" ht="30" customHeight="1" x14ac:dyDescent="0.2">
      <c r="A1492" s="20" t="str">
        <f t="shared" si="22"/>
        <v/>
      </c>
    </row>
    <row r="1493" spans="1:1" ht="30" customHeight="1" x14ac:dyDescent="0.2">
      <c r="A1493" s="20" t="str">
        <f t="shared" si="22"/>
        <v/>
      </c>
    </row>
    <row r="1494" spans="1:1" ht="30" customHeight="1" x14ac:dyDescent="0.2">
      <c r="A1494" s="20" t="str">
        <f t="shared" si="22"/>
        <v/>
      </c>
    </row>
    <row r="1495" spans="1:1" ht="30" customHeight="1" x14ac:dyDescent="0.2">
      <c r="A1495" s="20" t="str">
        <f t="shared" si="22"/>
        <v/>
      </c>
    </row>
    <row r="1496" spans="1:1" ht="30" customHeight="1" x14ac:dyDescent="0.2">
      <c r="A1496" s="20" t="str">
        <f t="shared" ref="A1496:A1559" si="23">IF(AND(B1495&lt;&gt;"",B1496=""),$A$22&amp;"---&gt;","")</f>
        <v/>
      </c>
    </row>
    <row r="1497" spans="1:1" ht="30" customHeight="1" x14ac:dyDescent="0.2">
      <c r="A1497" s="20" t="str">
        <f t="shared" si="23"/>
        <v/>
      </c>
    </row>
    <row r="1498" spans="1:1" ht="30" customHeight="1" x14ac:dyDescent="0.2">
      <c r="A1498" s="20" t="str">
        <f t="shared" si="23"/>
        <v/>
      </c>
    </row>
    <row r="1499" spans="1:1" ht="30" customHeight="1" x14ac:dyDescent="0.2">
      <c r="A1499" s="20" t="str">
        <f t="shared" si="23"/>
        <v/>
      </c>
    </row>
    <row r="1500" spans="1:1" ht="30" customHeight="1" x14ac:dyDescent="0.2">
      <c r="A1500" s="20" t="str">
        <f t="shared" si="23"/>
        <v/>
      </c>
    </row>
    <row r="1501" spans="1:1" ht="30" customHeight="1" x14ac:dyDescent="0.2">
      <c r="A1501" s="20" t="str">
        <f t="shared" si="23"/>
        <v/>
      </c>
    </row>
    <row r="1502" spans="1:1" ht="30" customHeight="1" x14ac:dyDescent="0.2">
      <c r="A1502" s="20" t="str">
        <f t="shared" si="23"/>
        <v/>
      </c>
    </row>
    <row r="1503" spans="1:1" ht="30" customHeight="1" x14ac:dyDescent="0.2">
      <c r="A1503" s="20" t="str">
        <f t="shared" si="23"/>
        <v/>
      </c>
    </row>
    <row r="1504" spans="1:1" ht="30" customHeight="1" x14ac:dyDescent="0.2">
      <c r="A1504" s="20" t="str">
        <f t="shared" si="23"/>
        <v/>
      </c>
    </row>
    <row r="1505" spans="1:1" ht="30" customHeight="1" x14ac:dyDescent="0.2">
      <c r="A1505" s="20" t="str">
        <f t="shared" si="23"/>
        <v/>
      </c>
    </row>
    <row r="1506" spans="1:1" ht="30" customHeight="1" x14ac:dyDescent="0.2">
      <c r="A1506" s="20" t="str">
        <f t="shared" si="23"/>
        <v/>
      </c>
    </row>
    <row r="1507" spans="1:1" ht="30" customHeight="1" x14ac:dyDescent="0.2">
      <c r="A1507" s="20" t="str">
        <f t="shared" si="23"/>
        <v/>
      </c>
    </row>
    <row r="1508" spans="1:1" ht="30" customHeight="1" x14ac:dyDescent="0.2">
      <c r="A1508" s="20" t="str">
        <f t="shared" si="23"/>
        <v/>
      </c>
    </row>
    <row r="1509" spans="1:1" ht="30" customHeight="1" x14ac:dyDescent="0.2">
      <c r="A1509" s="20" t="str">
        <f t="shared" si="23"/>
        <v/>
      </c>
    </row>
    <row r="1510" spans="1:1" ht="30" customHeight="1" x14ac:dyDescent="0.2">
      <c r="A1510" s="20" t="str">
        <f t="shared" si="23"/>
        <v/>
      </c>
    </row>
    <row r="1511" spans="1:1" ht="30" customHeight="1" x14ac:dyDescent="0.2">
      <c r="A1511" s="20" t="str">
        <f t="shared" si="23"/>
        <v/>
      </c>
    </row>
    <row r="1512" spans="1:1" ht="30" customHeight="1" x14ac:dyDescent="0.2">
      <c r="A1512" s="20" t="str">
        <f t="shared" si="23"/>
        <v/>
      </c>
    </row>
    <row r="1513" spans="1:1" ht="30" customHeight="1" x14ac:dyDescent="0.2">
      <c r="A1513" s="20" t="str">
        <f t="shared" si="23"/>
        <v/>
      </c>
    </row>
    <row r="1514" spans="1:1" ht="30" customHeight="1" x14ac:dyDescent="0.2">
      <c r="A1514" s="20" t="str">
        <f t="shared" si="23"/>
        <v/>
      </c>
    </row>
    <row r="1515" spans="1:1" ht="30" customHeight="1" x14ac:dyDescent="0.2">
      <c r="A1515" s="20" t="str">
        <f t="shared" si="23"/>
        <v/>
      </c>
    </row>
    <row r="1516" spans="1:1" ht="30" customHeight="1" x14ac:dyDescent="0.2">
      <c r="A1516" s="20" t="str">
        <f t="shared" si="23"/>
        <v/>
      </c>
    </row>
    <row r="1517" spans="1:1" ht="30" customHeight="1" x14ac:dyDescent="0.2">
      <c r="A1517" s="20" t="str">
        <f t="shared" si="23"/>
        <v/>
      </c>
    </row>
    <row r="1518" spans="1:1" ht="30" customHeight="1" x14ac:dyDescent="0.2">
      <c r="A1518" s="20" t="str">
        <f t="shared" si="23"/>
        <v/>
      </c>
    </row>
    <row r="1519" spans="1:1" ht="30" customHeight="1" x14ac:dyDescent="0.2">
      <c r="A1519" s="20" t="str">
        <f t="shared" si="23"/>
        <v/>
      </c>
    </row>
    <row r="1520" spans="1:1" ht="30" customHeight="1" x14ac:dyDescent="0.2">
      <c r="A1520" s="20" t="str">
        <f t="shared" si="23"/>
        <v/>
      </c>
    </row>
    <row r="1521" spans="1:1" ht="30" customHeight="1" x14ac:dyDescent="0.2">
      <c r="A1521" s="20" t="str">
        <f t="shared" si="23"/>
        <v/>
      </c>
    </row>
    <row r="1522" spans="1:1" ht="30" customHeight="1" x14ac:dyDescent="0.2">
      <c r="A1522" s="20" t="str">
        <f t="shared" si="23"/>
        <v/>
      </c>
    </row>
    <row r="1523" spans="1:1" ht="30" customHeight="1" x14ac:dyDescent="0.2">
      <c r="A1523" s="20" t="str">
        <f t="shared" si="23"/>
        <v/>
      </c>
    </row>
    <row r="1524" spans="1:1" ht="30" customHeight="1" x14ac:dyDescent="0.2">
      <c r="A1524" s="20" t="str">
        <f t="shared" si="23"/>
        <v/>
      </c>
    </row>
    <row r="1525" spans="1:1" ht="30" customHeight="1" x14ac:dyDescent="0.2">
      <c r="A1525" s="20" t="str">
        <f t="shared" si="23"/>
        <v/>
      </c>
    </row>
    <row r="1526" spans="1:1" ht="30" customHeight="1" x14ac:dyDescent="0.2">
      <c r="A1526" s="20" t="str">
        <f t="shared" si="23"/>
        <v/>
      </c>
    </row>
    <row r="1527" spans="1:1" ht="30" customHeight="1" x14ac:dyDescent="0.2">
      <c r="A1527" s="20" t="str">
        <f t="shared" si="23"/>
        <v/>
      </c>
    </row>
    <row r="1528" spans="1:1" ht="30" customHeight="1" x14ac:dyDescent="0.2">
      <c r="A1528" s="20" t="str">
        <f t="shared" si="23"/>
        <v/>
      </c>
    </row>
    <row r="1529" spans="1:1" ht="30" customHeight="1" x14ac:dyDescent="0.2">
      <c r="A1529" s="20" t="str">
        <f t="shared" si="23"/>
        <v/>
      </c>
    </row>
    <row r="1530" spans="1:1" ht="30" customHeight="1" x14ac:dyDescent="0.2">
      <c r="A1530" s="20" t="str">
        <f t="shared" si="23"/>
        <v/>
      </c>
    </row>
    <row r="1531" spans="1:1" ht="30" customHeight="1" x14ac:dyDescent="0.2">
      <c r="A1531" s="20" t="str">
        <f t="shared" si="23"/>
        <v/>
      </c>
    </row>
    <row r="1532" spans="1:1" ht="30" customHeight="1" x14ac:dyDescent="0.2">
      <c r="A1532" s="20" t="str">
        <f t="shared" si="23"/>
        <v/>
      </c>
    </row>
    <row r="1533" spans="1:1" ht="30" customHeight="1" x14ac:dyDescent="0.2">
      <c r="A1533" s="20" t="str">
        <f t="shared" si="23"/>
        <v/>
      </c>
    </row>
    <row r="1534" spans="1:1" ht="30" customHeight="1" x14ac:dyDescent="0.2">
      <c r="A1534" s="20" t="str">
        <f t="shared" si="23"/>
        <v/>
      </c>
    </row>
    <row r="1535" spans="1:1" ht="30" customHeight="1" x14ac:dyDescent="0.2">
      <c r="A1535" s="20" t="str">
        <f t="shared" si="23"/>
        <v/>
      </c>
    </row>
    <row r="1536" spans="1:1" ht="30" customHeight="1" x14ac:dyDescent="0.2">
      <c r="A1536" s="20" t="str">
        <f t="shared" si="23"/>
        <v/>
      </c>
    </row>
    <row r="1537" spans="1:1" ht="30" customHeight="1" x14ac:dyDescent="0.2">
      <c r="A1537" s="20" t="str">
        <f t="shared" si="23"/>
        <v/>
      </c>
    </row>
    <row r="1538" spans="1:1" ht="30" customHeight="1" x14ac:dyDescent="0.2">
      <c r="A1538" s="20" t="str">
        <f t="shared" si="23"/>
        <v/>
      </c>
    </row>
    <row r="1539" spans="1:1" ht="30" customHeight="1" x14ac:dyDescent="0.2">
      <c r="A1539" s="20" t="str">
        <f t="shared" si="23"/>
        <v/>
      </c>
    </row>
    <row r="1540" spans="1:1" ht="30" customHeight="1" x14ac:dyDescent="0.2">
      <c r="A1540" s="20" t="str">
        <f t="shared" si="23"/>
        <v/>
      </c>
    </row>
    <row r="1541" spans="1:1" ht="30" customHeight="1" x14ac:dyDescent="0.2">
      <c r="A1541" s="20" t="str">
        <f t="shared" si="23"/>
        <v/>
      </c>
    </row>
    <row r="1542" spans="1:1" ht="30" customHeight="1" x14ac:dyDescent="0.2">
      <c r="A1542" s="20" t="str">
        <f t="shared" si="23"/>
        <v/>
      </c>
    </row>
    <row r="1543" spans="1:1" ht="30" customHeight="1" x14ac:dyDescent="0.2">
      <c r="A1543" s="20" t="str">
        <f t="shared" si="23"/>
        <v/>
      </c>
    </row>
    <row r="1544" spans="1:1" ht="30" customHeight="1" x14ac:dyDescent="0.2">
      <c r="A1544" s="20" t="str">
        <f t="shared" si="23"/>
        <v/>
      </c>
    </row>
    <row r="1545" spans="1:1" ht="30" customHeight="1" x14ac:dyDescent="0.2">
      <c r="A1545" s="20" t="str">
        <f t="shared" si="23"/>
        <v/>
      </c>
    </row>
    <row r="1546" spans="1:1" ht="30" customHeight="1" x14ac:dyDescent="0.2">
      <c r="A1546" s="20" t="str">
        <f t="shared" si="23"/>
        <v/>
      </c>
    </row>
    <row r="1547" spans="1:1" ht="30" customHeight="1" x14ac:dyDescent="0.2">
      <c r="A1547" s="20" t="str">
        <f t="shared" si="23"/>
        <v/>
      </c>
    </row>
    <row r="1548" spans="1:1" ht="30" customHeight="1" x14ac:dyDescent="0.2">
      <c r="A1548" s="20" t="str">
        <f t="shared" si="23"/>
        <v/>
      </c>
    </row>
    <row r="1549" spans="1:1" ht="30" customHeight="1" x14ac:dyDescent="0.2">
      <c r="A1549" s="20" t="str">
        <f t="shared" si="23"/>
        <v/>
      </c>
    </row>
    <row r="1550" spans="1:1" ht="30" customHeight="1" x14ac:dyDescent="0.2">
      <c r="A1550" s="20" t="str">
        <f t="shared" si="23"/>
        <v/>
      </c>
    </row>
    <row r="1551" spans="1:1" ht="30" customHeight="1" x14ac:dyDescent="0.2">
      <c r="A1551" s="20" t="str">
        <f t="shared" si="23"/>
        <v/>
      </c>
    </row>
    <row r="1552" spans="1:1" ht="30" customHeight="1" x14ac:dyDescent="0.2">
      <c r="A1552" s="20" t="str">
        <f t="shared" si="23"/>
        <v/>
      </c>
    </row>
    <row r="1553" spans="1:1" ht="30" customHeight="1" x14ac:dyDescent="0.2">
      <c r="A1553" s="20" t="str">
        <f t="shared" si="23"/>
        <v/>
      </c>
    </row>
    <row r="1554" spans="1:1" ht="30" customHeight="1" x14ac:dyDescent="0.2">
      <c r="A1554" s="20" t="str">
        <f t="shared" si="23"/>
        <v/>
      </c>
    </row>
    <row r="1555" spans="1:1" ht="30" customHeight="1" x14ac:dyDescent="0.2">
      <c r="A1555" s="20" t="str">
        <f t="shared" si="23"/>
        <v/>
      </c>
    </row>
    <row r="1556" spans="1:1" ht="30" customHeight="1" x14ac:dyDescent="0.2">
      <c r="A1556" s="20" t="str">
        <f t="shared" si="23"/>
        <v/>
      </c>
    </row>
    <row r="1557" spans="1:1" ht="30" customHeight="1" x14ac:dyDescent="0.2">
      <c r="A1557" s="20" t="str">
        <f t="shared" si="23"/>
        <v/>
      </c>
    </row>
    <row r="1558" spans="1:1" ht="30" customHeight="1" x14ac:dyDescent="0.2">
      <c r="A1558" s="20" t="str">
        <f t="shared" si="23"/>
        <v/>
      </c>
    </row>
    <row r="1559" spans="1:1" ht="30" customHeight="1" x14ac:dyDescent="0.2">
      <c r="A1559" s="20" t="str">
        <f t="shared" si="23"/>
        <v/>
      </c>
    </row>
    <row r="1560" spans="1:1" ht="30" customHeight="1" x14ac:dyDescent="0.2">
      <c r="A1560" s="20" t="str">
        <f t="shared" ref="A1560:A1623" si="24">IF(AND(B1559&lt;&gt;"",B1560=""),$A$22&amp;"---&gt;","")</f>
        <v/>
      </c>
    </row>
    <row r="1561" spans="1:1" ht="30" customHeight="1" x14ac:dyDescent="0.2">
      <c r="A1561" s="20" t="str">
        <f t="shared" si="24"/>
        <v/>
      </c>
    </row>
    <row r="1562" spans="1:1" ht="30" customHeight="1" x14ac:dyDescent="0.2">
      <c r="A1562" s="20" t="str">
        <f t="shared" si="24"/>
        <v/>
      </c>
    </row>
    <row r="1563" spans="1:1" ht="30" customHeight="1" x14ac:dyDescent="0.2">
      <c r="A1563" s="20" t="str">
        <f t="shared" si="24"/>
        <v/>
      </c>
    </row>
    <row r="1564" spans="1:1" ht="30" customHeight="1" x14ac:dyDescent="0.2">
      <c r="A1564" s="20" t="str">
        <f t="shared" si="24"/>
        <v/>
      </c>
    </row>
    <row r="1565" spans="1:1" ht="30" customHeight="1" x14ac:dyDescent="0.2">
      <c r="A1565" s="20" t="str">
        <f t="shared" si="24"/>
        <v/>
      </c>
    </row>
    <row r="1566" spans="1:1" ht="30" customHeight="1" x14ac:dyDescent="0.2">
      <c r="A1566" s="20" t="str">
        <f t="shared" si="24"/>
        <v/>
      </c>
    </row>
    <row r="1567" spans="1:1" ht="30" customHeight="1" x14ac:dyDescent="0.2">
      <c r="A1567" s="20" t="str">
        <f t="shared" si="24"/>
        <v/>
      </c>
    </row>
    <row r="1568" spans="1:1" ht="30" customHeight="1" x14ac:dyDescent="0.2">
      <c r="A1568" s="20" t="str">
        <f t="shared" si="24"/>
        <v/>
      </c>
    </row>
    <row r="1569" spans="1:1" ht="30" customHeight="1" x14ac:dyDescent="0.2">
      <c r="A1569" s="20" t="str">
        <f t="shared" si="24"/>
        <v/>
      </c>
    </row>
    <row r="1570" spans="1:1" ht="30" customHeight="1" x14ac:dyDescent="0.2">
      <c r="A1570" s="20" t="str">
        <f t="shared" si="24"/>
        <v/>
      </c>
    </row>
    <row r="1571" spans="1:1" ht="30" customHeight="1" x14ac:dyDescent="0.2">
      <c r="A1571" s="20" t="str">
        <f t="shared" si="24"/>
        <v/>
      </c>
    </row>
    <row r="1572" spans="1:1" ht="30" customHeight="1" x14ac:dyDescent="0.2">
      <c r="A1572" s="20" t="str">
        <f t="shared" si="24"/>
        <v/>
      </c>
    </row>
    <row r="1573" spans="1:1" ht="30" customHeight="1" x14ac:dyDescent="0.2">
      <c r="A1573" s="20" t="str">
        <f t="shared" si="24"/>
        <v/>
      </c>
    </row>
    <row r="1574" spans="1:1" ht="30" customHeight="1" x14ac:dyDescent="0.2">
      <c r="A1574" s="20" t="str">
        <f t="shared" si="24"/>
        <v/>
      </c>
    </row>
    <row r="1575" spans="1:1" ht="30" customHeight="1" x14ac:dyDescent="0.2">
      <c r="A1575" s="20" t="str">
        <f t="shared" si="24"/>
        <v/>
      </c>
    </row>
    <row r="1576" spans="1:1" ht="30" customHeight="1" x14ac:dyDescent="0.2">
      <c r="A1576" s="20" t="str">
        <f t="shared" si="24"/>
        <v/>
      </c>
    </row>
    <row r="1577" spans="1:1" ht="30" customHeight="1" x14ac:dyDescent="0.2">
      <c r="A1577" s="20" t="str">
        <f t="shared" si="24"/>
        <v/>
      </c>
    </row>
    <row r="1578" spans="1:1" ht="30" customHeight="1" x14ac:dyDescent="0.2">
      <c r="A1578" s="20" t="str">
        <f t="shared" si="24"/>
        <v/>
      </c>
    </row>
    <row r="1579" spans="1:1" ht="30" customHeight="1" x14ac:dyDescent="0.2">
      <c r="A1579" s="20" t="str">
        <f t="shared" si="24"/>
        <v/>
      </c>
    </row>
    <row r="1580" spans="1:1" ht="30" customHeight="1" x14ac:dyDescent="0.2">
      <c r="A1580" s="20" t="str">
        <f t="shared" si="24"/>
        <v/>
      </c>
    </row>
    <row r="1581" spans="1:1" ht="30" customHeight="1" x14ac:dyDescent="0.2">
      <c r="A1581" s="20" t="str">
        <f t="shared" si="24"/>
        <v/>
      </c>
    </row>
    <row r="1582" spans="1:1" ht="30" customHeight="1" x14ac:dyDescent="0.2">
      <c r="A1582" s="20" t="str">
        <f t="shared" si="24"/>
        <v/>
      </c>
    </row>
    <row r="1583" spans="1:1" ht="30" customHeight="1" x14ac:dyDescent="0.2">
      <c r="A1583" s="20" t="str">
        <f t="shared" si="24"/>
        <v/>
      </c>
    </row>
    <row r="1584" spans="1:1" ht="30" customHeight="1" x14ac:dyDescent="0.2">
      <c r="A1584" s="20" t="str">
        <f t="shared" si="24"/>
        <v/>
      </c>
    </row>
    <row r="1585" spans="1:1" ht="30" customHeight="1" x14ac:dyDescent="0.2">
      <c r="A1585" s="20" t="str">
        <f t="shared" si="24"/>
        <v/>
      </c>
    </row>
    <row r="1586" spans="1:1" ht="30" customHeight="1" x14ac:dyDescent="0.2">
      <c r="A1586" s="20" t="str">
        <f t="shared" si="24"/>
        <v/>
      </c>
    </row>
    <row r="1587" spans="1:1" ht="30" customHeight="1" x14ac:dyDescent="0.2">
      <c r="A1587" s="20" t="str">
        <f t="shared" si="24"/>
        <v/>
      </c>
    </row>
    <row r="1588" spans="1:1" ht="30" customHeight="1" x14ac:dyDescent="0.2">
      <c r="A1588" s="20" t="str">
        <f t="shared" si="24"/>
        <v/>
      </c>
    </row>
    <row r="1589" spans="1:1" ht="30" customHeight="1" x14ac:dyDescent="0.2">
      <c r="A1589" s="20" t="str">
        <f t="shared" si="24"/>
        <v/>
      </c>
    </row>
    <row r="1590" spans="1:1" ht="30" customHeight="1" x14ac:dyDescent="0.2">
      <c r="A1590" s="20" t="str">
        <f t="shared" si="24"/>
        <v/>
      </c>
    </row>
    <row r="1591" spans="1:1" ht="30" customHeight="1" x14ac:dyDescent="0.2">
      <c r="A1591" s="20" t="str">
        <f t="shared" si="24"/>
        <v/>
      </c>
    </row>
    <row r="1592" spans="1:1" ht="30" customHeight="1" x14ac:dyDescent="0.2">
      <c r="A1592" s="20" t="str">
        <f t="shared" si="24"/>
        <v/>
      </c>
    </row>
    <row r="1593" spans="1:1" ht="30" customHeight="1" x14ac:dyDescent="0.2">
      <c r="A1593" s="20" t="str">
        <f t="shared" si="24"/>
        <v/>
      </c>
    </row>
    <row r="1594" spans="1:1" ht="30" customHeight="1" x14ac:dyDescent="0.2">
      <c r="A1594" s="20" t="str">
        <f t="shared" si="24"/>
        <v/>
      </c>
    </row>
    <row r="1595" spans="1:1" ht="30" customHeight="1" x14ac:dyDescent="0.2">
      <c r="A1595" s="20" t="str">
        <f t="shared" si="24"/>
        <v/>
      </c>
    </row>
    <row r="1596" spans="1:1" ht="30" customHeight="1" x14ac:dyDescent="0.2">
      <c r="A1596" s="20" t="str">
        <f t="shared" si="24"/>
        <v/>
      </c>
    </row>
    <row r="1597" spans="1:1" ht="30" customHeight="1" x14ac:dyDescent="0.2">
      <c r="A1597" s="20" t="str">
        <f t="shared" si="24"/>
        <v/>
      </c>
    </row>
    <row r="1598" spans="1:1" ht="30" customHeight="1" x14ac:dyDescent="0.2">
      <c r="A1598" s="20" t="str">
        <f t="shared" si="24"/>
        <v/>
      </c>
    </row>
    <row r="1599" spans="1:1" ht="30" customHeight="1" x14ac:dyDescent="0.2">
      <c r="A1599" s="20" t="str">
        <f t="shared" si="24"/>
        <v/>
      </c>
    </row>
    <row r="1600" spans="1:1" ht="30" customHeight="1" x14ac:dyDescent="0.2">
      <c r="A1600" s="20" t="str">
        <f t="shared" si="24"/>
        <v/>
      </c>
    </row>
    <row r="1601" spans="1:1" ht="30" customHeight="1" x14ac:dyDescent="0.2">
      <c r="A1601" s="20" t="str">
        <f t="shared" si="24"/>
        <v/>
      </c>
    </row>
    <row r="1602" spans="1:1" ht="30" customHeight="1" x14ac:dyDescent="0.2">
      <c r="A1602" s="20" t="str">
        <f t="shared" si="24"/>
        <v/>
      </c>
    </row>
    <row r="1603" spans="1:1" ht="30" customHeight="1" x14ac:dyDescent="0.2">
      <c r="A1603" s="20" t="str">
        <f t="shared" si="24"/>
        <v/>
      </c>
    </row>
    <row r="1604" spans="1:1" ht="30" customHeight="1" x14ac:dyDescent="0.2">
      <c r="A1604" s="20" t="str">
        <f t="shared" si="24"/>
        <v/>
      </c>
    </row>
    <row r="1605" spans="1:1" ht="30" customHeight="1" x14ac:dyDescent="0.2">
      <c r="A1605" s="20" t="str">
        <f t="shared" si="24"/>
        <v/>
      </c>
    </row>
    <row r="1606" spans="1:1" ht="30" customHeight="1" x14ac:dyDescent="0.2">
      <c r="A1606" s="20" t="str">
        <f t="shared" si="24"/>
        <v/>
      </c>
    </row>
    <row r="1607" spans="1:1" ht="30" customHeight="1" x14ac:dyDescent="0.2">
      <c r="A1607" s="20" t="str">
        <f t="shared" si="24"/>
        <v/>
      </c>
    </row>
    <row r="1608" spans="1:1" ht="30" customHeight="1" x14ac:dyDescent="0.2">
      <c r="A1608" s="20" t="str">
        <f t="shared" si="24"/>
        <v/>
      </c>
    </row>
    <row r="1609" spans="1:1" ht="30" customHeight="1" x14ac:dyDescent="0.2">
      <c r="A1609" s="20" t="str">
        <f t="shared" si="24"/>
        <v/>
      </c>
    </row>
    <row r="1610" spans="1:1" ht="30" customHeight="1" x14ac:dyDescent="0.2">
      <c r="A1610" s="20" t="str">
        <f t="shared" si="24"/>
        <v/>
      </c>
    </row>
    <row r="1611" spans="1:1" ht="30" customHeight="1" x14ac:dyDescent="0.2">
      <c r="A1611" s="20" t="str">
        <f t="shared" si="24"/>
        <v/>
      </c>
    </row>
    <row r="1612" spans="1:1" ht="30" customHeight="1" x14ac:dyDescent="0.2">
      <c r="A1612" s="20" t="str">
        <f t="shared" si="24"/>
        <v/>
      </c>
    </row>
    <row r="1613" spans="1:1" ht="30" customHeight="1" x14ac:dyDescent="0.2">
      <c r="A1613" s="20" t="str">
        <f t="shared" si="24"/>
        <v/>
      </c>
    </row>
    <row r="1614" spans="1:1" ht="30" customHeight="1" x14ac:dyDescent="0.2">
      <c r="A1614" s="20" t="str">
        <f t="shared" si="24"/>
        <v/>
      </c>
    </row>
    <row r="1615" spans="1:1" ht="30" customHeight="1" x14ac:dyDescent="0.2">
      <c r="A1615" s="20" t="str">
        <f t="shared" si="24"/>
        <v/>
      </c>
    </row>
    <row r="1616" spans="1:1" ht="30" customHeight="1" x14ac:dyDescent="0.2">
      <c r="A1616" s="20" t="str">
        <f t="shared" si="24"/>
        <v/>
      </c>
    </row>
    <row r="1617" spans="1:1" ht="30" customHeight="1" x14ac:dyDescent="0.2">
      <c r="A1617" s="20" t="str">
        <f t="shared" si="24"/>
        <v/>
      </c>
    </row>
    <row r="1618" spans="1:1" ht="30" customHeight="1" x14ac:dyDescent="0.2">
      <c r="A1618" s="20" t="str">
        <f t="shared" si="24"/>
        <v/>
      </c>
    </row>
    <row r="1619" spans="1:1" ht="30" customHeight="1" x14ac:dyDescent="0.2">
      <c r="A1619" s="20" t="str">
        <f t="shared" si="24"/>
        <v/>
      </c>
    </row>
    <row r="1620" spans="1:1" ht="30" customHeight="1" x14ac:dyDescent="0.2">
      <c r="A1620" s="20" t="str">
        <f t="shared" si="24"/>
        <v/>
      </c>
    </row>
    <row r="1621" spans="1:1" ht="30" customHeight="1" x14ac:dyDescent="0.2">
      <c r="A1621" s="20" t="str">
        <f t="shared" si="24"/>
        <v/>
      </c>
    </row>
    <row r="1622" spans="1:1" ht="30" customHeight="1" x14ac:dyDescent="0.2">
      <c r="A1622" s="20" t="str">
        <f t="shared" si="24"/>
        <v/>
      </c>
    </row>
    <row r="1623" spans="1:1" ht="30" customHeight="1" x14ac:dyDescent="0.2">
      <c r="A1623" s="20" t="str">
        <f t="shared" si="24"/>
        <v/>
      </c>
    </row>
    <row r="1624" spans="1:1" ht="30" customHeight="1" x14ac:dyDescent="0.2">
      <c r="A1624" s="20" t="str">
        <f t="shared" ref="A1624:A1687" si="25">IF(AND(B1623&lt;&gt;"",B1624=""),$A$22&amp;"---&gt;","")</f>
        <v/>
      </c>
    </row>
    <row r="1625" spans="1:1" ht="30" customHeight="1" x14ac:dyDescent="0.2">
      <c r="A1625" s="20" t="str">
        <f t="shared" si="25"/>
        <v/>
      </c>
    </row>
    <row r="1626" spans="1:1" ht="30" customHeight="1" x14ac:dyDescent="0.2">
      <c r="A1626" s="20" t="str">
        <f t="shared" si="25"/>
        <v/>
      </c>
    </row>
    <row r="1627" spans="1:1" ht="30" customHeight="1" x14ac:dyDescent="0.2">
      <c r="A1627" s="20" t="str">
        <f t="shared" si="25"/>
        <v/>
      </c>
    </row>
    <row r="1628" spans="1:1" ht="30" customHeight="1" x14ac:dyDescent="0.2">
      <c r="A1628" s="20" t="str">
        <f t="shared" si="25"/>
        <v/>
      </c>
    </row>
    <row r="1629" spans="1:1" ht="30" customHeight="1" x14ac:dyDescent="0.2">
      <c r="A1629" s="20" t="str">
        <f t="shared" si="25"/>
        <v/>
      </c>
    </row>
    <row r="1630" spans="1:1" ht="30" customHeight="1" x14ac:dyDescent="0.2">
      <c r="A1630" s="20" t="str">
        <f t="shared" si="25"/>
        <v/>
      </c>
    </row>
    <row r="1631" spans="1:1" ht="30" customHeight="1" x14ac:dyDescent="0.2">
      <c r="A1631" s="20" t="str">
        <f t="shared" si="25"/>
        <v/>
      </c>
    </row>
    <row r="1632" spans="1:1" ht="30" customHeight="1" x14ac:dyDescent="0.2">
      <c r="A1632" s="20" t="str">
        <f t="shared" si="25"/>
        <v/>
      </c>
    </row>
    <row r="1633" spans="1:1" ht="30" customHeight="1" x14ac:dyDescent="0.2">
      <c r="A1633" s="20" t="str">
        <f t="shared" si="25"/>
        <v/>
      </c>
    </row>
    <row r="1634" spans="1:1" ht="30" customHeight="1" x14ac:dyDescent="0.2">
      <c r="A1634" s="20" t="str">
        <f t="shared" si="25"/>
        <v/>
      </c>
    </row>
    <row r="1635" spans="1:1" ht="30" customHeight="1" x14ac:dyDescent="0.2">
      <c r="A1635" s="20" t="str">
        <f t="shared" si="25"/>
        <v/>
      </c>
    </row>
    <row r="1636" spans="1:1" ht="30" customHeight="1" x14ac:dyDescent="0.2">
      <c r="A1636" s="20" t="str">
        <f t="shared" si="25"/>
        <v/>
      </c>
    </row>
    <row r="1637" spans="1:1" ht="30" customHeight="1" x14ac:dyDescent="0.2">
      <c r="A1637" s="20" t="str">
        <f t="shared" si="25"/>
        <v/>
      </c>
    </row>
    <row r="1638" spans="1:1" ht="30" customHeight="1" x14ac:dyDescent="0.2">
      <c r="A1638" s="20" t="str">
        <f t="shared" si="25"/>
        <v/>
      </c>
    </row>
    <row r="1639" spans="1:1" ht="30" customHeight="1" x14ac:dyDescent="0.2">
      <c r="A1639" s="20" t="str">
        <f t="shared" si="25"/>
        <v/>
      </c>
    </row>
    <row r="1640" spans="1:1" ht="30" customHeight="1" x14ac:dyDescent="0.2">
      <c r="A1640" s="20" t="str">
        <f t="shared" si="25"/>
        <v/>
      </c>
    </row>
    <row r="1641" spans="1:1" ht="30" customHeight="1" x14ac:dyDescent="0.2">
      <c r="A1641" s="20" t="str">
        <f t="shared" si="25"/>
        <v/>
      </c>
    </row>
    <row r="1642" spans="1:1" ht="30" customHeight="1" x14ac:dyDescent="0.2">
      <c r="A1642" s="20" t="str">
        <f t="shared" si="25"/>
        <v/>
      </c>
    </row>
    <row r="1643" spans="1:1" ht="30" customHeight="1" x14ac:dyDescent="0.2">
      <c r="A1643" s="20" t="str">
        <f t="shared" si="25"/>
        <v/>
      </c>
    </row>
    <row r="1644" spans="1:1" ht="30" customHeight="1" x14ac:dyDescent="0.2">
      <c r="A1644" s="20" t="str">
        <f t="shared" si="25"/>
        <v/>
      </c>
    </row>
    <row r="1645" spans="1:1" ht="30" customHeight="1" x14ac:dyDescent="0.2">
      <c r="A1645" s="20" t="str">
        <f t="shared" si="25"/>
        <v/>
      </c>
    </row>
    <row r="1646" spans="1:1" ht="30" customHeight="1" x14ac:dyDescent="0.2">
      <c r="A1646" s="20" t="str">
        <f t="shared" si="25"/>
        <v/>
      </c>
    </row>
    <row r="1647" spans="1:1" ht="30" customHeight="1" x14ac:dyDescent="0.2">
      <c r="A1647" s="20" t="str">
        <f t="shared" si="25"/>
        <v/>
      </c>
    </row>
    <row r="1648" spans="1:1" ht="30" customHeight="1" x14ac:dyDescent="0.2">
      <c r="A1648" s="20" t="str">
        <f t="shared" si="25"/>
        <v/>
      </c>
    </row>
    <row r="1649" spans="1:1" ht="30" customHeight="1" x14ac:dyDescent="0.2">
      <c r="A1649" s="20" t="str">
        <f t="shared" si="25"/>
        <v/>
      </c>
    </row>
    <row r="1650" spans="1:1" ht="30" customHeight="1" x14ac:dyDescent="0.2">
      <c r="A1650" s="20" t="str">
        <f t="shared" si="25"/>
        <v/>
      </c>
    </row>
    <row r="1651" spans="1:1" ht="30" customHeight="1" x14ac:dyDescent="0.2">
      <c r="A1651" s="20" t="str">
        <f t="shared" si="25"/>
        <v/>
      </c>
    </row>
    <row r="1652" spans="1:1" ht="30" customHeight="1" x14ac:dyDescent="0.2">
      <c r="A1652" s="20" t="str">
        <f t="shared" si="25"/>
        <v/>
      </c>
    </row>
    <row r="1653" spans="1:1" ht="30" customHeight="1" x14ac:dyDescent="0.2">
      <c r="A1653" s="20" t="str">
        <f t="shared" si="25"/>
        <v/>
      </c>
    </row>
    <row r="1654" spans="1:1" ht="30" customHeight="1" x14ac:dyDescent="0.2">
      <c r="A1654" s="20" t="str">
        <f t="shared" si="25"/>
        <v/>
      </c>
    </row>
    <row r="1655" spans="1:1" ht="30" customHeight="1" x14ac:dyDescent="0.2">
      <c r="A1655" s="20" t="str">
        <f t="shared" si="25"/>
        <v/>
      </c>
    </row>
    <row r="1656" spans="1:1" ht="30" customHeight="1" x14ac:dyDescent="0.2">
      <c r="A1656" s="20" t="str">
        <f t="shared" si="25"/>
        <v/>
      </c>
    </row>
    <row r="1657" spans="1:1" ht="30" customHeight="1" x14ac:dyDescent="0.2">
      <c r="A1657" s="20" t="str">
        <f t="shared" si="25"/>
        <v/>
      </c>
    </row>
    <row r="1658" spans="1:1" ht="30" customHeight="1" x14ac:dyDescent="0.2">
      <c r="A1658" s="20" t="str">
        <f t="shared" si="25"/>
        <v/>
      </c>
    </row>
    <row r="1659" spans="1:1" ht="30" customHeight="1" x14ac:dyDescent="0.2">
      <c r="A1659" s="20" t="str">
        <f t="shared" si="25"/>
        <v/>
      </c>
    </row>
    <row r="1660" spans="1:1" ht="30" customHeight="1" x14ac:dyDescent="0.2">
      <c r="A1660" s="20" t="str">
        <f t="shared" si="25"/>
        <v/>
      </c>
    </row>
    <row r="1661" spans="1:1" ht="30" customHeight="1" x14ac:dyDescent="0.2">
      <c r="A1661" s="20" t="str">
        <f t="shared" si="25"/>
        <v/>
      </c>
    </row>
    <row r="1662" spans="1:1" ht="30" customHeight="1" x14ac:dyDescent="0.2">
      <c r="A1662" s="20" t="str">
        <f t="shared" si="25"/>
        <v/>
      </c>
    </row>
    <row r="1663" spans="1:1" ht="30" customHeight="1" x14ac:dyDescent="0.2">
      <c r="A1663" s="20" t="str">
        <f t="shared" si="25"/>
        <v/>
      </c>
    </row>
    <row r="1664" spans="1:1" ht="30" customHeight="1" x14ac:dyDescent="0.2">
      <c r="A1664" s="20" t="str">
        <f t="shared" si="25"/>
        <v/>
      </c>
    </row>
    <row r="1665" spans="1:1" ht="30" customHeight="1" x14ac:dyDescent="0.2">
      <c r="A1665" s="20" t="str">
        <f t="shared" si="25"/>
        <v/>
      </c>
    </row>
    <row r="1666" spans="1:1" ht="30" customHeight="1" x14ac:dyDescent="0.2">
      <c r="A1666" s="20" t="str">
        <f t="shared" si="25"/>
        <v/>
      </c>
    </row>
    <row r="1667" spans="1:1" ht="30" customHeight="1" x14ac:dyDescent="0.2">
      <c r="A1667" s="20" t="str">
        <f t="shared" si="25"/>
        <v/>
      </c>
    </row>
    <row r="1668" spans="1:1" ht="30" customHeight="1" x14ac:dyDescent="0.2">
      <c r="A1668" s="20" t="str">
        <f t="shared" si="25"/>
        <v/>
      </c>
    </row>
    <row r="1669" spans="1:1" ht="30" customHeight="1" x14ac:dyDescent="0.2">
      <c r="A1669" s="20" t="str">
        <f t="shared" si="25"/>
        <v/>
      </c>
    </row>
    <row r="1670" spans="1:1" ht="30" customHeight="1" x14ac:dyDescent="0.2">
      <c r="A1670" s="20" t="str">
        <f t="shared" si="25"/>
        <v/>
      </c>
    </row>
    <row r="1671" spans="1:1" ht="30" customHeight="1" x14ac:dyDescent="0.2">
      <c r="A1671" s="20" t="str">
        <f t="shared" si="25"/>
        <v/>
      </c>
    </row>
    <row r="1672" spans="1:1" ht="30" customHeight="1" x14ac:dyDescent="0.2">
      <c r="A1672" s="20" t="str">
        <f t="shared" si="25"/>
        <v/>
      </c>
    </row>
    <row r="1673" spans="1:1" ht="30" customHeight="1" x14ac:dyDescent="0.2">
      <c r="A1673" s="20" t="str">
        <f t="shared" si="25"/>
        <v/>
      </c>
    </row>
    <row r="1674" spans="1:1" ht="30" customHeight="1" x14ac:dyDescent="0.2">
      <c r="A1674" s="20" t="str">
        <f t="shared" si="25"/>
        <v/>
      </c>
    </row>
    <row r="1675" spans="1:1" ht="30" customHeight="1" x14ac:dyDescent="0.2">
      <c r="A1675" s="20" t="str">
        <f t="shared" si="25"/>
        <v/>
      </c>
    </row>
    <row r="1676" spans="1:1" ht="30" customHeight="1" x14ac:dyDescent="0.2">
      <c r="A1676" s="20" t="str">
        <f t="shared" si="25"/>
        <v/>
      </c>
    </row>
    <row r="1677" spans="1:1" ht="30" customHeight="1" x14ac:dyDescent="0.2">
      <c r="A1677" s="20" t="str">
        <f t="shared" si="25"/>
        <v/>
      </c>
    </row>
    <row r="1678" spans="1:1" ht="30" customHeight="1" x14ac:dyDescent="0.2">
      <c r="A1678" s="20" t="str">
        <f t="shared" si="25"/>
        <v/>
      </c>
    </row>
    <row r="1679" spans="1:1" ht="30" customHeight="1" x14ac:dyDescent="0.2">
      <c r="A1679" s="20" t="str">
        <f t="shared" si="25"/>
        <v/>
      </c>
    </row>
    <row r="1680" spans="1:1" ht="30" customHeight="1" x14ac:dyDescent="0.2">
      <c r="A1680" s="20" t="str">
        <f t="shared" si="25"/>
        <v/>
      </c>
    </row>
    <row r="1681" spans="1:1" ht="30" customHeight="1" x14ac:dyDescent="0.2">
      <c r="A1681" s="20" t="str">
        <f t="shared" si="25"/>
        <v/>
      </c>
    </row>
    <row r="1682" spans="1:1" ht="30" customHeight="1" x14ac:dyDescent="0.2">
      <c r="A1682" s="20" t="str">
        <f t="shared" si="25"/>
        <v/>
      </c>
    </row>
    <row r="1683" spans="1:1" ht="30" customHeight="1" x14ac:dyDescent="0.2">
      <c r="A1683" s="20" t="str">
        <f t="shared" si="25"/>
        <v/>
      </c>
    </row>
    <row r="1684" spans="1:1" ht="30" customHeight="1" x14ac:dyDescent="0.2">
      <c r="A1684" s="20" t="str">
        <f t="shared" si="25"/>
        <v/>
      </c>
    </row>
    <row r="1685" spans="1:1" ht="30" customHeight="1" x14ac:dyDescent="0.2">
      <c r="A1685" s="20" t="str">
        <f t="shared" si="25"/>
        <v/>
      </c>
    </row>
    <row r="1686" spans="1:1" ht="30" customHeight="1" x14ac:dyDescent="0.2">
      <c r="A1686" s="20" t="str">
        <f t="shared" si="25"/>
        <v/>
      </c>
    </row>
    <row r="1687" spans="1:1" ht="30" customHeight="1" x14ac:dyDescent="0.2">
      <c r="A1687" s="20" t="str">
        <f t="shared" si="25"/>
        <v/>
      </c>
    </row>
    <row r="1688" spans="1:1" ht="30" customHeight="1" x14ac:dyDescent="0.2">
      <c r="A1688" s="20" t="str">
        <f t="shared" ref="A1688:A1751" si="26">IF(AND(B1687&lt;&gt;"",B1688=""),$A$22&amp;"---&gt;","")</f>
        <v/>
      </c>
    </row>
    <row r="1689" spans="1:1" ht="30" customHeight="1" x14ac:dyDescent="0.2">
      <c r="A1689" s="20" t="str">
        <f t="shared" si="26"/>
        <v/>
      </c>
    </row>
    <row r="1690" spans="1:1" ht="30" customHeight="1" x14ac:dyDescent="0.2">
      <c r="A1690" s="20" t="str">
        <f t="shared" si="26"/>
        <v/>
      </c>
    </row>
    <row r="1691" spans="1:1" ht="30" customHeight="1" x14ac:dyDescent="0.2">
      <c r="A1691" s="20" t="str">
        <f t="shared" si="26"/>
        <v/>
      </c>
    </row>
    <row r="1692" spans="1:1" ht="30" customHeight="1" x14ac:dyDescent="0.2">
      <c r="A1692" s="20" t="str">
        <f t="shared" si="26"/>
        <v/>
      </c>
    </row>
    <row r="1693" spans="1:1" ht="30" customHeight="1" x14ac:dyDescent="0.2">
      <c r="A1693" s="20" t="str">
        <f t="shared" si="26"/>
        <v/>
      </c>
    </row>
    <row r="1694" spans="1:1" ht="30" customHeight="1" x14ac:dyDescent="0.2">
      <c r="A1694" s="20" t="str">
        <f t="shared" si="26"/>
        <v/>
      </c>
    </row>
    <row r="1695" spans="1:1" ht="30" customHeight="1" x14ac:dyDescent="0.2">
      <c r="A1695" s="20" t="str">
        <f t="shared" si="26"/>
        <v/>
      </c>
    </row>
    <row r="1696" spans="1:1" ht="30" customHeight="1" x14ac:dyDescent="0.2">
      <c r="A1696" s="20" t="str">
        <f t="shared" si="26"/>
        <v/>
      </c>
    </row>
    <row r="1697" spans="1:1" ht="30" customHeight="1" x14ac:dyDescent="0.2">
      <c r="A1697" s="20" t="str">
        <f t="shared" si="26"/>
        <v/>
      </c>
    </row>
    <row r="1698" spans="1:1" ht="30" customHeight="1" x14ac:dyDescent="0.2">
      <c r="A1698" s="20" t="str">
        <f t="shared" si="26"/>
        <v/>
      </c>
    </row>
    <row r="1699" spans="1:1" ht="30" customHeight="1" x14ac:dyDescent="0.2">
      <c r="A1699" s="20" t="str">
        <f t="shared" si="26"/>
        <v/>
      </c>
    </row>
    <row r="1700" spans="1:1" ht="30" customHeight="1" x14ac:dyDescent="0.2">
      <c r="A1700" s="20" t="str">
        <f t="shared" si="26"/>
        <v/>
      </c>
    </row>
    <row r="1701" spans="1:1" ht="30" customHeight="1" x14ac:dyDescent="0.2">
      <c r="A1701" s="20" t="str">
        <f t="shared" si="26"/>
        <v/>
      </c>
    </row>
    <row r="1702" spans="1:1" ht="30" customHeight="1" x14ac:dyDescent="0.2">
      <c r="A1702" s="20" t="str">
        <f t="shared" si="26"/>
        <v/>
      </c>
    </row>
    <row r="1703" spans="1:1" ht="30" customHeight="1" x14ac:dyDescent="0.2">
      <c r="A1703" s="20" t="str">
        <f t="shared" si="26"/>
        <v/>
      </c>
    </row>
    <row r="1704" spans="1:1" ht="30" customHeight="1" x14ac:dyDescent="0.2">
      <c r="A1704" s="20" t="str">
        <f t="shared" si="26"/>
        <v/>
      </c>
    </row>
    <row r="1705" spans="1:1" ht="30" customHeight="1" x14ac:dyDescent="0.2">
      <c r="A1705" s="20" t="str">
        <f t="shared" si="26"/>
        <v/>
      </c>
    </row>
    <row r="1706" spans="1:1" ht="30" customHeight="1" x14ac:dyDescent="0.2">
      <c r="A1706" s="20" t="str">
        <f t="shared" si="26"/>
        <v/>
      </c>
    </row>
    <row r="1707" spans="1:1" ht="30" customHeight="1" x14ac:dyDescent="0.2">
      <c r="A1707" s="20" t="str">
        <f t="shared" si="26"/>
        <v/>
      </c>
    </row>
    <row r="1708" spans="1:1" ht="30" customHeight="1" x14ac:dyDescent="0.2">
      <c r="A1708" s="20" t="str">
        <f t="shared" si="26"/>
        <v/>
      </c>
    </row>
    <row r="1709" spans="1:1" ht="30" customHeight="1" x14ac:dyDescent="0.2">
      <c r="A1709" s="20" t="str">
        <f t="shared" si="26"/>
        <v/>
      </c>
    </row>
    <row r="1710" spans="1:1" ht="30" customHeight="1" x14ac:dyDescent="0.2">
      <c r="A1710" s="20" t="str">
        <f t="shared" si="26"/>
        <v/>
      </c>
    </row>
    <row r="1711" spans="1:1" ht="30" customHeight="1" x14ac:dyDescent="0.2">
      <c r="A1711" s="20" t="str">
        <f t="shared" si="26"/>
        <v/>
      </c>
    </row>
    <row r="1712" spans="1:1" ht="30" customHeight="1" x14ac:dyDescent="0.2">
      <c r="A1712" s="20" t="str">
        <f t="shared" si="26"/>
        <v/>
      </c>
    </row>
    <row r="1713" spans="1:1" ht="30" customHeight="1" x14ac:dyDescent="0.2">
      <c r="A1713" s="20" t="str">
        <f t="shared" si="26"/>
        <v/>
      </c>
    </row>
    <row r="1714" spans="1:1" ht="30" customHeight="1" x14ac:dyDescent="0.2">
      <c r="A1714" s="20" t="str">
        <f t="shared" si="26"/>
        <v/>
      </c>
    </row>
    <row r="1715" spans="1:1" ht="30" customHeight="1" x14ac:dyDescent="0.2">
      <c r="A1715" s="20" t="str">
        <f t="shared" si="26"/>
        <v/>
      </c>
    </row>
    <row r="1716" spans="1:1" ht="30" customHeight="1" x14ac:dyDescent="0.2">
      <c r="A1716" s="20" t="str">
        <f t="shared" si="26"/>
        <v/>
      </c>
    </row>
    <row r="1717" spans="1:1" ht="30" customHeight="1" x14ac:dyDescent="0.2">
      <c r="A1717" s="20" t="str">
        <f t="shared" si="26"/>
        <v/>
      </c>
    </row>
    <row r="1718" spans="1:1" ht="30" customHeight="1" x14ac:dyDescent="0.2">
      <c r="A1718" s="20" t="str">
        <f t="shared" si="26"/>
        <v/>
      </c>
    </row>
    <row r="1719" spans="1:1" ht="30" customHeight="1" x14ac:dyDescent="0.2">
      <c r="A1719" s="20" t="str">
        <f t="shared" si="26"/>
        <v/>
      </c>
    </row>
    <row r="1720" spans="1:1" ht="30" customHeight="1" x14ac:dyDescent="0.2">
      <c r="A1720" s="20" t="str">
        <f t="shared" si="26"/>
        <v/>
      </c>
    </row>
    <row r="1721" spans="1:1" ht="30" customHeight="1" x14ac:dyDescent="0.2">
      <c r="A1721" s="20" t="str">
        <f t="shared" si="26"/>
        <v/>
      </c>
    </row>
    <row r="1722" spans="1:1" ht="30" customHeight="1" x14ac:dyDescent="0.2">
      <c r="A1722" s="20" t="str">
        <f t="shared" si="26"/>
        <v/>
      </c>
    </row>
    <row r="1723" spans="1:1" ht="30" customHeight="1" x14ac:dyDescent="0.2">
      <c r="A1723" s="20" t="str">
        <f t="shared" si="26"/>
        <v/>
      </c>
    </row>
    <row r="1724" spans="1:1" ht="30" customHeight="1" x14ac:dyDescent="0.2">
      <c r="A1724" s="20" t="str">
        <f t="shared" si="26"/>
        <v/>
      </c>
    </row>
    <row r="1725" spans="1:1" ht="30" customHeight="1" x14ac:dyDescent="0.2">
      <c r="A1725" s="20" t="str">
        <f t="shared" si="26"/>
        <v/>
      </c>
    </row>
    <row r="1726" spans="1:1" ht="30" customHeight="1" x14ac:dyDescent="0.2">
      <c r="A1726" s="20" t="str">
        <f t="shared" si="26"/>
        <v/>
      </c>
    </row>
    <row r="1727" spans="1:1" ht="30" customHeight="1" x14ac:dyDescent="0.2">
      <c r="A1727" s="20" t="str">
        <f t="shared" si="26"/>
        <v/>
      </c>
    </row>
    <row r="1728" spans="1:1" ht="30" customHeight="1" x14ac:dyDescent="0.2">
      <c r="A1728" s="20" t="str">
        <f t="shared" si="26"/>
        <v/>
      </c>
    </row>
    <row r="1729" spans="1:1" ht="30" customHeight="1" x14ac:dyDescent="0.2">
      <c r="A1729" s="20" t="str">
        <f t="shared" si="26"/>
        <v/>
      </c>
    </row>
    <row r="1730" spans="1:1" ht="30" customHeight="1" x14ac:dyDescent="0.2">
      <c r="A1730" s="20" t="str">
        <f t="shared" si="26"/>
        <v/>
      </c>
    </row>
    <row r="1731" spans="1:1" ht="30" customHeight="1" x14ac:dyDescent="0.2">
      <c r="A1731" s="20" t="str">
        <f t="shared" si="26"/>
        <v/>
      </c>
    </row>
    <row r="1732" spans="1:1" ht="30" customHeight="1" x14ac:dyDescent="0.2">
      <c r="A1732" s="20" t="str">
        <f t="shared" si="26"/>
        <v/>
      </c>
    </row>
    <row r="1733" spans="1:1" ht="30" customHeight="1" x14ac:dyDescent="0.2">
      <c r="A1733" s="20" t="str">
        <f t="shared" si="26"/>
        <v/>
      </c>
    </row>
    <row r="1734" spans="1:1" ht="30" customHeight="1" x14ac:dyDescent="0.2">
      <c r="A1734" s="20" t="str">
        <f t="shared" si="26"/>
        <v/>
      </c>
    </row>
    <row r="1735" spans="1:1" ht="30" customHeight="1" x14ac:dyDescent="0.2">
      <c r="A1735" s="20" t="str">
        <f t="shared" si="26"/>
        <v/>
      </c>
    </row>
    <row r="1736" spans="1:1" ht="30" customHeight="1" x14ac:dyDescent="0.2">
      <c r="A1736" s="20" t="str">
        <f t="shared" si="26"/>
        <v/>
      </c>
    </row>
    <row r="1737" spans="1:1" ht="30" customHeight="1" x14ac:dyDescent="0.2">
      <c r="A1737" s="20" t="str">
        <f t="shared" si="26"/>
        <v/>
      </c>
    </row>
    <row r="1738" spans="1:1" ht="30" customHeight="1" x14ac:dyDescent="0.2">
      <c r="A1738" s="20" t="str">
        <f t="shared" si="26"/>
        <v/>
      </c>
    </row>
    <row r="1739" spans="1:1" ht="30" customHeight="1" x14ac:dyDescent="0.2">
      <c r="A1739" s="20" t="str">
        <f t="shared" si="26"/>
        <v/>
      </c>
    </row>
    <row r="1740" spans="1:1" ht="30" customHeight="1" x14ac:dyDescent="0.2">
      <c r="A1740" s="20" t="str">
        <f t="shared" si="26"/>
        <v/>
      </c>
    </row>
    <row r="1741" spans="1:1" ht="30" customHeight="1" x14ac:dyDescent="0.2">
      <c r="A1741" s="20" t="str">
        <f t="shared" si="26"/>
        <v/>
      </c>
    </row>
    <row r="1742" spans="1:1" ht="30" customHeight="1" x14ac:dyDescent="0.2">
      <c r="A1742" s="20" t="str">
        <f t="shared" si="26"/>
        <v/>
      </c>
    </row>
    <row r="1743" spans="1:1" ht="30" customHeight="1" x14ac:dyDescent="0.2">
      <c r="A1743" s="20" t="str">
        <f t="shared" si="26"/>
        <v/>
      </c>
    </row>
    <row r="1744" spans="1:1" ht="30" customHeight="1" x14ac:dyDescent="0.2">
      <c r="A1744" s="20" t="str">
        <f t="shared" si="26"/>
        <v/>
      </c>
    </row>
    <row r="1745" spans="1:1" ht="30" customHeight="1" x14ac:dyDescent="0.2">
      <c r="A1745" s="20" t="str">
        <f t="shared" si="26"/>
        <v/>
      </c>
    </row>
    <row r="1746" spans="1:1" ht="30" customHeight="1" x14ac:dyDescent="0.2">
      <c r="A1746" s="20" t="str">
        <f t="shared" si="26"/>
        <v/>
      </c>
    </row>
    <row r="1747" spans="1:1" ht="30" customHeight="1" x14ac:dyDescent="0.2">
      <c r="A1747" s="20" t="str">
        <f t="shared" si="26"/>
        <v/>
      </c>
    </row>
    <row r="1748" spans="1:1" ht="30" customHeight="1" x14ac:dyDescent="0.2">
      <c r="A1748" s="20" t="str">
        <f t="shared" si="26"/>
        <v/>
      </c>
    </row>
    <row r="1749" spans="1:1" ht="30" customHeight="1" x14ac:dyDescent="0.2">
      <c r="A1749" s="20" t="str">
        <f t="shared" si="26"/>
        <v/>
      </c>
    </row>
    <row r="1750" spans="1:1" ht="30" customHeight="1" x14ac:dyDescent="0.2">
      <c r="A1750" s="20" t="str">
        <f t="shared" si="26"/>
        <v/>
      </c>
    </row>
    <row r="1751" spans="1:1" ht="30" customHeight="1" x14ac:dyDescent="0.2">
      <c r="A1751" s="20" t="str">
        <f t="shared" si="26"/>
        <v/>
      </c>
    </row>
    <row r="1752" spans="1:1" ht="30" customHeight="1" x14ac:dyDescent="0.2">
      <c r="A1752" s="20" t="str">
        <f t="shared" ref="A1752:A1815" si="27">IF(AND(B1751&lt;&gt;"",B1752=""),$A$22&amp;"---&gt;","")</f>
        <v/>
      </c>
    </row>
    <row r="1753" spans="1:1" ht="30" customHeight="1" x14ac:dyDescent="0.2">
      <c r="A1753" s="20" t="str">
        <f t="shared" si="27"/>
        <v/>
      </c>
    </row>
    <row r="1754" spans="1:1" ht="30" customHeight="1" x14ac:dyDescent="0.2">
      <c r="A1754" s="20" t="str">
        <f t="shared" si="27"/>
        <v/>
      </c>
    </row>
    <row r="1755" spans="1:1" ht="30" customHeight="1" x14ac:dyDescent="0.2">
      <c r="A1755" s="20" t="str">
        <f t="shared" si="27"/>
        <v/>
      </c>
    </row>
    <row r="1756" spans="1:1" ht="30" customHeight="1" x14ac:dyDescent="0.2">
      <c r="A1756" s="20" t="str">
        <f t="shared" si="27"/>
        <v/>
      </c>
    </row>
    <row r="1757" spans="1:1" ht="30" customHeight="1" x14ac:dyDescent="0.2">
      <c r="A1757" s="20" t="str">
        <f t="shared" si="27"/>
        <v/>
      </c>
    </row>
    <row r="1758" spans="1:1" ht="30" customHeight="1" x14ac:dyDescent="0.2">
      <c r="A1758" s="20" t="str">
        <f t="shared" si="27"/>
        <v/>
      </c>
    </row>
    <row r="1759" spans="1:1" ht="30" customHeight="1" x14ac:dyDescent="0.2">
      <c r="A1759" s="20" t="str">
        <f t="shared" si="27"/>
        <v/>
      </c>
    </row>
    <row r="1760" spans="1:1" ht="30" customHeight="1" x14ac:dyDescent="0.2">
      <c r="A1760" s="20" t="str">
        <f t="shared" si="27"/>
        <v/>
      </c>
    </row>
    <row r="1761" spans="1:1" ht="30" customHeight="1" x14ac:dyDescent="0.2">
      <c r="A1761" s="20" t="str">
        <f t="shared" si="27"/>
        <v/>
      </c>
    </row>
    <row r="1762" spans="1:1" ht="30" customHeight="1" x14ac:dyDescent="0.2">
      <c r="A1762" s="20" t="str">
        <f t="shared" si="27"/>
        <v/>
      </c>
    </row>
    <row r="1763" spans="1:1" ht="30" customHeight="1" x14ac:dyDescent="0.2">
      <c r="A1763" s="20" t="str">
        <f t="shared" si="27"/>
        <v/>
      </c>
    </row>
    <row r="1764" spans="1:1" ht="30" customHeight="1" x14ac:dyDescent="0.2">
      <c r="A1764" s="20" t="str">
        <f t="shared" si="27"/>
        <v/>
      </c>
    </row>
    <row r="1765" spans="1:1" ht="30" customHeight="1" x14ac:dyDescent="0.2">
      <c r="A1765" s="20" t="str">
        <f t="shared" si="27"/>
        <v/>
      </c>
    </row>
    <row r="1766" spans="1:1" ht="30" customHeight="1" x14ac:dyDescent="0.2">
      <c r="A1766" s="20" t="str">
        <f t="shared" si="27"/>
        <v/>
      </c>
    </row>
    <row r="1767" spans="1:1" ht="30" customHeight="1" x14ac:dyDescent="0.2">
      <c r="A1767" s="20" t="str">
        <f t="shared" si="27"/>
        <v/>
      </c>
    </row>
    <row r="1768" spans="1:1" ht="30" customHeight="1" x14ac:dyDescent="0.2">
      <c r="A1768" s="20" t="str">
        <f t="shared" si="27"/>
        <v/>
      </c>
    </row>
    <row r="1769" spans="1:1" ht="30" customHeight="1" x14ac:dyDescent="0.2">
      <c r="A1769" s="20" t="str">
        <f t="shared" si="27"/>
        <v/>
      </c>
    </row>
    <row r="1770" spans="1:1" ht="30" customHeight="1" x14ac:dyDescent="0.2">
      <c r="A1770" s="20" t="str">
        <f t="shared" si="27"/>
        <v/>
      </c>
    </row>
    <row r="1771" spans="1:1" ht="30" customHeight="1" x14ac:dyDescent="0.2">
      <c r="A1771" s="20" t="str">
        <f t="shared" si="27"/>
        <v/>
      </c>
    </row>
    <row r="1772" spans="1:1" ht="30" customHeight="1" x14ac:dyDescent="0.2">
      <c r="A1772" s="20" t="str">
        <f t="shared" si="27"/>
        <v/>
      </c>
    </row>
    <row r="1773" spans="1:1" ht="30" customHeight="1" x14ac:dyDescent="0.2">
      <c r="A1773" s="20" t="str">
        <f t="shared" si="27"/>
        <v/>
      </c>
    </row>
    <row r="1774" spans="1:1" ht="30" customHeight="1" x14ac:dyDescent="0.2">
      <c r="A1774" s="20" t="str">
        <f t="shared" si="27"/>
        <v/>
      </c>
    </row>
    <row r="1775" spans="1:1" ht="30" customHeight="1" x14ac:dyDescent="0.2">
      <c r="A1775" s="20" t="str">
        <f t="shared" si="27"/>
        <v/>
      </c>
    </row>
    <row r="1776" spans="1:1" ht="30" customHeight="1" x14ac:dyDescent="0.2">
      <c r="A1776" s="20" t="str">
        <f t="shared" si="27"/>
        <v/>
      </c>
    </row>
    <row r="1777" spans="1:1" ht="30" customHeight="1" x14ac:dyDescent="0.2">
      <c r="A1777" s="20" t="str">
        <f t="shared" si="27"/>
        <v/>
      </c>
    </row>
    <row r="1778" spans="1:1" ht="30" customHeight="1" x14ac:dyDescent="0.2">
      <c r="A1778" s="20" t="str">
        <f t="shared" si="27"/>
        <v/>
      </c>
    </row>
    <row r="1779" spans="1:1" ht="30" customHeight="1" x14ac:dyDescent="0.2">
      <c r="A1779" s="20" t="str">
        <f t="shared" si="27"/>
        <v/>
      </c>
    </row>
    <row r="1780" spans="1:1" ht="30" customHeight="1" x14ac:dyDescent="0.2">
      <c r="A1780" s="20" t="str">
        <f t="shared" si="27"/>
        <v/>
      </c>
    </row>
    <row r="1781" spans="1:1" ht="30" customHeight="1" x14ac:dyDescent="0.2">
      <c r="A1781" s="20" t="str">
        <f t="shared" si="27"/>
        <v/>
      </c>
    </row>
    <row r="1782" spans="1:1" ht="30" customHeight="1" x14ac:dyDescent="0.2">
      <c r="A1782" s="20" t="str">
        <f t="shared" si="27"/>
        <v/>
      </c>
    </row>
    <row r="1783" spans="1:1" ht="30" customHeight="1" x14ac:dyDescent="0.2">
      <c r="A1783" s="20" t="str">
        <f t="shared" si="27"/>
        <v/>
      </c>
    </row>
    <row r="1784" spans="1:1" ht="30" customHeight="1" x14ac:dyDescent="0.2">
      <c r="A1784" s="20" t="str">
        <f t="shared" si="27"/>
        <v/>
      </c>
    </row>
    <row r="1785" spans="1:1" ht="30" customHeight="1" x14ac:dyDescent="0.2">
      <c r="A1785" s="20" t="str">
        <f t="shared" si="27"/>
        <v/>
      </c>
    </row>
    <row r="1786" spans="1:1" ht="30" customHeight="1" x14ac:dyDescent="0.2">
      <c r="A1786" s="20" t="str">
        <f t="shared" si="27"/>
        <v/>
      </c>
    </row>
    <row r="1787" spans="1:1" ht="30" customHeight="1" x14ac:dyDescent="0.2">
      <c r="A1787" s="20" t="str">
        <f t="shared" si="27"/>
        <v/>
      </c>
    </row>
    <row r="1788" spans="1:1" ht="30" customHeight="1" x14ac:dyDescent="0.2">
      <c r="A1788" s="20" t="str">
        <f t="shared" si="27"/>
        <v/>
      </c>
    </row>
    <row r="1789" spans="1:1" ht="30" customHeight="1" x14ac:dyDescent="0.2">
      <c r="A1789" s="20" t="str">
        <f t="shared" si="27"/>
        <v/>
      </c>
    </row>
    <row r="1790" spans="1:1" ht="30" customHeight="1" x14ac:dyDescent="0.2">
      <c r="A1790" s="20" t="str">
        <f t="shared" si="27"/>
        <v/>
      </c>
    </row>
    <row r="1791" spans="1:1" ht="30" customHeight="1" x14ac:dyDescent="0.2">
      <c r="A1791" s="20" t="str">
        <f t="shared" si="27"/>
        <v/>
      </c>
    </row>
    <row r="1792" spans="1:1" ht="30" customHeight="1" x14ac:dyDescent="0.2">
      <c r="A1792" s="20" t="str">
        <f t="shared" si="27"/>
        <v/>
      </c>
    </row>
    <row r="1793" spans="1:1" ht="30" customHeight="1" x14ac:dyDescent="0.2">
      <c r="A1793" s="20" t="str">
        <f t="shared" si="27"/>
        <v/>
      </c>
    </row>
    <row r="1794" spans="1:1" ht="30" customHeight="1" x14ac:dyDescent="0.2">
      <c r="A1794" s="20" t="str">
        <f t="shared" si="27"/>
        <v/>
      </c>
    </row>
    <row r="1795" spans="1:1" ht="30" customHeight="1" x14ac:dyDescent="0.2">
      <c r="A1795" s="20" t="str">
        <f t="shared" si="27"/>
        <v/>
      </c>
    </row>
    <row r="1796" spans="1:1" ht="30" customHeight="1" x14ac:dyDescent="0.2">
      <c r="A1796" s="20" t="str">
        <f t="shared" si="27"/>
        <v/>
      </c>
    </row>
    <row r="1797" spans="1:1" ht="30" customHeight="1" x14ac:dyDescent="0.2">
      <c r="A1797" s="20" t="str">
        <f t="shared" si="27"/>
        <v/>
      </c>
    </row>
    <row r="1798" spans="1:1" ht="30" customHeight="1" x14ac:dyDescent="0.2">
      <c r="A1798" s="20" t="str">
        <f t="shared" si="27"/>
        <v/>
      </c>
    </row>
    <row r="1799" spans="1:1" ht="30" customHeight="1" x14ac:dyDescent="0.2">
      <c r="A1799" s="20" t="str">
        <f t="shared" si="27"/>
        <v/>
      </c>
    </row>
    <row r="1800" spans="1:1" ht="30" customHeight="1" x14ac:dyDescent="0.2">
      <c r="A1800" s="20" t="str">
        <f t="shared" si="27"/>
        <v/>
      </c>
    </row>
    <row r="1801" spans="1:1" ht="30" customHeight="1" x14ac:dyDescent="0.2">
      <c r="A1801" s="20" t="str">
        <f t="shared" si="27"/>
        <v/>
      </c>
    </row>
    <row r="1802" spans="1:1" ht="30" customHeight="1" x14ac:dyDescent="0.2">
      <c r="A1802" s="20" t="str">
        <f t="shared" si="27"/>
        <v/>
      </c>
    </row>
    <row r="1803" spans="1:1" ht="30" customHeight="1" x14ac:dyDescent="0.2">
      <c r="A1803" s="20" t="str">
        <f t="shared" si="27"/>
        <v/>
      </c>
    </row>
    <row r="1804" spans="1:1" ht="30" customHeight="1" x14ac:dyDescent="0.2">
      <c r="A1804" s="20" t="str">
        <f t="shared" si="27"/>
        <v/>
      </c>
    </row>
    <row r="1805" spans="1:1" ht="30" customHeight="1" x14ac:dyDescent="0.2">
      <c r="A1805" s="20" t="str">
        <f t="shared" si="27"/>
        <v/>
      </c>
    </row>
    <row r="1806" spans="1:1" ht="30" customHeight="1" x14ac:dyDescent="0.2">
      <c r="A1806" s="20" t="str">
        <f t="shared" si="27"/>
        <v/>
      </c>
    </row>
    <row r="1807" spans="1:1" ht="30" customHeight="1" x14ac:dyDescent="0.2">
      <c r="A1807" s="20" t="str">
        <f t="shared" si="27"/>
        <v/>
      </c>
    </row>
    <row r="1808" spans="1:1" ht="30" customHeight="1" x14ac:dyDescent="0.2">
      <c r="A1808" s="20" t="str">
        <f t="shared" si="27"/>
        <v/>
      </c>
    </row>
    <row r="1809" spans="1:1" ht="30" customHeight="1" x14ac:dyDescent="0.2">
      <c r="A1809" s="20" t="str">
        <f t="shared" si="27"/>
        <v/>
      </c>
    </row>
    <row r="1810" spans="1:1" ht="30" customHeight="1" x14ac:dyDescent="0.2">
      <c r="A1810" s="20" t="str">
        <f t="shared" si="27"/>
        <v/>
      </c>
    </row>
    <row r="1811" spans="1:1" ht="30" customHeight="1" x14ac:dyDescent="0.2">
      <c r="A1811" s="20" t="str">
        <f t="shared" si="27"/>
        <v/>
      </c>
    </row>
    <row r="1812" spans="1:1" ht="30" customHeight="1" x14ac:dyDescent="0.2">
      <c r="A1812" s="20" t="str">
        <f t="shared" si="27"/>
        <v/>
      </c>
    </row>
    <row r="1813" spans="1:1" ht="30" customHeight="1" x14ac:dyDescent="0.2">
      <c r="A1813" s="20" t="str">
        <f t="shared" si="27"/>
        <v/>
      </c>
    </row>
    <row r="1814" spans="1:1" ht="30" customHeight="1" x14ac:dyDescent="0.2">
      <c r="A1814" s="20" t="str">
        <f t="shared" si="27"/>
        <v/>
      </c>
    </row>
    <row r="1815" spans="1:1" ht="30" customHeight="1" x14ac:dyDescent="0.2">
      <c r="A1815" s="20" t="str">
        <f t="shared" si="27"/>
        <v/>
      </c>
    </row>
    <row r="1816" spans="1:1" ht="30" customHeight="1" x14ac:dyDescent="0.2">
      <c r="A1816" s="20" t="str">
        <f t="shared" ref="A1816:A1879" si="28">IF(AND(B1815&lt;&gt;"",B1816=""),$A$22&amp;"---&gt;","")</f>
        <v/>
      </c>
    </row>
    <row r="1817" spans="1:1" ht="30" customHeight="1" x14ac:dyDescent="0.2">
      <c r="A1817" s="20" t="str">
        <f t="shared" si="28"/>
        <v/>
      </c>
    </row>
    <row r="1818" spans="1:1" ht="30" customHeight="1" x14ac:dyDescent="0.2">
      <c r="A1818" s="20" t="str">
        <f t="shared" si="28"/>
        <v/>
      </c>
    </row>
    <row r="1819" spans="1:1" ht="30" customHeight="1" x14ac:dyDescent="0.2">
      <c r="A1819" s="20" t="str">
        <f t="shared" si="28"/>
        <v/>
      </c>
    </row>
    <row r="1820" spans="1:1" ht="30" customHeight="1" x14ac:dyDescent="0.2">
      <c r="A1820" s="20" t="str">
        <f t="shared" si="28"/>
        <v/>
      </c>
    </row>
    <row r="1821" spans="1:1" ht="30" customHeight="1" x14ac:dyDescent="0.2">
      <c r="A1821" s="20" t="str">
        <f t="shared" si="28"/>
        <v/>
      </c>
    </row>
    <row r="1822" spans="1:1" ht="30" customHeight="1" x14ac:dyDescent="0.2">
      <c r="A1822" s="20" t="str">
        <f t="shared" si="28"/>
        <v/>
      </c>
    </row>
    <row r="1823" spans="1:1" ht="30" customHeight="1" x14ac:dyDescent="0.2">
      <c r="A1823" s="20" t="str">
        <f t="shared" si="28"/>
        <v/>
      </c>
    </row>
    <row r="1824" spans="1:1" ht="30" customHeight="1" x14ac:dyDescent="0.2">
      <c r="A1824" s="20" t="str">
        <f t="shared" si="28"/>
        <v/>
      </c>
    </row>
    <row r="1825" spans="1:1" ht="30" customHeight="1" x14ac:dyDescent="0.2">
      <c r="A1825" s="20" t="str">
        <f t="shared" si="28"/>
        <v/>
      </c>
    </row>
    <row r="1826" spans="1:1" ht="30" customHeight="1" x14ac:dyDescent="0.2">
      <c r="A1826" s="20" t="str">
        <f t="shared" si="28"/>
        <v/>
      </c>
    </row>
    <row r="1827" spans="1:1" ht="30" customHeight="1" x14ac:dyDescent="0.2">
      <c r="A1827" s="20" t="str">
        <f t="shared" si="28"/>
        <v/>
      </c>
    </row>
    <row r="1828" spans="1:1" ht="30" customHeight="1" x14ac:dyDescent="0.2">
      <c r="A1828" s="20" t="str">
        <f t="shared" si="28"/>
        <v/>
      </c>
    </row>
    <row r="1829" spans="1:1" ht="30" customHeight="1" x14ac:dyDescent="0.2">
      <c r="A1829" s="20" t="str">
        <f t="shared" si="28"/>
        <v/>
      </c>
    </row>
    <row r="1830" spans="1:1" ht="30" customHeight="1" x14ac:dyDescent="0.2">
      <c r="A1830" s="20" t="str">
        <f t="shared" si="28"/>
        <v/>
      </c>
    </row>
    <row r="1831" spans="1:1" ht="30" customHeight="1" x14ac:dyDescent="0.2">
      <c r="A1831" s="20" t="str">
        <f t="shared" si="28"/>
        <v/>
      </c>
    </row>
    <row r="1832" spans="1:1" ht="30" customHeight="1" x14ac:dyDescent="0.2">
      <c r="A1832" s="20" t="str">
        <f t="shared" si="28"/>
        <v/>
      </c>
    </row>
    <row r="1833" spans="1:1" ht="30" customHeight="1" x14ac:dyDescent="0.2">
      <c r="A1833" s="20" t="str">
        <f t="shared" si="28"/>
        <v/>
      </c>
    </row>
    <row r="1834" spans="1:1" ht="30" customHeight="1" x14ac:dyDescent="0.2">
      <c r="A1834" s="20" t="str">
        <f t="shared" si="28"/>
        <v/>
      </c>
    </row>
    <row r="1835" spans="1:1" ht="30" customHeight="1" x14ac:dyDescent="0.2">
      <c r="A1835" s="20" t="str">
        <f t="shared" si="28"/>
        <v/>
      </c>
    </row>
    <row r="1836" spans="1:1" ht="30" customHeight="1" x14ac:dyDescent="0.2">
      <c r="A1836" s="20" t="str">
        <f t="shared" si="28"/>
        <v/>
      </c>
    </row>
    <row r="1837" spans="1:1" ht="30" customHeight="1" x14ac:dyDescent="0.2">
      <c r="A1837" s="20" t="str">
        <f t="shared" si="28"/>
        <v/>
      </c>
    </row>
    <row r="1838" spans="1:1" ht="30" customHeight="1" x14ac:dyDescent="0.2">
      <c r="A1838" s="20" t="str">
        <f t="shared" si="28"/>
        <v/>
      </c>
    </row>
    <row r="1839" spans="1:1" ht="30" customHeight="1" x14ac:dyDescent="0.2">
      <c r="A1839" s="20" t="str">
        <f t="shared" si="28"/>
        <v/>
      </c>
    </row>
    <row r="1840" spans="1:1" ht="30" customHeight="1" x14ac:dyDescent="0.2">
      <c r="A1840" s="20" t="str">
        <f t="shared" si="28"/>
        <v/>
      </c>
    </row>
    <row r="1841" spans="1:1" ht="30" customHeight="1" x14ac:dyDescent="0.2">
      <c r="A1841" s="20" t="str">
        <f t="shared" si="28"/>
        <v/>
      </c>
    </row>
    <row r="1842" spans="1:1" ht="30" customHeight="1" x14ac:dyDescent="0.2">
      <c r="A1842" s="20" t="str">
        <f t="shared" si="28"/>
        <v/>
      </c>
    </row>
    <row r="1843" spans="1:1" ht="30" customHeight="1" x14ac:dyDescent="0.2">
      <c r="A1843" s="20" t="str">
        <f t="shared" si="28"/>
        <v/>
      </c>
    </row>
    <row r="1844" spans="1:1" ht="30" customHeight="1" x14ac:dyDescent="0.2">
      <c r="A1844" s="20" t="str">
        <f t="shared" si="28"/>
        <v/>
      </c>
    </row>
    <row r="1845" spans="1:1" ht="30" customHeight="1" x14ac:dyDescent="0.2">
      <c r="A1845" s="20" t="str">
        <f t="shared" si="28"/>
        <v/>
      </c>
    </row>
    <row r="1846" spans="1:1" ht="30" customHeight="1" x14ac:dyDescent="0.2">
      <c r="A1846" s="20" t="str">
        <f t="shared" si="28"/>
        <v/>
      </c>
    </row>
    <row r="1847" spans="1:1" ht="30" customHeight="1" x14ac:dyDescent="0.2">
      <c r="A1847" s="20" t="str">
        <f t="shared" si="28"/>
        <v/>
      </c>
    </row>
    <row r="1848" spans="1:1" ht="30" customHeight="1" x14ac:dyDescent="0.2">
      <c r="A1848" s="20" t="str">
        <f t="shared" si="28"/>
        <v/>
      </c>
    </row>
    <row r="1849" spans="1:1" ht="30" customHeight="1" x14ac:dyDescent="0.2">
      <c r="A1849" s="20" t="str">
        <f t="shared" si="28"/>
        <v/>
      </c>
    </row>
    <row r="1850" spans="1:1" ht="30" customHeight="1" x14ac:dyDescent="0.2">
      <c r="A1850" s="20" t="str">
        <f t="shared" si="28"/>
        <v/>
      </c>
    </row>
    <row r="1851" spans="1:1" ht="30" customHeight="1" x14ac:dyDescent="0.2">
      <c r="A1851" s="20" t="str">
        <f t="shared" si="28"/>
        <v/>
      </c>
    </row>
    <row r="1852" spans="1:1" ht="30" customHeight="1" x14ac:dyDescent="0.2">
      <c r="A1852" s="20" t="str">
        <f t="shared" si="28"/>
        <v/>
      </c>
    </row>
    <row r="1853" spans="1:1" ht="30" customHeight="1" x14ac:dyDescent="0.2">
      <c r="A1853" s="20" t="str">
        <f t="shared" si="28"/>
        <v/>
      </c>
    </row>
    <row r="1854" spans="1:1" ht="30" customHeight="1" x14ac:dyDescent="0.2">
      <c r="A1854" s="20" t="str">
        <f t="shared" si="28"/>
        <v/>
      </c>
    </row>
    <row r="1855" spans="1:1" ht="30" customHeight="1" x14ac:dyDescent="0.2">
      <c r="A1855" s="20" t="str">
        <f t="shared" si="28"/>
        <v/>
      </c>
    </row>
    <row r="1856" spans="1:1" ht="30" customHeight="1" x14ac:dyDescent="0.2">
      <c r="A1856" s="20" t="str">
        <f t="shared" si="28"/>
        <v/>
      </c>
    </row>
    <row r="1857" spans="1:1" ht="30" customHeight="1" x14ac:dyDescent="0.2">
      <c r="A1857" s="20" t="str">
        <f t="shared" si="28"/>
        <v/>
      </c>
    </row>
    <row r="1858" spans="1:1" ht="30" customHeight="1" x14ac:dyDescent="0.2">
      <c r="A1858" s="20" t="str">
        <f t="shared" si="28"/>
        <v/>
      </c>
    </row>
    <row r="1859" spans="1:1" ht="30" customHeight="1" x14ac:dyDescent="0.2">
      <c r="A1859" s="20" t="str">
        <f t="shared" si="28"/>
        <v/>
      </c>
    </row>
    <row r="1860" spans="1:1" ht="30" customHeight="1" x14ac:dyDescent="0.2">
      <c r="A1860" s="20" t="str">
        <f t="shared" si="28"/>
        <v/>
      </c>
    </row>
    <row r="1861" spans="1:1" ht="30" customHeight="1" x14ac:dyDescent="0.2">
      <c r="A1861" s="20" t="str">
        <f t="shared" si="28"/>
        <v/>
      </c>
    </row>
    <row r="1862" spans="1:1" ht="30" customHeight="1" x14ac:dyDescent="0.2">
      <c r="A1862" s="20" t="str">
        <f t="shared" si="28"/>
        <v/>
      </c>
    </row>
    <row r="1863" spans="1:1" ht="30" customHeight="1" x14ac:dyDescent="0.2">
      <c r="A1863" s="20" t="str">
        <f t="shared" si="28"/>
        <v/>
      </c>
    </row>
    <row r="1864" spans="1:1" ht="30" customHeight="1" x14ac:dyDescent="0.2">
      <c r="A1864" s="20" t="str">
        <f t="shared" si="28"/>
        <v/>
      </c>
    </row>
    <row r="1865" spans="1:1" ht="30" customHeight="1" x14ac:dyDescent="0.2">
      <c r="A1865" s="20" t="str">
        <f t="shared" si="28"/>
        <v/>
      </c>
    </row>
    <row r="1866" spans="1:1" ht="30" customHeight="1" x14ac:dyDescent="0.2">
      <c r="A1866" s="20" t="str">
        <f t="shared" si="28"/>
        <v/>
      </c>
    </row>
    <row r="1867" spans="1:1" ht="30" customHeight="1" x14ac:dyDescent="0.2">
      <c r="A1867" s="20" t="str">
        <f t="shared" si="28"/>
        <v/>
      </c>
    </row>
    <row r="1868" spans="1:1" ht="30" customHeight="1" x14ac:dyDescent="0.2">
      <c r="A1868" s="20" t="str">
        <f t="shared" si="28"/>
        <v/>
      </c>
    </row>
    <row r="1869" spans="1:1" ht="30" customHeight="1" x14ac:dyDescent="0.2">
      <c r="A1869" s="20" t="str">
        <f t="shared" si="28"/>
        <v/>
      </c>
    </row>
    <row r="1870" spans="1:1" ht="30" customHeight="1" x14ac:dyDescent="0.2">
      <c r="A1870" s="20" t="str">
        <f t="shared" si="28"/>
        <v/>
      </c>
    </row>
    <row r="1871" spans="1:1" ht="30" customHeight="1" x14ac:dyDescent="0.2">
      <c r="A1871" s="20" t="str">
        <f t="shared" si="28"/>
        <v/>
      </c>
    </row>
    <row r="1872" spans="1:1" ht="30" customHeight="1" x14ac:dyDescent="0.2">
      <c r="A1872" s="20" t="str">
        <f t="shared" si="28"/>
        <v/>
      </c>
    </row>
    <row r="1873" spans="1:1" ht="30" customHeight="1" x14ac:dyDescent="0.2">
      <c r="A1873" s="20" t="str">
        <f t="shared" si="28"/>
        <v/>
      </c>
    </row>
    <row r="1874" spans="1:1" ht="30" customHeight="1" x14ac:dyDescent="0.2">
      <c r="A1874" s="20" t="str">
        <f t="shared" si="28"/>
        <v/>
      </c>
    </row>
    <row r="1875" spans="1:1" ht="30" customHeight="1" x14ac:dyDescent="0.2">
      <c r="A1875" s="20" t="str">
        <f t="shared" si="28"/>
        <v/>
      </c>
    </row>
    <row r="1876" spans="1:1" ht="30" customHeight="1" x14ac:dyDescent="0.2">
      <c r="A1876" s="20" t="str">
        <f t="shared" si="28"/>
        <v/>
      </c>
    </row>
    <row r="1877" spans="1:1" ht="30" customHeight="1" x14ac:dyDescent="0.2">
      <c r="A1877" s="20" t="str">
        <f t="shared" si="28"/>
        <v/>
      </c>
    </row>
    <row r="1878" spans="1:1" ht="30" customHeight="1" x14ac:dyDescent="0.2">
      <c r="A1878" s="20" t="str">
        <f t="shared" si="28"/>
        <v/>
      </c>
    </row>
    <row r="1879" spans="1:1" ht="30" customHeight="1" x14ac:dyDescent="0.2">
      <c r="A1879" s="20" t="str">
        <f t="shared" si="28"/>
        <v/>
      </c>
    </row>
    <row r="1880" spans="1:1" ht="30" customHeight="1" x14ac:dyDescent="0.2">
      <c r="A1880" s="20" t="str">
        <f t="shared" ref="A1880:A1943" si="29">IF(AND(B1879&lt;&gt;"",B1880=""),$A$22&amp;"---&gt;","")</f>
        <v/>
      </c>
    </row>
    <row r="1881" spans="1:1" ht="30" customHeight="1" x14ac:dyDescent="0.2">
      <c r="A1881" s="20" t="str">
        <f t="shared" si="29"/>
        <v/>
      </c>
    </row>
    <row r="1882" spans="1:1" ht="30" customHeight="1" x14ac:dyDescent="0.2">
      <c r="A1882" s="20" t="str">
        <f t="shared" si="29"/>
        <v/>
      </c>
    </row>
    <row r="1883" spans="1:1" ht="30" customHeight="1" x14ac:dyDescent="0.2">
      <c r="A1883" s="20" t="str">
        <f t="shared" si="29"/>
        <v/>
      </c>
    </row>
    <row r="1884" spans="1:1" ht="30" customHeight="1" x14ac:dyDescent="0.2">
      <c r="A1884" s="20" t="str">
        <f t="shared" si="29"/>
        <v/>
      </c>
    </row>
    <row r="1885" spans="1:1" ht="30" customHeight="1" x14ac:dyDescent="0.2">
      <c r="A1885" s="20" t="str">
        <f t="shared" si="29"/>
        <v/>
      </c>
    </row>
    <row r="1886" spans="1:1" ht="30" customHeight="1" x14ac:dyDescent="0.2">
      <c r="A1886" s="20" t="str">
        <f t="shared" si="29"/>
        <v/>
      </c>
    </row>
    <row r="1887" spans="1:1" ht="30" customHeight="1" x14ac:dyDescent="0.2">
      <c r="A1887" s="20" t="str">
        <f t="shared" si="29"/>
        <v/>
      </c>
    </row>
    <row r="1888" spans="1:1" ht="30" customHeight="1" x14ac:dyDescent="0.2">
      <c r="A1888" s="20" t="str">
        <f t="shared" si="29"/>
        <v/>
      </c>
    </row>
    <row r="1889" spans="1:1" ht="30" customHeight="1" x14ac:dyDescent="0.2">
      <c r="A1889" s="20" t="str">
        <f t="shared" si="29"/>
        <v/>
      </c>
    </row>
    <row r="1890" spans="1:1" ht="30" customHeight="1" x14ac:dyDescent="0.2">
      <c r="A1890" s="20" t="str">
        <f t="shared" si="29"/>
        <v/>
      </c>
    </row>
    <row r="1891" spans="1:1" ht="30" customHeight="1" x14ac:dyDescent="0.2">
      <c r="A1891" s="20" t="str">
        <f t="shared" si="29"/>
        <v/>
      </c>
    </row>
    <row r="1892" spans="1:1" ht="30" customHeight="1" x14ac:dyDescent="0.2">
      <c r="A1892" s="20" t="str">
        <f t="shared" si="29"/>
        <v/>
      </c>
    </row>
    <row r="1893" spans="1:1" ht="30" customHeight="1" x14ac:dyDescent="0.2">
      <c r="A1893" s="20" t="str">
        <f t="shared" si="29"/>
        <v/>
      </c>
    </row>
    <row r="1894" spans="1:1" ht="30" customHeight="1" x14ac:dyDescent="0.2">
      <c r="A1894" s="20" t="str">
        <f t="shared" si="29"/>
        <v/>
      </c>
    </row>
    <row r="1895" spans="1:1" ht="30" customHeight="1" x14ac:dyDescent="0.2">
      <c r="A1895" s="20" t="str">
        <f t="shared" si="29"/>
        <v/>
      </c>
    </row>
    <row r="1896" spans="1:1" ht="30" customHeight="1" x14ac:dyDescent="0.2">
      <c r="A1896" s="20" t="str">
        <f t="shared" si="29"/>
        <v/>
      </c>
    </row>
    <row r="1897" spans="1:1" ht="30" customHeight="1" x14ac:dyDescent="0.2">
      <c r="A1897" s="20" t="str">
        <f t="shared" si="29"/>
        <v/>
      </c>
    </row>
    <row r="1898" spans="1:1" ht="30" customHeight="1" x14ac:dyDescent="0.2">
      <c r="A1898" s="20" t="str">
        <f t="shared" si="29"/>
        <v/>
      </c>
    </row>
    <row r="1899" spans="1:1" ht="30" customHeight="1" x14ac:dyDescent="0.2">
      <c r="A1899" s="20" t="str">
        <f t="shared" si="29"/>
        <v/>
      </c>
    </row>
    <row r="1900" spans="1:1" ht="30" customHeight="1" x14ac:dyDescent="0.2">
      <c r="A1900" s="20" t="str">
        <f t="shared" si="29"/>
        <v/>
      </c>
    </row>
    <row r="1901" spans="1:1" ht="30" customHeight="1" x14ac:dyDescent="0.2">
      <c r="A1901" s="20" t="str">
        <f t="shared" si="29"/>
        <v/>
      </c>
    </row>
    <row r="1902" spans="1:1" ht="30" customHeight="1" x14ac:dyDescent="0.2">
      <c r="A1902" s="20" t="str">
        <f t="shared" si="29"/>
        <v/>
      </c>
    </row>
    <row r="1903" spans="1:1" ht="30" customHeight="1" x14ac:dyDescent="0.2">
      <c r="A1903" s="20" t="str">
        <f t="shared" si="29"/>
        <v/>
      </c>
    </row>
    <row r="1904" spans="1:1" ht="30" customHeight="1" x14ac:dyDescent="0.2">
      <c r="A1904" s="20" t="str">
        <f t="shared" si="29"/>
        <v/>
      </c>
    </row>
    <row r="1905" spans="1:1" ht="30" customHeight="1" x14ac:dyDescent="0.2">
      <c r="A1905" s="20" t="str">
        <f t="shared" si="29"/>
        <v/>
      </c>
    </row>
    <row r="1906" spans="1:1" ht="30" customHeight="1" x14ac:dyDescent="0.2">
      <c r="A1906" s="20" t="str">
        <f t="shared" si="29"/>
        <v/>
      </c>
    </row>
    <row r="1907" spans="1:1" ht="30" customHeight="1" x14ac:dyDescent="0.2">
      <c r="A1907" s="20" t="str">
        <f t="shared" si="29"/>
        <v/>
      </c>
    </row>
    <row r="1908" spans="1:1" ht="30" customHeight="1" x14ac:dyDescent="0.2">
      <c r="A1908" s="20" t="str">
        <f t="shared" si="29"/>
        <v/>
      </c>
    </row>
    <row r="1909" spans="1:1" ht="30" customHeight="1" x14ac:dyDescent="0.2">
      <c r="A1909" s="20" t="str">
        <f t="shared" si="29"/>
        <v/>
      </c>
    </row>
    <row r="1910" spans="1:1" ht="30" customHeight="1" x14ac:dyDescent="0.2">
      <c r="A1910" s="20" t="str">
        <f t="shared" si="29"/>
        <v/>
      </c>
    </row>
    <row r="1911" spans="1:1" ht="30" customHeight="1" x14ac:dyDescent="0.2">
      <c r="A1911" s="20" t="str">
        <f t="shared" si="29"/>
        <v/>
      </c>
    </row>
    <row r="1912" spans="1:1" ht="30" customHeight="1" x14ac:dyDescent="0.2">
      <c r="A1912" s="20" t="str">
        <f t="shared" si="29"/>
        <v/>
      </c>
    </row>
    <row r="1913" spans="1:1" ht="30" customHeight="1" x14ac:dyDescent="0.2">
      <c r="A1913" s="20" t="str">
        <f t="shared" si="29"/>
        <v/>
      </c>
    </row>
    <row r="1914" spans="1:1" ht="30" customHeight="1" x14ac:dyDescent="0.2">
      <c r="A1914" s="20" t="str">
        <f t="shared" si="29"/>
        <v/>
      </c>
    </row>
    <row r="1915" spans="1:1" ht="30" customHeight="1" x14ac:dyDescent="0.2">
      <c r="A1915" s="20" t="str">
        <f t="shared" si="29"/>
        <v/>
      </c>
    </row>
    <row r="1916" spans="1:1" ht="30" customHeight="1" x14ac:dyDescent="0.2">
      <c r="A1916" s="20" t="str">
        <f t="shared" si="29"/>
        <v/>
      </c>
    </row>
    <row r="1917" spans="1:1" ht="30" customHeight="1" x14ac:dyDescent="0.2">
      <c r="A1917" s="20" t="str">
        <f t="shared" si="29"/>
        <v/>
      </c>
    </row>
    <row r="1918" spans="1:1" ht="30" customHeight="1" x14ac:dyDescent="0.2">
      <c r="A1918" s="20" t="str">
        <f t="shared" si="29"/>
        <v/>
      </c>
    </row>
    <row r="1919" spans="1:1" ht="30" customHeight="1" x14ac:dyDescent="0.2">
      <c r="A1919" s="20" t="str">
        <f t="shared" si="29"/>
        <v/>
      </c>
    </row>
    <row r="1920" spans="1:1" ht="30" customHeight="1" x14ac:dyDescent="0.2">
      <c r="A1920" s="20" t="str">
        <f t="shared" si="29"/>
        <v/>
      </c>
    </row>
    <row r="1921" spans="1:1" ht="30" customHeight="1" x14ac:dyDescent="0.2">
      <c r="A1921" s="20" t="str">
        <f t="shared" si="29"/>
        <v/>
      </c>
    </row>
    <row r="1922" spans="1:1" ht="30" customHeight="1" x14ac:dyDescent="0.2">
      <c r="A1922" s="20" t="str">
        <f t="shared" si="29"/>
        <v/>
      </c>
    </row>
    <row r="1923" spans="1:1" ht="30" customHeight="1" x14ac:dyDescent="0.2">
      <c r="A1923" s="20" t="str">
        <f t="shared" si="29"/>
        <v/>
      </c>
    </row>
    <row r="1924" spans="1:1" ht="30" customHeight="1" x14ac:dyDescent="0.2">
      <c r="A1924" s="20" t="str">
        <f t="shared" si="29"/>
        <v/>
      </c>
    </row>
    <row r="1925" spans="1:1" ht="30" customHeight="1" x14ac:dyDescent="0.2">
      <c r="A1925" s="20" t="str">
        <f t="shared" si="29"/>
        <v/>
      </c>
    </row>
    <row r="1926" spans="1:1" ht="30" customHeight="1" x14ac:dyDescent="0.2">
      <c r="A1926" s="20" t="str">
        <f t="shared" si="29"/>
        <v/>
      </c>
    </row>
    <row r="1927" spans="1:1" ht="30" customHeight="1" x14ac:dyDescent="0.2">
      <c r="A1927" s="20" t="str">
        <f t="shared" si="29"/>
        <v/>
      </c>
    </row>
    <row r="1928" spans="1:1" ht="30" customHeight="1" x14ac:dyDescent="0.2">
      <c r="A1928" s="20" t="str">
        <f t="shared" si="29"/>
        <v/>
      </c>
    </row>
    <row r="1929" spans="1:1" ht="30" customHeight="1" x14ac:dyDescent="0.2">
      <c r="A1929" s="20" t="str">
        <f t="shared" si="29"/>
        <v/>
      </c>
    </row>
    <row r="1930" spans="1:1" ht="30" customHeight="1" x14ac:dyDescent="0.2">
      <c r="A1930" s="20" t="str">
        <f t="shared" si="29"/>
        <v/>
      </c>
    </row>
    <row r="1931" spans="1:1" ht="30" customHeight="1" x14ac:dyDescent="0.2">
      <c r="A1931" s="20" t="str">
        <f t="shared" si="29"/>
        <v/>
      </c>
    </row>
    <row r="1932" spans="1:1" ht="30" customHeight="1" x14ac:dyDescent="0.2">
      <c r="A1932" s="20" t="str">
        <f t="shared" si="29"/>
        <v/>
      </c>
    </row>
    <row r="1933" spans="1:1" ht="30" customHeight="1" x14ac:dyDescent="0.2">
      <c r="A1933" s="20" t="str">
        <f t="shared" si="29"/>
        <v/>
      </c>
    </row>
    <row r="1934" spans="1:1" ht="30" customHeight="1" x14ac:dyDescent="0.2">
      <c r="A1934" s="20" t="str">
        <f t="shared" si="29"/>
        <v/>
      </c>
    </row>
    <row r="1935" spans="1:1" ht="30" customHeight="1" x14ac:dyDescent="0.2">
      <c r="A1935" s="20" t="str">
        <f t="shared" si="29"/>
        <v/>
      </c>
    </row>
    <row r="1936" spans="1:1" ht="30" customHeight="1" x14ac:dyDescent="0.2">
      <c r="A1936" s="20" t="str">
        <f t="shared" si="29"/>
        <v/>
      </c>
    </row>
    <row r="1937" spans="1:1" ht="30" customHeight="1" x14ac:dyDescent="0.2">
      <c r="A1937" s="20" t="str">
        <f t="shared" si="29"/>
        <v/>
      </c>
    </row>
    <row r="1938" spans="1:1" ht="30" customHeight="1" x14ac:dyDescent="0.2">
      <c r="A1938" s="20" t="str">
        <f t="shared" si="29"/>
        <v/>
      </c>
    </row>
    <row r="1939" spans="1:1" ht="30" customHeight="1" x14ac:dyDescent="0.2">
      <c r="A1939" s="20" t="str">
        <f t="shared" si="29"/>
        <v/>
      </c>
    </row>
    <row r="1940" spans="1:1" ht="30" customHeight="1" x14ac:dyDescent="0.2">
      <c r="A1940" s="20" t="str">
        <f t="shared" si="29"/>
        <v/>
      </c>
    </row>
    <row r="1941" spans="1:1" ht="30" customHeight="1" x14ac:dyDescent="0.2">
      <c r="A1941" s="20" t="str">
        <f t="shared" si="29"/>
        <v/>
      </c>
    </row>
    <row r="1942" spans="1:1" ht="30" customHeight="1" x14ac:dyDescent="0.2">
      <c r="A1942" s="20" t="str">
        <f t="shared" si="29"/>
        <v/>
      </c>
    </row>
    <row r="1943" spans="1:1" ht="30" customHeight="1" x14ac:dyDescent="0.2">
      <c r="A1943" s="20" t="str">
        <f t="shared" si="29"/>
        <v/>
      </c>
    </row>
    <row r="1944" spans="1:1" ht="30" customHeight="1" x14ac:dyDescent="0.2">
      <c r="A1944" s="20" t="str">
        <f t="shared" ref="A1944:A2007" si="30">IF(AND(B1943&lt;&gt;"",B1944=""),$A$22&amp;"---&gt;","")</f>
        <v/>
      </c>
    </row>
    <row r="1945" spans="1:1" ht="30" customHeight="1" x14ac:dyDescent="0.2">
      <c r="A1945" s="20" t="str">
        <f t="shared" si="30"/>
        <v/>
      </c>
    </row>
    <row r="1946" spans="1:1" ht="30" customHeight="1" x14ac:dyDescent="0.2">
      <c r="A1946" s="20" t="str">
        <f t="shared" si="30"/>
        <v/>
      </c>
    </row>
    <row r="1947" spans="1:1" ht="30" customHeight="1" x14ac:dyDescent="0.2">
      <c r="A1947" s="20" t="str">
        <f t="shared" si="30"/>
        <v/>
      </c>
    </row>
    <row r="1948" spans="1:1" ht="30" customHeight="1" x14ac:dyDescent="0.2">
      <c r="A1948" s="20" t="str">
        <f t="shared" si="30"/>
        <v/>
      </c>
    </row>
    <row r="1949" spans="1:1" ht="30" customHeight="1" x14ac:dyDescent="0.2">
      <c r="A1949" s="20" t="str">
        <f t="shared" si="30"/>
        <v/>
      </c>
    </row>
    <row r="1950" spans="1:1" ht="30" customHeight="1" x14ac:dyDescent="0.2">
      <c r="A1950" s="20" t="str">
        <f t="shared" si="30"/>
        <v/>
      </c>
    </row>
    <row r="1951" spans="1:1" ht="30" customHeight="1" x14ac:dyDescent="0.2">
      <c r="A1951" s="20" t="str">
        <f t="shared" si="30"/>
        <v/>
      </c>
    </row>
    <row r="1952" spans="1:1" ht="30" customHeight="1" x14ac:dyDescent="0.2">
      <c r="A1952" s="20" t="str">
        <f t="shared" si="30"/>
        <v/>
      </c>
    </row>
    <row r="1953" spans="1:1" ht="30" customHeight="1" x14ac:dyDescent="0.2">
      <c r="A1953" s="20" t="str">
        <f t="shared" si="30"/>
        <v/>
      </c>
    </row>
    <row r="1954" spans="1:1" ht="30" customHeight="1" x14ac:dyDescent="0.2">
      <c r="A1954" s="20" t="str">
        <f t="shared" si="30"/>
        <v/>
      </c>
    </row>
    <row r="1955" spans="1:1" ht="30" customHeight="1" x14ac:dyDescent="0.2">
      <c r="A1955" s="20" t="str">
        <f t="shared" si="30"/>
        <v/>
      </c>
    </row>
    <row r="1956" spans="1:1" ht="30" customHeight="1" x14ac:dyDescent="0.2">
      <c r="A1956" s="20" t="str">
        <f t="shared" si="30"/>
        <v/>
      </c>
    </row>
    <row r="1957" spans="1:1" ht="30" customHeight="1" x14ac:dyDescent="0.2">
      <c r="A1957" s="20" t="str">
        <f t="shared" si="30"/>
        <v/>
      </c>
    </row>
    <row r="1958" spans="1:1" ht="30" customHeight="1" x14ac:dyDescent="0.2">
      <c r="A1958" s="20" t="str">
        <f t="shared" si="30"/>
        <v/>
      </c>
    </row>
    <row r="1959" spans="1:1" ht="30" customHeight="1" x14ac:dyDescent="0.2">
      <c r="A1959" s="20" t="str">
        <f t="shared" si="30"/>
        <v/>
      </c>
    </row>
    <row r="1960" spans="1:1" ht="30" customHeight="1" x14ac:dyDescent="0.2">
      <c r="A1960" s="20" t="str">
        <f t="shared" si="30"/>
        <v/>
      </c>
    </row>
    <row r="1961" spans="1:1" ht="30" customHeight="1" x14ac:dyDescent="0.2">
      <c r="A1961" s="20" t="str">
        <f t="shared" si="30"/>
        <v/>
      </c>
    </row>
    <row r="1962" spans="1:1" ht="30" customHeight="1" x14ac:dyDescent="0.2">
      <c r="A1962" s="20" t="str">
        <f t="shared" si="30"/>
        <v/>
      </c>
    </row>
    <row r="1963" spans="1:1" ht="30" customHeight="1" x14ac:dyDescent="0.2">
      <c r="A1963" s="20" t="str">
        <f t="shared" si="30"/>
        <v/>
      </c>
    </row>
    <row r="1964" spans="1:1" ht="30" customHeight="1" x14ac:dyDescent="0.2">
      <c r="A1964" s="20" t="str">
        <f t="shared" si="30"/>
        <v/>
      </c>
    </row>
    <row r="1965" spans="1:1" ht="30" customHeight="1" x14ac:dyDescent="0.2">
      <c r="A1965" s="20" t="str">
        <f t="shared" si="30"/>
        <v/>
      </c>
    </row>
    <row r="1966" spans="1:1" ht="30" customHeight="1" x14ac:dyDescent="0.2">
      <c r="A1966" s="20" t="str">
        <f t="shared" si="30"/>
        <v/>
      </c>
    </row>
    <row r="1967" spans="1:1" ht="30" customHeight="1" x14ac:dyDescent="0.2">
      <c r="A1967" s="20" t="str">
        <f t="shared" si="30"/>
        <v/>
      </c>
    </row>
    <row r="1968" spans="1:1" ht="30" customHeight="1" x14ac:dyDescent="0.2">
      <c r="A1968" s="20" t="str">
        <f t="shared" si="30"/>
        <v/>
      </c>
    </row>
    <row r="1969" spans="1:1" ht="30" customHeight="1" x14ac:dyDescent="0.2">
      <c r="A1969" s="20" t="str">
        <f t="shared" si="30"/>
        <v/>
      </c>
    </row>
    <row r="1970" spans="1:1" ht="30" customHeight="1" x14ac:dyDescent="0.2">
      <c r="A1970" s="20" t="str">
        <f t="shared" si="30"/>
        <v/>
      </c>
    </row>
    <row r="1971" spans="1:1" ht="30" customHeight="1" x14ac:dyDescent="0.2">
      <c r="A1971" s="20" t="str">
        <f t="shared" si="30"/>
        <v/>
      </c>
    </row>
    <row r="1972" spans="1:1" ht="30" customHeight="1" x14ac:dyDescent="0.2">
      <c r="A1972" s="20" t="str">
        <f t="shared" si="30"/>
        <v/>
      </c>
    </row>
    <row r="1973" spans="1:1" ht="30" customHeight="1" x14ac:dyDescent="0.2">
      <c r="A1973" s="20" t="str">
        <f t="shared" si="30"/>
        <v/>
      </c>
    </row>
    <row r="1974" spans="1:1" ht="30" customHeight="1" x14ac:dyDescent="0.2">
      <c r="A1974" s="20" t="str">
        <f t="shared" si="30"/>
        <v/>
      </c>
    </row>
    <row r="1975" spans="1:1" ht="30" customHeight="1" x14ac:dyDescent="0.2">
      <c r="A1975" s="20" t="str">
        <f t="shared" si="30"/>
        <v/>
      </c>
    </row>
    <row r="1976" spans="1:1" ht="30" customHeight="1" x14ac:dyDescent="0.2">
      <c r="A1976" s="20" t="str">
        <f t="shared" si="30"/>
        <v/>
      </c>
    </row>
    <row r="1977" spans="1:1" ht="30" customHeight="1" x14ac:dyDescent="0.2">
      <c r="A1977" s="20" t="str">
        <f t="shared" si="30"/>
        <v/>
      </c>
    </row>
    <row r="1978" spans="1:1" ht="30" customHeight="1" x14ac:dyDescent="0.2">
      <c r="A1978" s="20" t="str">
        <f t="shared" si="30"/>
        <v/>
      </c>
    </row>
    <row r="1979" spans="1:1" ht="30" customHeight="1" x14ac:dyDescent="0.2">
      <c r="A1979" s="20" t="str">
        <f t="shared" si="30"/>
        <v/>
      </c>
    </row>
    <row r="1980" spans="1:1" ht="30" customHeight="1" x14ac:dyDescent="0.2">
      <c r="A1980" s="20" t="str">
        <f t="shared" si="30"/>
        <v/>
      </c>
    </row>
    <row r="1981" spans="1:1" ht="30" customHeight="1" x14ac:dyDescent="0.2">
      <c r="A1981" s="20" t="str">
        <f t="shared" si="30"/>
        <v/>
      </c>
    </row>
    <row r="1982" spans="1:1" ht="30" customHeight="1" x14ac:dyDescent="0.2">
      <c r="A1982" s="20" t="str">
        <f t="shared" si="30"/>
        <v/>
      </c>
    </row>
    <row r="1983" spans="1:1" ht="30" customHeight="1" x14ac:dyDescent="0.2">
      <c r="A1983" s="20" t="str">
        <f t="shared" si="30"/>
        <v/>
      </c>
    </row>
    <row r="1984" spans="1:1" ht="30" customHeight="1" x14ac:dyDescent="0.2">
      <c r="A1984" s="20" t="str">
        <f t="shared" si="30"/>
        <v/>
      </c>
    </row>
    <row r="1985" spans="1:1" ht="30" customHeight="1" x14ac:dyDescent="0.2">
      <c r="A1985" s="20" t="str">
        <f t="shared" si="30"/>
        <v/>
      </c>
    </row>
    <row r="1986" spans="1:1" ht="30" customHeight="1" x14ac:dyDescent="0.2">
      <c r="A1986" s="20" t="str">
        <f t="shared" si="30"/>
        <v/>
      </c>
    </row>
    <row r="1987" spans="1:1" ht="30" customHeight="1" x14ac:dyDescent="0.2">
      <c r="A1987" s="20" t="str">
        <f t="shared" si="30"/>
        <v/>
      </c>
    </row>
    <row r="1988" spans="1:1" ht="30" customHeight="1" x14ac:dyDescent="0.2">
      <c r="A1988" s="20" t="str">
        <f t="shared" si="30"/>
        <v/>
      </c>
    </row>
    <row r="1989" spans="1:1" ht="30" customHeight="1" x14ac:dyDescent="0.2">
      <c r="A1989" s="20" t="str">
        <f t="shared" si="30"/>
        <v/>
      </c>
    </row>
    <row r="1990" spans="1:1" ht="30" customHeight="1" x14ac:dyDescent="0.2">
      <c r="A1990" s="20" t="str">
        <f t="shared" si="30"/>
        <v/>
      </c>
    </row>
    <row r="1991" spans="1:1" ht="30" customHeight="1" x14ac:dyDescent="0.2">
      <c r="A1991" s="20" t="str">
        <f t="shared" si="30"/>
        <v/>
      </c>
    </row>
    <row r="1992" spans="1:1" ht="30" customHeight="1" x14ac:dyDescent="0.2">
      <c r="A1992" s="20" t="str">
        <f t="shared" si="30"/>
        <v/>
      </c>
    </row>
    <row r="1993" spans="1:1" ht="30" customHeight="1" x14ac:dyDescent="0.2">
      <c r="A1993" s="20" t="str">
        <f t="shared" si="30"/>
        <v/>
      </c>
    </row>
    <row r="1994" spans="1:1" ht="30" customHeight="1" x14ac:dyDescent="0.2">
      <c r="A1994" s="20" t="str">
        <f t="shared" si="30"/>
        <v/>
      </c>
    </row>
    <row r="1995" spans="1:1" ht="30" customHeight="1" x14ac:dyDescent="0.2">
      <c r="A1995" s="20" t="str">
        <f t="shared" si="30"/>
        <v/>
      </c>
    </row>
    <row r="1996" spans="1:1" ht="30" customHeight="1" x14ac:dyDescent="0.2">
      <c r="A1996" s="20" t="str">
        <f t="shared" si="30"/>
        <v/>
      </c>
    </row>
    <row r="1997" spans="1:1" ht="30" customHeight="1" x14ac:dyDescent="0.2">
      <c r="A1997" s="20" t="str">
        <f t="shared" si="30"/>
        <v/>
      </c>
    </row>
    <row r="1998" spans="1:1" ht="30" customHeight="1" x14ac:dyDescent="0.2">
      <c r="A1998" s="20" t="str">
        <f t="shared" si="30"/>
        <v/>
      </c>
    </row>
    <row r="1999" spans="1:1" ht="30" customHeight="1" x14ac:dyDescent="0.2">
      <c r="A1999" s="20" t="str">
        <f t="shared" si="30"/>
        <v/>
      </c>
    </row>
    <row r="2000" spans="1:1" ht="30" customHeight="1" x14ac:dyDescent="0.2">
      <c r="A2000" s="20" t="str">
        <f t="shared" si="30"/>
        <v/>
      </c>
    </row>
    <row r="2001" spans="1:1" ht="30" customHeight="1" x14ac:dyDescent="0.2">
      <c r="A2001" s="20" t="str">
        <f t="shared" si="30"/>
        <v/>
      </c>
    </row>
    <row r="2002" spans="1:1" ht="30" customHeight="1" x14ac:dyDescent="0.2">
      <c r="A2002" s="20" t="str">
        <f t="shared" si="30"/>
        <v/>
      </c>
    </row>
    <row r="2003" spans="1:1" ht="30" customHeight="1" x14ac:dyDescent="0.2">
      <c r="A2003" s="20" t="str">
        <f t="shared" si="30"/>
        <v/>
      </c>
    </row>
    <row r="2004" spans="1:1" ht="30" customHeight="1" x14ac:dyDescent="0.2">
      <c r="A2004" s="20" t="str">
        <f t="shared" si="30"/>
        <v/>
      </c>
    </row>
    <row r="2005" spans="1:1" ht="30" customHeight="1" x14ac:dyDescent="0.2">
      <c r="A2005" s="20" t="str">
        <f t="shared" si="30"/>
        <v/>
      </c>
    </row>
    <row r="2006" spans="1:1" ht="30" customHeight="1" x14ac:dyDescent="0.2">
      <c r="A2006" s="20" t="str">
        <f t="shared" si="30"/>
        <v/>
      </c>
    </row>
    <row r="2007" spans="1:1" ht="30" customHeight="1" x14ac:dyDescent="0.2">
      <c r="A2007" s="20" t="str">
        <f t="shared" si="30"/>
        <v/>
      </c>
    </row>
    <row r="2008" spans="1:1" ht="30" customHeight="1" x14ac:dyDescent="0.2">
      <c r="A2008" s="20" t="str">
        <f t="shared" ref="A2008:A2021" si="31">IF(AND(B2007&lt;&gt;"",B2008=""),$A$22&amp;"---&gt;","")</f>
        <v/>
      </c>
    </row>
    <row r="2009" spans="1:1" ht="30" customHeight="1" x14ac:dyDescent="0.2">
      <c r="A2009" s="20" t="str">
        <f t="shared" si="31"/>
        <v/>
      </c>
    </row>
    <row r="2010" spans="1:1" ht="30" customHeight="1" x14ac:dyDescent="0.2">
      <c r="A2010" s="20" t="str">
        <f t="shared" si="31"/>
        <v/>
      </c>
    </row>
    <row r="2011" spans="1:1" ht="30" customHeight="1" x14ac:dyDescent="0.2">
      <c r="A2011" s="20" t="str">
        <f t="shared" si="31"/>
        <v/>
      </c>
    </row>
    <row r="2012" spans="1:1" ht="30" customHeight="1" x14ac:dyDescent="0.2">
      <c r="A2012" s="20" t="str">
        <f t="shared" si="31"/>
        <v/>
      </c>
    </row>
    <row r="2013" spans="1:1" ht="30" customHeight="1" x14ac:dyDescent="0.2">
      <c r="A2013" s="20" t="str">
        <f t="shared" si="31"/>
        <v/>
      </c>
    </row>
    <row r="2014" spans="1:1" ht="30" customHeight="1" x14ac:dyDescent="0.2">
      <c r="A2014" s="20" t="str">
        <f t="shared" si="31"/>
        <v/>
      </c>
    </row>
    <row r="2015" spans="1:1" ht="30" customHeight="1" x14ac:dyDescent="0.2">
      <c r="A2015" s="20" t="str">
        <f t="shared" si="31"/>
        <v/>
      </c>
    </row>
    <row r="2016" spans="1:1" ht="30" customHeight="1" x14ac:dyDescent="0.2">
      <c r="A2016" s="20" t="str">
        <f t="shared" si="31"/>
        <v/>
      </c>
    </row>
    <row r="2017" spans="1:1" ht="30" customHeight="1" x14ac:dyDescent="0.2">
      <c r="A2017" s="20" t="str">
        <f t="shared" si="31"/>
        <v/>
      </c>
    </row>
    <row r="2018" spans="1:1" ht="30" customHeight="1" x14ac:dyDescent="0.2">
      <c r="A2018" s="20" t="str">
        <f t="shared" si="31"/>
        <v/>
      </c>
    </row>
    <row r="2019" spans="1:1" ht="30" customHeight="1" x14ac:dyDescent="0.2">
      <c r="A2019" s="20" t="str">
        <f t="shared" si="31"/>
        <v/>
      </c>
    </row>
    <row r="2020" spans="1:1" ht="30" customHeight="1" x14ac:dyDescent="0.2">
      <c r="A2020" s="20" t="str">
        <f t="shared" si="31"/>
        <v/>
      </c>
    </row>
    <row r="2021" spans="1:1" ht="30" customHeight="1" x14ac:dyDescent="0.2">
      <c r="A2021" s="20" t="str">
        <f t="shared" si="31"/>
        <v/>
      </c>
    </row>
  </sheetData>
  <mergeCells count="13">
    <mergeCell ref="B5:B8"/>
    <mergeCell ref="C5:C8"/>
    <mergeCell ref="B1:C2"/>
    <mergeCell ref="B9:B10"/>
    <mergeCell ref="C9:C10"/>
    <mergeCell ref="C3:C4"/>
    <mergeCell ref="B3:B4"/>
    <mergeCell ref="B11:B14"/>
    <mergeCell ref="C11:C14"/>
    <mergeCell ref="B15:B16"/>
    <mergeCell ref="C15:C16"/>
    <mergeCell ref="B17:B20"/>
    <mergeCell ref="C17:C20"/>
  </mergeCells>
  <phoneticPr fontId="5" type="noConversion"/>
  <conditionalFormatting sqref="O23:O112">
    <cfRule type="cellIs" dxfId="27" priority="3" operator="between">
      <formula>0.0000000000001</formula>
      <formula>1E+37</formula>
    </cfRule>
    <cfRule type="cellIs" dxfId="26" priority="4" operator="lessThan">
      <formula>0</formula>
    </cfRule>
  </conditionalFormatting>
  <dataValidations count="3">
    <dataValidation type="list" allowBlank="1" showInputMessage="1" showErrorMessage="1" sqref="C23:C112" xr:uid="{08726C59-EC85-48A2-AB3F-EF87C170D48D}">
      <formula1>Stocks</formula1>
    </dataValidation>
    <dataValidation type="date" allowBlank="1" showInputMessage="1" showErrorMessage="1" sqref="F23:F112" xr:uid="{ACDAD0FE-AB34-4E54-A231-BFB5FF7B465C}">
      <formula1>1</formula1>
      <formula2>109575</formula2>
    </dataValidation>
    <dataValidation type="list" allowBlank="1" showInputMessage="1" showErrorMessage="1" sqref="B23:B1048576" xr:uid="{65B522B0-BD27-450A-B3F4-6E177841BB46}">
      <formula1>companies</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Full_screen">
                <anchor moveWithCells="1" sizeWithCells="1">
                  <from>
                    <xdr:col>0</xdr:col>
                    <xdr:colOff>9525</xdr:colOff>
                    <xdr:row>21</xdr:row>
                    <xdr:rowOff>390525</xdr:rowOff>
                  </from>
                  <to>
                    <xdr:col>0</xdr:col>
                    <xdr:colOff>1533525</xdr:colOff>
                    <xdr:row>21</xdr:row>
                    <xdr:rowOff>552450</xdr:rowOff>
                  </to>
                </anchor>
              </controlPr>
            </control>
          </mc:Choice>
        </mc:AlternateContent>
        <mc:AlternateContent xmlns:mc="http://schemas.openxmlformats.org/markup-compatibility/2006">
          <mc:Choice Requires="x14">
            <control shapeId="2051" r:id="rId5" name="Button 3">
              <controlPr defaultSize="0" print="0" autoFill="0" autoPict="0" macro="[0]!Refresh">
                <anchor moveWithCells="1" sizeWithCells="1">
                  <from>
                    <xdr:col>0</xdr:col>
                    <xdr:colOff>9525</xdr:colOff>
                    <xdr:row>21</xdr:row>
                    <xdr:rowOff>571500</xdr:rowOff>
                  </from>
                  <to>
                    <xdr:col>0</xdr:col>
                    <xdr:colOff>1543050</xdr:colOff>
                    <xdr:row>21</xdr:row>
                    <xdr:rowOff>742950</xdr:rowOff>
                  </to>
                </anchor>
              </controlPr>
            </control>
          </mc:Choice>
        </mc:AlternateContent>
      </controls>
    </mc:Choice>
  </mc:AlternateContent>
  <tableParts count="1">
    <tablePart r:id="rId6"/>
  </tableParts>
  <extLst>
    <ext xmlns:x14="http://schemas.microsoft.com/office/spreadsheetml/2009/9/main" uri="{78C0D931-6437-407d-A8EE-F0AAD7539E65}">
      <x14:conditionalFormattings>
        <x14:conditionalFormatting xmlns:xm="http://schemas.microsoft.com/office/excel/2006/main">
          <x14:cfRule type="iconSet" priority="5" id="{A114726A-9EB0-4791-B676-CC5D74D402B1}">
            <x14:iconSet iconSet="3Triangles">
              <x14:cfvo type="percent">
                <xm:f>0</xm:f>
              </x14:cfvo>
              <x14:cfvo type="num">
                <xm:f>0</xm:f>
              </x14:cfvo>
              <x14:cfvo type="num" gte="0">
                <xm:f>0</xm:f>
              </x14:cfvo>
            </x14:iconSet>
          </x14:cfRule>
          <xm:sqref>P23:P112</xm:sqref>
        </x14:conditionalFormatting>
        <x14:conditionalFormatting xmlns:xm="http://schemas.microsoft.com/office/excel/2006/main">
          <x14:cfRule type="iconSet" priority="2" id="{D81ECB51-AAF6-4E04-8F0E-FE7D8ED97A2D}">
            <x14:iconSet iconSet="3Triangles">
              <x14:cfvo type="percent">
                <xm:f>0</xm:f>
              </x14:cfvo>
              <x14:cfvo type="num">
                <xm:f>0</xm:f>
              </x14:cfvo>
              <x14:cfvo type="num" gte="0">
                <xm:f>0</xm:f>
              </x14:cfvo>
            </x14:iconSet>
          </x14:cfRule>
          <xm:sqref>N23:N112</xm:sqref>
        </x14:conditionalFormatting>
        <x14:conditionalFormatting xmlns:xm="http://schemas.microsoft.com/office/excel/2006/main">
          <x14:cfRule type="iconSet" priority="1" id="{60B7DED4-4334-4209-B69E-0B574315AE23}">
            <x14:iconSet iconSet="3Triangles">
              <x14:cfvo type="percent">
                <xm:f>0</xm:f>
              </x14:cfvo>
              <x14:cfvo type="num">
                <xm:f>0</xm:f>
              </x14:cfvo>
              <x14:cfvo type="num" gte="0">
                <xm:f>0</xm:f>
              </x14:cfvo>
            </x14:iconSet>
          </x14:cfRule>
          <xm:sqref>C17</xm:sqref>
        </x14:conditionalFormatting>
      </x14:conditionalFormattings>
    </ext>
    <ext xmlns:x14="http://schemas.microsoft.com/office/spreadsheetml/2009/9/main" uri="{A8765BA9-456A-4dab-B4F3-ACF838C121DE}">
      <x14:slicerList>
        <x14:slicer r:id="rId7"/>
      </x14:slicerList>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989B41-2E54-4D21-969A-48F7E54BD0EC}">
  <sheetPr codeName="Sheet4">
    <tabColor rgb="FF8FCFAD"/>
  </sheetPr>
  <dimension ref="A1:P24"/>
  <sheetViews>
    <sheetView showGridLines="0" showRowColHeaders="0" zoomScaleNormal="100" workbookViewId="0">
      <pane ySplit="4" topLeftCell="A5" activePane="bottomLeft" state="frozen"/>
      <selection pane="bottomLeft" activeCell="D5" sqref="D5"/>
    </sheetView>
  </sheetViews>
  <sheetFormatPr defaultColWidth="0" defaultRowHeight="30" customHeight="1" x14ac:dyDescent="0.2"/>
  <cols>
    <col min="1" max="1" width="0.7109375" style="15" customWidth="1"/>
    <col min="2" max="4" width="30.7109375" style="21" customWidth="1"/>
    <col min="5" max="5" width="30.7109375" style="53" customWidth="1"/>
    <col min="6" max="6" width="1" style="15" customWidth="1"/>
    <col min="7" max="7" width="30.7109375" style="21" customWidth="1"/>
    <col min="8" max="8" width="1" style="15" customWidth="1"/>
    <col min="9" max="9" width="30.7109375" style="23" customWidth="1"/>
    <col min="10" max="10" width="0.7109375" style="15" hidden="1" customWidth="1"/>
    <col min="11" max="11" width="30.7109375" style="21" hidden="1" customWidth="1"/>
    <col min="12" max="12" width="0.7109375" style="15" hidden="1" customWidth="1"/>
    <col min="13" max="13" width="30.7109375" style="21" hidden="1" customWidth="1"/>
    <col min="14" max="14" width="0.7109375" style="15" hidden="1" customWidth="1"/>
    <col min="15" max="15" width="30.7109375" style="21" hidden="1" customWidth="1"/>
    <col min="16" max="16" width="0.7109375" style="15" hidden="1" customWidth="1"/>
    <col min="17" max="16384" width="9.140625" style="16" hidden="1"/>
  </cols>
  <sheetData>
    <row r="1" spans="1:16" customFormat="1" ht="12.75" x14ac:dyDescent="0.2">
      <c r="A1" s="13"/>
      <c r="B1" s="17"/>
      <c r="C1" s="17"/>
      <c r="D1" s="17"/>
      <c r="E1" s="17"/>
      <c r="F1" s="17"/>
      <c r="G1" s="17"/>
      <c r="H1" s="17"/>
      <c r="I1" s="17"/>
      <c r="J1" s="17"/>
      <c r="K1" s="17"/>
      <c r="L1" s="17"/>
      <c r="M1" s="17"/>
      <c r="N1" s="17"/>
      <c r="O1" s="17"/>
      <c r="P1" s="17"/>
    </row>
    <row r="2" spans="1:16" customFormat="1" ht="15" x14ac:dyDescent="0.25">
      <c r="A2" s="73" t="s">
        <v>37</v>
      </c>
      <c r="B2" s="73"/>
      <c r="C2" s="73"/>
      <c r="D2" s="73"/>
      <c r="E2" s="73"/>
      <c r="F2" s="73" t="s">
        <v>38</v>
      </c>
      <c r="G2" s="73"/>
      <c r="H2" s="73" t="s">
        <v>39</v>
      </c>
      <c r="I2" s="73"/>
      <c r="J2" s="73" t="s">
        <v>22</v>
      </c>
      <c r="K2" s="73"/>
      <c r="L2" s="73" t="s">
        <v>21</v>
      </c>
      <c r="M2" s="73"/>
      <c r="N2" s="73" t="s">
        <v>20</v>
      </c>
      <c r="O2" s="73"/>
      <c r="P2" s="26"/>
    </row>
    <row r="3" spans="1:16" customFormat="1" ht="12.75" x14ac:dyDescent="0.2">
      <c r="A3" s="13"/>
      <c r="B3" s="17"/>
      <c r="C3" s="17"/>
      <c r="D3" s="17"/>
      <c r="E3" s="17"/>
      <c r="F3" s="17"/>
      <c r="G3" s="17"/>
      <c r="H3" s="17"/>
      <c r="I3" s="17"/>
      <c r="J3" s="17"/>
      <c r="K3" s="17"/>
      <c r="L3" s="17"/>
      <c r="M3" s="17"/>
      <c r="N3" s="17"/>
      <c r="O3" s="17"/>
      <c r="P3" s="17"/>
    </row>
    <row r="4" spans="1:16" ht="27" customHeight="1" thickBot="1" x14ac:dyDescent="0.25">
      <c r="B4" s="18" t="s">
        <v>27</v>
      </c>
      <c r="C4" s="18" t="s">
        <v>31</v>
      </c>
      <c r="D4" s="18" t="s">
        <v>30</v>
      </c>
      <c r="E4" s="18" t="s">
        <v>43</v>
      </c>
      <c r="G4" s="18" t="s">
        <v>40</v>
      </c>
      <c r="I4" s="19" t="s">
        <v>30</v>
      </c>
      <c r="K4" s="18" t="s">
        <v>23</v>
      </c>
      <c r="M4" s="18" t="s">
        <v>24</v>
      </c>
      <c r="O4" s="18" t="s">
        <v>25</v>
      </c>
    </row>
    <row r="5" spans="1:16" ht="30" customHeight="1" thickTop="1" x14ac:dyDescent="0.2">
      <c r="B5" s="21" t="s">
        <v>107</v>
      </c>
      <c r="C5" s="21" t="s">
        <v>60</v>
      </c>
      <c r="D5" s="21" t="s">
        <v>51</v>
      </c>
      <c r="E5" s="53">
        <v>12</v>
      </c>
      <c r="G5" s="21" t="s">
        <v>69</v>
      </c>
      <c r="I5" s="22" t="s">
        <v>51</v>
      </c>
      <c r="K5" s="29"/>
    </row>
    <row r="6" spans="1:16" ht="30" customHeight="1" x14ac:dyDescent="0.2">
      <c r="B6" s="21" t="s">
        <v>48</v>
      </c>
      <c r="C6" s="21" t="s">
        <v>61</v>
      </c>
      <c r="D6" s="21" t="s">
        <v>51</v>
      </c>
      <c r="E6" s="53">
        <v>10.8</v>
      </c>
      <c r="G6" s="21" t="s">
        <v>70</v>
      </c>
      <c r="I6" s="22" t="s">
        <v>52</v>
      </c>
      <c r="K6" s="30"/>
    </row>
    <row r="7" spans="1:16" ht="30" customHeight="1" x14ac:dyDescent="0.2">
      <c r="B7" s="21" t="s">
        <v>49</v>
      </c>
      <c r="C7" s="21" t="s">
        <v>62</v>
      </c>
      <c r="D7" s="21" t="s">
        <v>54</v>
      </c>
      <c r="E7" s="53">
        <v>15.4</v>
      </c>
      <c r="G7" s="21" t="s">
        <v>71</v>
      </c>
      <c r="I7" s="22" t="s">
        <v>53</v>
      </c>
      <c r="K7" s="31"/>
    </row>
    <row r="8" spans="1:16" ht="30" customHeight="1" x14ac:dyDescent="0.2">
      <c r="B8" s="21" t="s">
        <v>50</v>
      </c>
      <c r="C8" s="21" t="s">
        <v>63</v>
      </c>
      <c r="D8" s="21" t="s">
        <v>52</v>
      </c>
      <c r="E8" s="53">
        <v>7.8</v>
      </c>
      <c r="I8" s="22" t="s">
        <v>54</v>
      </c>
      <c r="K8" s="23"/>
    </row>
    <row r="9" spans="1:16" ht="30" customHeight="1" x14ac:dyDescent="0.2">
      <c r="B9" s="21" t="s">
        <v>55</v>
      </c>
      <c r="C9" s="21" t="s">
        <v>64</v>
      </c>
      <c r="D9" s="21" t="s">
        <v>53</v>
      </c>
      <c r="E9" s="53">
        <v>12.6</v>
      </c>
      <c r="I9" s="22"/>
      <c r="K9" s="23"/>
    </row>
    <row r="10" spans="1:16" ht="30" customHeight="1" x14ac:dyDescent="0.2">
      <c r="B10" s="21" t="s">
        <v>56</v>
      </c>
      <c r="C10" s="21" t="s">
        <v>65</v>
      </c>
      <c r="D10" s="21" t="s">
        <v>52</v>
      </c>
      <c r="E10" s="53">
        <v>17</v>
      </c>
      <c r="I10" s="22"/>
      <c r="K10" s="23"/>
    </row>
    <row r="11" spans="1:16" ht="30" customHeight="1" x14ac:dyDescent="0.2">
      <c r="B11" s="21" t="s">
        <v>57</v>
      </c>
      <c r="C11" s="21" t="s">
        <v>66</v>
      </c>
      <c r="D11" s="21" t="s">
        <v>54</v>
      </c>
      <c r="E11" s="53">
        <v>15</v>
      </c>
      <c r="I11" s="22"/>
      <c r="K11" s="23"/>
    </row>
    <row r="12" spans="1:16" ht="30" customHeight="1" x14ac:dyDescent="0.2">
      <c r="B12" s="21" t="s">
        <v>58</v>
      </c>
      <c r="C12" s="21" t="s">
        <v>67</v>
      </c>
      <c r="D12" s="21" t="s">
        <v>52</v>
      </c>
      <c r="E12" s="53">
        <v>14</v>
      </c>
      <c r="I12" s="22"/>
    </row>
    <row r="13" spans="1:16" ht="30" customHeight="1" x14ac:dyDescent="0.2">
      <c r="B13" s="21" t="s">
        <v>59</v>
      </c>
      <c r="C13" s="21" t="s">
        <v>68</v>
      </c>
      <c r="D13" s="21" t="s">
        <v>53</v>
      </c>
      <c r="E13" s="53">
        <v>8.9</v>
      </c>
      <c r="I13" s="22"/>
    </row>
    <row r="14" spans="1:16" ht="30" customHeight="1" x14ac:dyDescent="0.2">
      <c r="I14" s="22"/>
    </row>
    <row r="15" spans="1:16" ht="30" customHeight="1" x14ac:dyDescent="0.2">
      <c r="I15" s="22"/>
    </row>
    <row r="16" spans="1:16" ht="30" customHeight="1" x14ac:dyDescent="0.2">
      <c r="I16" s="22"/>
    </row>
    <row r="17" spans="9:9" ht="30" customHeight="1" x14ac:dyDescent="0.2">
      <c r="I17" s="22"/>
    </row>
    <row r="18" spans="9:9" ht="30" customHeight="1" x14ac:dyDescent="0.2">
      <c r="I18" s="22"/>
    </row>
    <row r="19" spans="9:9" ht="30" customHeight="1" x14ac:dyDescent="0.2">
      <c r="I19" s="22"/>
    </row>
    <row r="20" spans="9:9" ht="30" customHeight="1" x14ac:dyDescent="0.2">
      <c r="I20" s="22"/>
    </row>
    <row r="21" spans="9:9" ht="30" customHeight="1" x14ac:dyDescent="0.2">
      <c r="I21" s="22"/>
    </row>
    <row r="22" spans="9:9" ht="30" customHeight="1" x14ac:dyDescent="0.2">
      <c r="I22" s="22"/>
    </row>
    <row r="23" spans="9:9" ht="30" customHeight="1" x14ac:dyDescent="0.2">
      <c r="I23" s="22"/>
    </row>
    <row r="24" spans="9:9" ht="30" customHeight="1" x14ac:dyDescent="0.2">
      <c r="I24" s="22"/>
    </row>
  </sheetData>
  <sheetProtection selectLockedCells="1"/>
  <mergeCells count="6">
    <mergeCell ref="N2:O2"/>
    <mergeCell ref="A2:E2"/>
    <mergeCell ref="H2:I2"/>
    <mergeCell ref="F2:G2"/>
    <mergeCell ref="J2:K2"/>
    <mergeCell ref="L2:M2"/>
  </mergeCells>
  <phoneticPr fontId="5" type="noConversion"/>
  <dataValidations count="1">
    <dataValidation type="list" allowBlank="1" showInputMessage="1" showErrorMessage="1" sqref="D5:D1048576" xr:uid="{C8CE4B02-DDC0-4278-BD36-9B81B64D0AD2}">
      <formula1>sectors</formula1>
    </dataValidation>
  </dataValidations>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876B37-37A9-431A-B1BB-8702375D4E9B}">
  <dimension ref="B3:X300"/>
  <sheetViews>
    <sheetView topLeftCell="Q1" zoomScaleNormal="100" workbookViewId="0">
      <selection activeCell="W6" sqref="W6"/>
    </sheetView>
  </sheetViews>
  <sheetFormatPr defaultRowHeight="12.75" x14ac:dyDescent="0.2"/>
  <cols>
    <col min="2" max="2" width="13.85546875" bestFit="1" customWidth="1"/>
    <col min="3" max="4" width="20" bestFit="1" customWidth="1"/>
    <col min="5" max="5" width="13.85546875" bestFit="1" customWidth="1"/>
    <col min="6" max="6" width="20.28515625" bestFit="1" customWidth="1"/>
    <col min="7" max="7" width="20" bestFit="1" customWidth="1"/>
    <col min="8" max="8" width="13.85546875" bestFit="1" customWidth="1"/>
    <col min="9" max="9" width="17.28515625" bestFit="1" customWidth="1"/>
    <col min="10" max="10" width="16.28515625" bestFit="1" customWidth="1"/>
    <col min="11" max="11" width="23" bestFit="1" customWidth="1"/>
    <col min="12" max="12" width="13.85546875" bestFit="1" customWidth="1"/>
    <col min="13" max="13" width="24" bestFit="1" customWidth="1"/>
    <col min="15" max="15" width="13.85546875" bestFit="1" customWidth="1"/>
    <col min="16" max="16" width="14.28515625" bestFit="1" customWidth="1"/>
    <col min="17" max="17" width="13.85546875" bestFit="1" customWidth="1"/>
    <col min="18" max="18" width="14.28515625" bestFit="1" customWidth="1"/>
    <col min="20" max="20" width="13.85546875" bestFit="1" customWidth="1"/>
    <col min="21" max="21" width="23.85546875" bestFit="1" customWidth="1"/>
    <col min="22" max="22" width="18.7109375" bestFit="1" customWidth="1"/>
    <col min="23" max="23" width="24" bestFit="1" customWidth="1"/>
    <col min="24" max="24" width="20" bestFit="1" customWidth="1"/>
  </cols>
  <sheetData>
    <row r="3" spans="2:24" x14ac:dyDescent="0.2">
      <c r="B3" s="54" t="s">
        <v>72</v>
      </c>
      <c r="C3" t="s">
        <v>86</v>
      </c>
      <c r="E3" s="54" t="s">
        <v>72</v>
      </c>
      <c r="F3" t="s">
        <v>88</v>
      </c>
      <c r="H3" s="54" t="s">
        <v>72</v>
      </c>
      <c r="I3" t="s">
        <v>89</v>
      </c>
      <c r="J3" t="s">
        <v>90</v>
      </c>
      <c r="L3" s="54" t="s">
        <v>72</v>
      </c>
      <c r="M3" t="s">
        <v>87</v>
      </c>
      <c r="O3" s="54" t="s">
        <v>72</v>
      </c>
      <c r="Q3" s="54" t="s">
        <v>72</v>
      </c>
      <c r="T3" s="54" t="s">
        <v>72</v>
      </c>
      <c r="U3" t="s">
        <v>94</v>
      </c>
      <c r="V3" t="s">
        <v>95</v>
      </c>
      <c r="W3" t="s">
        <v>87</v>
      </c>
      <c r="X3" t="s">
        <v>86</v>
      </c>
    </row>
    <row r="4" spans="2:24" x14ac:dyDescent="0.2">
      <c r="B4" s="55" t="s">
        <v>74</v>
      </c>
      <c r="C4" s="56">
        <v>9.9114393232037079E-3</v>
      </c>
      <c r="E4" s="55" t="s">
        <v>74</v>
      </c>
      <c r="F4" s="58">
        <v>-21.000000000001137</v>
      </c>
      <c r="H4" s="55" t="s">
        <v>60</v>
      </c>
      <c r="I4" s="57">
        <v>12</v>
      </c>
      <c r="J4" s="57">
        <v>6</v>
      </c>
      <c r="L4" s="55" t="s">
        <v>51</v>
      </c>
      <c r="M4" s="58">
        <v>1222.5999999999983</v>
      </c>
      <c r="O4" s="55" t="s">
        <v>51</v>
      </c>
      <c r="P4">
        <f>IF(OR(O4="",O4="(blank)"),"",1)</f>
        <v>1</v>
      </c>
      <c r="Q4" s="55" t="s">
        <v>47</v>
      </c>
      <c r="R4">
        <f>IF(OR(Q4="",Q4="(blank)"),"",1)</f>
        <v>1</v>
      </c>
      <c r="T4" s="55" t="s">
        <v>47</v>
      </c>
      <c r="U4" s="58">
        <v>12.545454545454545</v>
      </c>
      <c r="V4" s="58">
        <v>36948</v>
      </c>
      <c r="W4" s="58">
        <v>1758</v>
      </c>
      <c r="X4" s="56">
        <v>0.49999999999999994</v>
      </c>
    </row>
    <row r="5" spans="2:24" x14ac:dyDescent="0.2">
      <c r="B5" s="55" t="s">
        <v>75</v>
      </c>
      <c r="C5" s="56">
        <v>-0.25799481417458969</v>
      </c>
      <c r="E5" s="55" t="s">
        <v>75</v>
      </c>
      <c r="F5" s="58">
        <v>-937.50000000000182</v>
      </c>
      <c r="H5" s="55" t="s">
        <v>66</v>
      </c>
      <c r="I5" s="57">
        <v>15</v>
      </c>
      <c r="J5" s="57">
        <v>-3</v>
      </c>
      <c r="L5" s="55" t="s">
        <v>52</v>
      </c>
      <c r="M5" s="58">
        <v>-401.29999999999973</v>
      </c>
      <c r="O5" s="55" t="s">
        <v>52</v>
      </c>
      <c r="P5">
        <f t="shared" ref="P5:R68" si="0">IF(OR(O5="",O5="(blank)"),"",1)</f>
        <v>1</v>
      </c>
      <c r="Q5" s="55" t="s">
        <v>57</v>
      </c>
      <c r="R5">
        <f t="shared" si="0"/>
        <v>1</v>
      </c>
      <c r="T5" s="55" t="s">
        <v>57</v>
      </c>
      <c r="U5" s="58">
        <v>14.625</v>
      </c>
      <c r="V5" s="58">
        <v>25575</v>
      </c>
      <c r="W5" s="58">
        <v>-510</v>
      </c>
      <c r="X5" s="56">
        <v>-0.2</v>
      </c>
    </row>
    <row r="6" spans="2:24" x14ac:dyDescent="0.2">
      <c r="B6" s="55" t="s">
        <v>76</v>
      </c>
      <c r="C6" s="56">
        <v>0.65173403375650563</v>
      </c>
      <c r="E6" s="55" t="s">
        <v>76</v>
      </c>
      <c r="F6" s="58">
        <v>753.59999999999832</v>
      </c>
      <c r="H6" s="55" t="s">
        <v>67</v>
      </c>
      <c r="I6" s="57">
        <v>14</v>
      </c>
      <c r="J6" s="57">
        <v>8</v>
      </c>
      <c r="L6" s="55" t="s">
        <v>53</v>
      </c>
      <c r="M6" s="58">
        <v>3011.7999999999993</v>
      </c>
      <c r="O6" s="55" t="s">
        <v>53</v>
      </c>
      <c r="P6">
        <f t="shared" si="0"/>
        <v>1</v>
      </c>
      <c r="Q6" s="55" t="s">
        <v>58</v>
      </c>
      <c r="R6">
        <f t="shared" si="0"/>
        <v>1</v>
      </c>
      <c r="T6" s="55" t="s">
        <v>58</v>
      </c>
      <c r="U6" s="58">
        <v>14.615384615384615</v>
      </c>
      <c r="V6" s="58">
        <v>49238</v>
      </c>
      <c r="W6" s="58">
        <v>1897</v>
      </c>
      <c r="X6" s="56">
        <v>0.57142857142857129</v>
      </c>
    </row>
    <row r="7" spans="2:24" x14ac:dyDescent="0.2">
      <c r="B7" s="55" t="s">
        <v>77</v>
      </c>
      <c r="C7" s="56">
        <v>-7.6250546838782074E-2</v>
      </c>
      <c r="E7" s="55" t="s">
        <v>77</v>
      </c>
      <c r="F7" s="58">
        <v>539.79999999999859</v>
      </c>
      <c r="H7" s="55" t="s">
        <v>68</v>
      </c>
      <c r="I7" s="57">
        <v>8.9</v>
      </c>
      <c r="J7" s="57">
        <v>6.5999999999999979</v>
      </c>
      <c r="L7" s="55" t="s">
        <v>54</v>
      </c>
      <c r="M7" s="58">
        <v>693.59999999999673</v>
      </c>
      <c r="O7" s="55" t="s">
        <v>54</v>
      </c>
      <c r="P7">
        <f t="shared" si="0"/>
        <v>1</v>
      </c>
      <c r="Q7" s="55" t="s">
        <v>59</v>
      </c>
      <c r="R7">
        <f t="shared" si="0"/>
        <v>1</v>
      </c>
      <c r="T7" s="55" t="s">
        <v>59</v>
      </c>
      <c r="U7" s="58">
        <v>10</v>
      </c>
      <c r="V7" s="58">
        <v>16091.2</v>
      </c>
      <c r="W7" s="58">
        <v>1996.7999999999988</v>
      </c>
      <c r="X7" s="56">
        <v>0.74157303370786476</v>
      </c>
    </row>
    <row r="8" spans="2:24" x14ac:dyDescent="0.2">
      <c r="B8" s="55" t="s">
        <v>78</v>
      </c>
      <c r="C8" s="56">
        <v>0.43131493974190599</v>
      </c>
      <c r="E8" s="55" t="s">
        <v>78</v>
      </c>
      <c r="F8" s="58">
        <v>1854.3999999999985</v>
      </c>
      <c r="H8" s="55" t="s">
        <v>65</v>
      </c>
      <c r="I8" s="57">
        <v>17</v>
      </c>
      <c r="J8" s="57">
        <v>-3.6999999999999993</v>
      </c>
      <c r="L8" s="55" t="s">
        <v>73</v>
      </c>
      <c r="M8" s="58">
        <v>4526.6999999999944</v>
      </c>
      <c r="P8" t="str">
        <f t="shared" si="0"/>
        <v/>
      </c>
      <c r="Q8" s="55" t="s">
        <v>56</v>
      </c>
      <c r="R8">
        <f t="shared" si="0"/>
        <v>1</v>
      </c>
      <c r="T8" s="55" t="s">
        <v>56</v>
      </c>
      <c r="U8" s="58">
        <v>16.735714285714288</v>
      </c>
      <c r="V8" s="58">
        <v>79186</v>
      </c>
      <c r="W8" s="58">
        <v>-1769.6999999999998</v>
      </c>
      <c r="X8" s="56">
        <v>-0.21764705882352936</v>
      </c>
    </row>
    <row r="9" spans="2:24" x14ac:dyDescent="0.2">
      <c r="B9" s="55" t="s">
        <v>79</v>
      </c>
      <c r="C9" s="56">
        <v>3.7037037037037007E-2</v>
      </c>
      <c r="E9" s="55" t="s">
        <v>79</v>
      </c>
      <c r="F9" s="58">
        <v>1909.9999999999984</v>
      </c>
      <c r="H9" s="55" t="s">
        <v>61</v>
      </c>
      <c r="I9" s="57">
        <v>10.799999999999999</v>
      </c>
      <c r="J9" s="57">
        <v>-0.60000000000000497</v>
      </c>
      <c r="P9" t="str">
        <f t="shared" si="0"/>
        <v/>
      </c>
      <c r="Q9" s="55" t="s">
        <v>48</v>
      </c>
      <c r="R9">
        <f t="shared" si="0"/>
        <v>1</v>
      </c>
      <c r="T9" s="55" t="s">
        <v>48</v>
      </c>
      <c r="U9" s="58">
        <v>10.725</v>
      </c>
      <c r="V9" s="58">
        <v>23695.200000000001</v>
      </c>
      <c r="W9" s="58">
        <v>-535.40000000000168</v>
      </c>
      <c r="X9" s="56">
        <v>-5.555555555555608E-2</v>
      </c>
    </row>
    <row r="10" spans="2:24" x14ac:dyDescent="0.2">
      <c r="B10" s="55" t="s">
        <v>80</v>
      </c>
      <c r="C10" s="56">
        <v>0.4541167505476823</v>
      </c>
      <c r="E10" s="55" t="s">
        <v>80</v>
      </c>
      <c r="F10" s="58">
        <v>3101.4999999999982</v>
      </c>
      <c r="H10" s="55" t="s">
        <v>62</v>
      </c>
      <c r="I10" s="57">
        <v>15.400000000000004</v>
      </c>
      <c r="J10" s="57">
        <v>2.9999999999999947</v>
      </c>
      <c r="P10" t="str">
        <f t="shared" si="0"/>
        <v/>
      </c>
      <c r="Q10" s="55" t="s">
        <v>49</v>
      </c>
      <c r="R10">
        <f t="shared" si="0"/>
        <v>1</v>
      </c>
      <c r="T10" s="55" t="s">
        <v>49</v>
      </c>
      <c r="U10" s="58">
        <v>15.6</v>
      </c>
      <c r="V10" s="58">
        <v>73396.400000000009</v>
      </c>
      <c r="W10" s="58">
        <v>1203.5999999999967</v>
      </c>
      <c r="X10" s="56">
        <v>0.1948051948051942</v>
      </c>
    </row>
    <row r="11" spans="2:24" x14ac:dyDescent="0.2">
      <c r="B11" s="55" t="s">
        <v>81</v>
      </c>
      <c r="C11" s="56">
        <v>-4.6858588035058754E-2</v>
      </c>
      <c r="E11" s="55" t="s">
        <v>81</v>
      </c>
      <c r="F11" s="58">
        <v>2973.4999999999977</v>
      </c>
      <c r="H11" s="55" t="s">
        <v>63</v>
      </c>
      <c r="I11" s="57">
        <v>7.7999999999999989</v>
      </c>
      <c r="J11" s="57">
        <v>-1.5999999999999988</v>
      </c>
      <c r="P11" t="str">
        <f t="shared" si="0"/>
        <v/>
      </c>
      <c r="Q11" s="55" t="s">
        <v>50</v>
      </c>
      <c r="R11">
        <f t="shared" si="0"/>
        <v>1</v>
      </c>
      <c r="T11" s="55" t="s">
        <v>50</v>
      </c>
      <c r="U11" s="58">
        <v>7.5714285714285712</v>
      </c>
      <c r="V11" s="58">
        <v>21504.6</v>
      </c>
      <c r="W11" s="58">
        <v>-528.59999999999991</v>
      </c>
      <c r="X11" s="56">
        <v>-0.20512820512820509</v>
      </c>
    </row>
    <row r="12" spans="2:24" x14ac:dyDescent="0.2">
      <c r="B12" s="55" t="s">
        <v>82</v>
      </c>
      <c r="C12" s="56">
        <v>0.1179144385026737</v>
      </c>
      <c r="E12" s="55" t="s">
        <v>82</v>
      </c>
      <c r="F12" s="58">
        <v>2795.3999999999974</v>
      </c>
      <c r="H12" s="55" t="s">
        <v>64</v>
      </c>
      <c r="I12" s="57">
        <v>12.599999999999998</v>
      </c>
      <c r="J12" s="57">
        <v>4.2000000000000028</v>
      </c>
      <c r="P12" t="str">
        <f t="shared" si="0"/>
        <v/>
      </c>
      <c r="Q12" s="55" t="s">
        <v>55</v>
      </c>
      <c r="R12">
        <f t="shared" si="0"/>
        <v>1</v>
      </c>
      <c r="T12" s="55" t="s">
        <v>55</v>
      </c>
      <c r="U12" s="58">
        <v>13.125</v>
      </c>
      <c r="V12" s="58">
        <v>32066.999999999996</v>
      </c>
      <c r="W12" s="58">
        <v>1015.0000000000005</v>
      </c>
      <c r="X12" s="56">
        <v>0.33333333333333359</v>
      </c>
    </row>
    <row r="13" spans="2:24" x14ac:dyDescent="0.2">
      <c r="B13" s="55" t="s">
        <v>83</v>
      </c>
      <c r="C13" s="56">
        <v>0.39241002443249623</v>
      </c>
      <c r="E13" s="55" t="s">
        <v>83</v>
      </c>
      <c r="F13" s="58">
        <v>4408.6999999999971</v>
      </c>
      <c r="H13" s="55" t="s">
        <v>73</v>
      </c>
      <c r="I13" s="57">
        <v>13.313333333333313</v>
      </c>
      <c r="J13" s="57">
        <v>18.899999999999991</v>
      </c>
      <c r="P13" t="str">
        <f t="shared" si="0"/>
        <v/>
      </c>
      <c r="R13" t="str">
        <f t="shared" si="0"/>
        <v/>
      </c>
      <c r="T13" s="55" t="s">
        <v>73</v>
      </c>
      <c r="U13" s="58">
        <v>13.523333333333332</v>
      </c>
      <c r="V13" s="58">
        <v>357701.4</v>
      </c>
      <c r="W13" s="58">
        <v>4526.6999999999935</v>
      </c>
      <c r="X13" s="56">
        <v>1.662809313767672</v>
      </c>
    </row>
    <row r="14" spans="2:24" x14ac:dyDescent="0.2">
      <c r="B14" s="55" t="s">
        <v>84</v>
      </c>
      <c r="C14" s="56">
        <v>0.1684981684981684</v>
      </c>
      <c r="E14" s="55" t="s">
        <v>84</v>
      </c>
      <c r="F14" s="58">
        <v>5364.899999999996</v>
      </c>
      <c r="P14" t="str">
        <f t="shared" si="0"/>
        <v/>
      </c>
      <c r="R14" t="str">
        <f t="shared" si="0"/>
        <v/>
      </c>
    </row>
    <row r="15" spans="2:24" x14ac:dyDescent="0.2">
      <c r="B15" s="55" t="s">
        <v>85</v>
      </c>
      <c r="C15" s="56">
        <v>-0.21902356902356923</v>
      </c>
      <c r="E15" s="55" t="s">
        <v>85</v>
      </c>
      <c r="F15" s="58">
        <v>4526.6999999999953</v>
      </c>
      <c r="P15" t="str">
        <f t="shared" si="0"/>
        <v/>
      </c>
      <c r="R15" t="str">
        <f t="shared" si="0"/>
        <v/>
      </c>
    </row>
    <row r="16" spans="2:24" x14ac:dyDescent="0.2">
      <c r="B16" s="55" t="s">
        <v>73</v>
      </c>
      <c r="C16" s="56">
        <v>1.6628093137676734</v>
      </c>
      <c r="E16" s="55" t="s">
        <v>73</v>
      </c>
      <c r="F16" s="58"/>
      <c r="P16" t="str">
        <f t="shared" si="0"/>
        <v/>
      </c>
      <c r="R16" t="str">
        <f t="shared" si="0"/>
        <v/>
      </c>
    </row>
    <row r="17" spans="16:18" x14ac:dyDescent="0.2">
      <c r="P17" t="str">
        <f t="shared" si="0"/>
        <v/>
      </c>
      <c r="R17" t="str">
        <f t="shared" si="0"/>
        <v/>
      </c>
    </row>
    <row r="18" spans="16:18" x14ac:dyDescent="0.2">
      <c r="P18" t="str">
        <f t="shared" si="0"/>
        <v/>
      </c>
      <c r="R18" t="str">
        <f t="shared" si="0"/>
        <v/>
      </c>
    </row>
    <row r="19" spans="16:18" x14ac:dyDescent="0.2">
      <c r="P19" t="str">
        <f t="shared" si="0"/>
        <v/>
      </c>
      <c r="R19" t="str">
        <f t="shared" si="0"/>
        <v/>
      </c>
    </row>
    <row r="20" spans="16:18" x14ac:dyDescent="0.2">
      <c r="P20" t="str">
        <f t="shared" si="0"/>
        <v/>
      </c>
      <c r="R20" t="str">
        <f t="shared" si="0"/>
        <v/>
      </c>
    </row>
    <row r="21" spans="16:18" x14ac:dyDescent="0.2">
      <c r="P21" t="str">
        <f t="shared" si="0"/>
        <v/>
      </c>
      <c r="R21" t="str">
        <f t="shared" si="0"/>
        <v/>
      </c>
    </row>
    <row r="22" spans="16:18" x14ac:dyDescent="0.2">
      <c r="P22" t="str">
        <f t="shared" si="0"/>
        <v/>
      </c>
      <c r="R22" t="str">
        <f t="shared" si="0"/>
        <v/>
      </c>
    </row>
    <row r="23" spans="16:18" x14ac:dyDescent="0.2">
      <c r="P23" t="str">
        <f t="shared" si="0"/>
        <v/>
      </c>
      <c r="R23" t="str">
        <f t="shared" si="0"/>
        <v/>
      </c>
    </row>
    <row r="24" spans="16:18" x14ac:dyDescent="0.2">
      <c r="P24" t="str">
        <f t="shared" si="0"/>
        <v/>
      </c>
      <c r="R24" t="str">
        <f t="shared" si="0"/>
        <v/>
      </c>
    </row>
    <row r="25" spans="16:18" x14ac:dyDescent="0.2">
      <c r="P25" t="str">
        <f t="shared" si="0"/>
        <v/>
      </c>
      <c r="R25" t="str">
        <f t="shared" si="0"/>
        <v/>
      </c>
    </row>
    <row r="26" spans="16:18" x14ac:dyDescent="0.2">
      <c r="P26" t="str">
        <f t="shared" si="0"/>
        <v/>
      </c>
      <c r="R26" t="str">
        <f t="shared" si="0"/>
        <v/>
      </c>
    </row>
    <row r="27" spans="16:18" x14ac:dyDescent="0.2">
      <c r="P27" t="str">
        <f t="shared" si="0"/>
        <v/>
      </c>
      <c r="R27" t="str">
        <f t="shared" si="0"/>
        <v/>
      </c>
    </row>
    <row r="28" spans="16:18" x14ac:dyDescent="0.2">
      <c r="P28" t="str">
        <f t="shared" si="0"/>
        <v/>
      </c>
      <c r="R28" t="str">
        <f t="shared" si="0"/>
        <v/>
      </c>
    </row>
    <row r="29" spans="16:18" x14ac:dyDescent="0.2">
      <c r="P29" t="str">
        <f t="shared" si="0"/>
        <v/>
      </c>
      <c r="R29" t="str">
        <f t="shared" si="0"/>
        <v/>
      </c>
    </row>
    <row r="30" spans="16:18" x14ac:dyDescent="0.2">
      <c r="P30" t="str">
        <f t="shared" si="0"/>
        <v/>
      </c>
      <c r="R30" t="str">
        <f t="shared" si="0"/>
        <v/>
      </c>
    </row>
    <row r="31" spans="16:18" x14ac:dyDescent="0.2">
      <c r="P31" t="str">
        <f t="shared" si="0"/>
        <v/>
      </c>
      <c r="R31" t="str">
        <f t="shared" si="0"/>
        <v/>
      </c>
    </row>
    <row r="32" spans="16:18" x14ac:dyDescent="0.2">
      <c r="P32" t="str">
        <f t="shared" si="0"/>
        <v/>
      </c>
      <c r="R32" t="str">
        <f t="shared" si="0"/>
        <v/>
      </c>
    </row>
    <row r="33" spans="16:18" x14ac:dyDescent="0.2">
      <c r="P33" t="str">
        <f t="shared" si="0"/>
        <v/>
      </c>
      <c r="R33" t="str">
        <f t="shared" si="0"/>
        <v/>
      </c>
    </row>
    <row r="34" spans="16:18" x14ac:dyDescent="0.2">
      <c r="P34" t="str">
        <f t="shared" si="0"/>
        <v/>
      </c>
      <c r="R34" t="str">
        <f t="shared" si="0"/>
        <v/>
      </c>
    </row>
    <row r="35" spans="16:18" x14ac:dyDescent="0.2">
      <c r="P35" t="str">
        <f t="shared" si="0"/>
        <v/>
      </c>
      <c r="R35" t="str">
        <f t="shared" si="0"/>
        <v/>
      </c>
    </row>
    <row r="36" spans="16:18" x14ac:dyDescent="0.2">
      <c r="P36" t="str">
        <f t="shared" si="0"/>
        <v/>
      </c>
      <c r="R36" t="str">
        <f t="shared" si="0"/>
        <v/>
      </c>
    </row>
    <row r="37" spans="16:18" x14ac:dyDescent="0.2">
      <c r="P37" t="str">
        <f t="shared" si="0"/>
        <v/>
      </c>
      <c r="R37" t="str">
        <f t="shared" si="0"/>
        <v/>
      </c>
    </row>
    <row r="38" spans="16:18" x14ac:dyDescent="0.2">
      <c r="P38" t="str">
        <f t="shared" si="0"/>
        <v/>
      </c>
      <c r="R38" t="str">
        <f t="shared" si="0"/>
        <v/>
      </c>
    </row>
    <row r="39" spans="16:18" x14ac:dyDescent="0.2">
      <c r="P39" t="str">
        <f t="shared" si="0"/>
        <v/>
      </c>
      <c r="R39" t="str">
        <f t="shared" si="0"/>
        <v/>
      </c>
    </row>
    <row r="40" spans="16:18" x14ac:dyDescent="0.2">
      <c r="P40" t="str">
        <f t="shared" si="0"/>
        <v/>
      </c>
      <c r="R40" t="str">
        <f t="shared" si="0"/>
        <v/>
      </c>
    </row>
    <row r="41" spans="16:18" x14ac:dyDescent="0.2">
      <c r="P41" t="str">
        <f t="shared" si="0"/>
        <v/>
      </c>
      <c r="R41" t="str">
        <f t="shared" si="0"/>
        <v/>
      </c>
    </row>
    <row r="42" spans="16:18" x14ac:dyDescent="0.2">
      <c r="P42" t="str">
        <f t="shared" si="0"/>
        <v/>
      </c>
      <c r="R42" t="str">
        <f t="shared" si="0"/>
        <v/>
      </c>
    </row>
    <row r="43" spans="16:18" x14ac:dyDescent="0.2">
      <c r="P43" t="str">
        <f t="shared" si="0"/>
        <v/>
      </c>
      <c r="R43" t="str">
        <f t="shared" si="0"/>
        <v/>
      </c>
    </row>
    <row r="44" spans="16:18" x14ac:dyDescent="0.2">
      <c r="P44" t="str">
        <f t="shared" si="0"/>
        <v/>
      </c>
      <c r="R44" t="str">
        <f t="shared" si="0"/>
        <v/>
      </c>
    </row>
    <row r="45" spans="16:18" x14ac:dyDescent="0.2">
      <c r="P45" t="str">
        <f t="shared" si="0"/>
        <v/>
      </c>
      <c r="R45" t="str">
        <f t="shared" si="0"/>
        <v/>
      </c>
    </row>
    <row r="46" spans="16:18" x14ac:dyDescent="0.2">
      <c r="P46" t="str">
        <f t="shared" si="0"/>
        <v/>
      </c>
      <c r="R46" t="str">
        <f t="shared" si="0"/>
        <v/>
      </c>
    </row>
    <row r="47" spans="16:18" x14ac:dyDescent="0.2">
      <c r="P47" t="str">
        <f t="shared" si="0"/>
        <v/>
      </c>
      <c r="R47" t="str">
        <f t="shared" si="0"/>
        <v/>
      </c>
    </row>
    <row r="48" spans="16:18" x14ac:dyDescent="0.2">
      <c r="P48" t="str">
        <f t="shared" si="0"/>
        <v/>
      </c>
      <c r="R48" t="str">
        <f t="shared" si="0"/>
        <v/>
      </c>
    </row>
    <row r="49" spans="16:18" x14ac:dyDescent="0.2">
      <c r="P49" t="str">
        <f t="shared" si="0"/>
        <v/>
      </c>
      <c r="R49" t="str">
        <f t="shared" si="0"/>
        <v/>
      </c>
    </row>
    <row r="50" spans="16:18" x14ac:dyDescent="0.2">
      <c r="P50" t="str">
        <f t="shared" si="0"/>
        <v/>
      </c>
      <c r="R50" t="str">
        <f t="shared" si="0"/>
        <v/>
      </c>
    </row>
    <row r="51" spans="16:18" x14ac:dyDescent="0.2">
      <c r="P51" t="str">
        <f t="shared" si="0"/>
        <v/>
      </c>
      <c r="R51" t="str">
        <f t="shared" si="0"/>
        <v/>
      </c>
    </row>
    <row r="52" spans="16:18" x14ac:dyDescent="0.2">
      <c r="P52" t="str">
        <f t="shared" si="0"/>
        <v/>
      </c>
      <c r="R52" t="str">
        <f t="shared" si="0"/>
        <v/>
      </c>
    </row>
    <row r="53" spans="16:18" x14ac:dyDescent="0.2">
      <c r="P53" t="str">
        <f t="shared" si="0"/>
        <v/>
      </c>
      <c r="R53" t="str">
        <f t="shared" si="0"/>
        <v/>
      </c>
    </row>
    <row r="54" spans="16:18" x14ac:dyDescent="0.2">
      <c r="P54" t="str">
        <f t="shared" si="0"/>
        <v/>
      </c>
      <c r="R54" t="str">
        <f t="shared" si="0"/>
        <v/>
      </c>
    </row>
    <row r="55" spans="16:18" x14ac:dyDescent="0.2">
      <c r="P55" t="str">
        <f t="shared" si="0"/>
        <v/>
      </c>
      <c r="R55" t="str">
        <f t="shared" si="0"/>
        <v/>
      </c>
    </row>
    <row r="56" spans="16:18" x14ac:dyDescent="0.2">
      <c r="P56" t="str">
        <f t="shared" si="0"/>
        <v/>
      </c>
      <c r="R56" t="str">
        <f t="shared" si="0"/>
        <v/>
      </c>
    </row>
    <row r="57" spans="16:18" x14ac:dyDescent="0.2">
      <c r="P57" t="str">
        <f t="shared" si="0"/>
        <v/>
      </c>
      <c r="R57" t="str">
        <f t="shared" si="0"/>
        <v/>
      </c>
    </row>
    <row r="58" spans="16:18" x14ac:dyDescent="0.2">
      <c r="P58" t="str">
        <f t="shared" si="0"/>
        <v/>
      </c>
      <c r="R58" t="str">
        <f t="shared" si="0"/>
        <v/>
      </c>
    </row>
    <row r="59" spans="16:18" x14ac:dyDescent="0.2">
      <c r="P59" t="str">
        <f t="shared" si="0"/>
        <v/>
      </c>
      <c r="R59" t="str">
        <f t="shared" si="0"/>
        <v/>
      </c>
    </row>
    <row r="60" spans="16:18" x14ac:dyDescent="0.2">
      <c r="P60" t="str">
        <f t="shared" si="0"/>
        <v/>
      </c>
      <c r="R60" t="str">
        <f t="shared" si="0"/>
        <v/>
      </c>
    </row>
    <row r="61" spans="16:18" x14ac:dyDescent="0.2">
      <c r="P61" t="str">
        <f t="shared" si="0"/>
        <v/>
      </c>
      <c r="R61" t="str">
        <f t="shared" si="0"/>
        <v/>
      </c>
    </row>
    <row r="62" spans="16:18" x14ac:dyDescent="0.2">
      <c r="P62" t="str">
        <f t="shared" si="0"/>
        <v/>
      </c>
      <c r="R62" t="str">
        <f t="shared" si="0"/>
        <v/>
      </c>
    </row>
    <row r="63" spans="16:18" x14ac:dyDescent="0.2">
      <c r="P63" t="str">
        <f t="shared" si="0"/>
        <v/>
      </c>
      <c r="R63" t="str">
        <f t="shared" si="0"/>
        <v/>
      </c>
    </row>
    <row r="64" spans="16:18" x14ac:dyDescent="0.2">
      <c r="P64" t="str">
        <f t="shared" si="0"/>
        <v/>
      </c>
      <c r="R64" t="str">
        <f t="shared" si="0"/>
        <v/>
      </c>
    </row>
    <row r="65" spans="16:18" x14ac:dyDescent="0.2">
      <c r="P65" t="str">
        <f t="shared" si="0"/>
        <v/>
      </c>
      <c r="R65" t="str">
        <f t="shared" si="0"/>
        <v/>
      </c>
    </row>
    <row r="66" spans="16:18" x14ac:dyDescent="0.2">
      <c r="P66" t="str">
        <f t="shared" si="0"/>
        <v/>
      </c>
      <c r="R66" t="str">
        <f t="shared" si="0"/>
        <v/>
      </c>
    </row>
    <row r="67" spans="16:18" x14ac:dyDescent="0.2">
      <c r="P67" t="str">
        <f t="shared" si="0"/>
        <v/>
      </c>
      <c r="R67" t="str">
        <f t="shared" si="0"/>
        <v/>
      </c>
    </row>
    <row r="68" spans="16:18" x14ac:dyDescent="0.2">
      <c r="P68" t="str">
        <f t="shared" si="0"/>
        <v/>
      </c>
      <c r="R68" t="str">
        <f t="shared" si="0"/>
        <v/>
      </c>
    </row>
    <row r="69" spans="16:18" x14ac:dyDescent="0.2">
      <c r="P69" t="str">
        <f t="shared" ref="P69:R132" si="1">IF(OR(O69="",O69="(blank)"),"",1)</f>
        <v/>
      </c>
      <c r="R69" t="str">
        <f t="shared" si="1"/>
        <v/>
      </c>
    </row>
    <row r="70" spans="16:18" x14ac:dyDescent="0.2">
      <c r="P70" t="str">
        <f t="shared" si="1"/>
        <v/>
      </c>
      <c r="R70" t="str">
        <f t="shared" si="1"/>
        <v/>
      </c>
    </row>
    <row r="71" spans="16:18" x14ac:dyDescent="0.2">
      <c r="P71" t="str">
        <f t="shared" si="1"/>
        <v/>
      </c>
      <c r="R71" t="str">
        <f t="shared" si="1"/>
        <v/>
      </c>
    </row>
    <row r="72" spans="16:18" x14ac:dyDescent="0.2">
      <c r="P72" t="str">
        <f t="shared" si="1"/>
        <v/>
      </c>
      <c r="R72" t="str">
        <f t="shared" si="1"/>
        <v/>
      </c>
    </row>
    <row r="73" spans="16:18" x14ac:dyDescent="0.2">
      <c r="P73" t="str">
        <f t="shared" si="1"/>
        <v/>
      </c>
      <c r="R73" t="str">
        <f t="shared" si="1"/>
        <v/>
      </c>
    </row>
    <row r="74" spans="16:18" x14ac:dyDescent="0.2">
      <c r="P74" t="str">
        <f t="shared" si="1"/>
        <v/>
      </c>
      <c r="R74" t="str">
        <f t="shared" si="1"/>
        <v/>
      </c>
    </row>
    <row r="75" spans="16:18" x14ac:dyDescent="0.2">
      <c r="P75" t="str">
        <f t="shared" si="1"/>
        <v/>
      </c>
      <c r="R75" t="str">
        <f t="shared" si="1"/>
        <v/>
      </c>
    </row>
    <row r="76" spans="16:18" x14ac:dyDescent="0.2">
      <c r="P76" t="str">
        <f t="shared" si="1"/>
        <v/>
      </c>
      <c r="R76" t="str">
        <f t="shared" si="1"/>
        <v/>
      </c>
    </row>
    <row r="77" spans="16:18" x14ac:dyDescent="0.2">
      <c r="P77" t="str">
        <f t="shared" si="1"/>
        <v/>
      </c>
      <c r="R77" t="str">
        <f t="shared" si="1"/>
        <v/>
      </c>
    </row>
    <row r="78" spans="16:18" x14ac:dyDescent="0.2">
      <c r="P78" t="str">
        <f t="shared" si="1"/>
        <v/>
      </c>
      <c r="R78" t="str">
        <f t="shared" si="1"/>
        <v/>
      </c>
    </row>
    <row r="79" spans="16:18" x14ac:dyDescent="0.2">
      <c r="P79" t="str">
        <f t="shared" si="1"/>
        <v/>
      </c>
      <c r="R79" t="str">
        <f t="shared" si="1"/>
        <v/>
      </c>
    </row>
    <row r="80" spans="16:18" x14ac:dyDescent="0.2">
      <c r="P80" t="str">
        <f t="shared" si="1"/>
        <v/>
      </c>
      <c r="R80" t="str">
        <f t="shared" si="1"/>
        <v/>
      </c>
    </row>
    <row r="81" spans="16:18" x14ac:dyDescent="0.2">
      <c r="P81" t="str">
        <f t="shared" si="1"/>
        <v/>
      </c>
      <c r="R81" t="str">
        <f t="shared" si="1"/>
        <v/>
      </c>
    </row>
    <row r="82" spans="16:18" x14ac:dyDescent="0.2">
      <c r="P82" t="str">
        <f t="shared" si="1"/>
        <v/>
      </c>
      <c r="R82" t="str">
        <f t="shared" si="1"/>
        <v/>
      </c>
    </row>
    <row r="83" spans="16:18" x14ac:dyDescent="0.2">
      <c r="P83" t="str">
        <f t="shared" si="1"/>
        <v/>
      </c>
      <c r="R83" t="str">
        <f t="shared" si="1"/>
        <v/>
      </c>
    </row>
    <row r="84" spans="16:18" x14ac:dyDescent="0.2">
      <c r="P84" t="str">
        <f t="shared" si="1"/>
        <v/>
      </c>
      <c r="R84" t="str">
        <f t="shared" si="1"/>
        <v/>
      </c>
    </row>
    <row r="85" spans="16:18" x14ac:dyDescent="0.2">
      <c r="P85" t="str">
        <f t="shared" si="1"/>
        <v/>
      </c>
      <c r="R85" t="str">
        <f t="shared" si="1"/>
        <v/>
      </c>
    </row>
    <row r="86" spans="16:18" x14ac:dyDescent="0.2">
      <c r="P86" t="str">
        <f t="shared" si="1"/>
        <v/>
      </c>
      <c r="R86" t="str">
        <f t="shared" si="1"/>
        <v/>
      </c>
    </row>
    <row r="87" spans="16:18" x14ac:dyDescent="0.2">
      <c r="P87" t="str">
        <f t="shared" si="1"/>
        <v/>
      </c>
      <c r="R87" t="str">
        <f t="shared" si="1"/>
        <v/>
      </c>
    </row>
    <row r="88" spans="16:18" x14ac:dyDescent="0.2">
      <c r="P88" t="str">
        <f t="shared" si="1"/>
        <v/>
      </c>
      <c r="R88" t="str">
        <f t="shared" si="1"/>
        <v/>
      </c>
    </row>
    <row r="89" spans="16:18" x14ac:dyDescent="0.2">
      <c r="P89" t="str">
        <f t="shared" si="1"/>
        <v/>
      </c>
      <c r="R89" t="str">
        <f t="shared" si="1"/>
        <v/>
      </c>
    </row>
    <row r="90" spans="16:18" x14ac:dyDescent="0.2">
      <c r="P90" t="str">
        <f t="shared" si="1"/>
        <v/>
      </c>
      <c r="R90" t="str">
        <f t="shared" si="1"/>
        <v/>
      </c>
    </row>
    <row r="91" spans="16:18" x14ac:dyDescent="0.2">
      <c r="P91" t="str">
        <f t="shared" si="1"/>
        <v/>
      </c>
      <c r="R91" t="str">
        <f t="shared" si="1"/>
        <v/>
      </c>
    </row>
    <row r="92" spans="16:18" x14ac:dyDescent="0.2">
      <c r="P92" t="str">
        <f t="shared" si="1"/>
        <v/>
      </c>
      <c r="R92" t="str">
        <f t="shared" si="1"/>
        <v/>
      </c>
    </row>
    <row r="93" spans="16:18" x14ac:dyDescent="0.2">
      <c r="P93" t="str">
        <f t="shared" si="1"/>
        <v/>
      </c>
      <c r="R93" t="str">
        <f t="shared" si="1"/>
        <v/>
      </c>
    </row>
    <row r="94" spans="16:18" x14ac:dyDescent="0.2">
      <c r="P94" t="str">
        <f t="shared" si="1"/>
        <v/>
      </c>
      <c r="R94" t="str">
        <f t="shared" si="1"/>
        <v/>
      </c>
    </row>
    <row r="95" spans="16:18" x14ac:dyDescent="0.2">
      <c r="P95" t="str">
        <f t="shared" si="1"/>
        <v/>
      </c>
      <c r="R95" t="str">
        <f t="shared" si="1"/>
        <v/>
      </c>
    </row>
    <row r="96" spans="16:18" x14ac:dyDescent="0.2">
      <c r="P96" t="str">
        <f t="shared" si="1"/>
        <v/>
      </c>
      <c r="R96" t="str">
        <f t="shared" si="1"/>
        <v/>
      </c>
    </row>
    <row r="97" spans="16:18" x14ac:dyDescent="0.2">
      <c r="P97" t="str">
        <f t="shared" si="1"/>
        <v/>
      </c>
      <c r="R97" t="str">
        <f t="shared" si="1"/>
        <v/>
      </c>
    </row>
    <row r="98" spans="16:18" x14ac:dyDescent="0.2">
      <c r="P98" t="str">
        <f t="shared" si="1"/>
        <v/>
      </c>
      <c r="R98" t="str">
        <f t="shared" si="1"/>
        <v/>
      </c>
    </row>
    <row r="99" spans="16:18" x14ac:dyDescent="0.2">
      <c r="P99" t="str">
        <f t="shared" si="1"/>
        <v/>
      </c>
      <c r="R99" t="str">
        <f t="shared" si="1"/>
        <v/>
      </c>
    </row>
    <row r="100" spans="16:18" x14ac:dyDescent="0.2">
      <c r="P100" t="str">
        <f t="shared" si="1"/>
        <v/>
      </c>
      <c r="R100" t="str">
        <f t="shared" si="1"/>
        <v/>
      </c>
    </row>
    <row r="101" spans="16:18" x14ac:dyDescent="0.2">
      <c r="P101" t="str">
        <f t="shared" si="1"/>
        <v/>
      </c>
      <c r="R101" t="str">
        <f t="shared" si="1"/>
        <v/>
      </c>
    </row>
    <row r="102" spans="16:18" x14ac:dyDescent="0.2">
      <c r="P102" t="str">
        <f t="shared" si="1"/>
        <v/>
      </c>
      <c r="R102" t="str">
        <f t="shared" si="1"/>
        <v/>
      </c>
    </row>
    <row r="103" spans="16:18" x14ac:dyDescent="0.2">
      <c r="P103" t="str">
        <f t="shared" si="1"/>
        <v/>
      </c>
      <c r="R103" t="str">
        <f t="shared" si="1"/>
        <v/>
      </c>
    </row>
    <row r="104" spans="16:18" x14ac:dyDescent="0.2">
      <c r="P104" t="str">
        <f t="shared" si="1"/>
        <v/>
      </c>
      <c r="R104" t="str">
        <f t="shared" si="1"/>
        <v/>
      </c>
    </row>
    <row r="105" spans="16:18" x14ac:dyDescent="0.2">
      <c r="P105" t="str">
        <f t="shared" si="1"/>
        <v/>
      </c>
      <c r="R105" t="str">
        <f t="shared" si="1"/>
        <v/>
      </c>
    </row>
    <row r="106" spans="16:18" x14ac:dyDescent="0.2">
      <c r="P106" t="str">
        <f t="shared" si="1"/>
        <v/>
      </c>
      <c r="R106" t="str">
        <f t="shared" si="1"/>
        <v/>
      </c>
    </row>
    <row r="107" spans="16:18" x14ac:dyDescent="0.2">
      <c r="P107" t="str">
        <f t="shared" si="1"/>
        <v/>
      </c>
      <c r="R107" t="str">
        <f t="shared" si="1"/>
        <v/>
      </c>
    </row>
    <row r="108" spans="16:18" x14ac:dyDescent="0.2">
      <c r="P108" t="str">
        <f t="shared" si="1"/>
        <v/>
      </c>
      <c r="R108" t="str">
        <f t="shared" si="1"/>
        <v/>
      </c>
    </row>
    <row r="109" spans="16:18" x14ac:dyDescent="0.2">
      <c r="P109" t="str">
        <f t="shared" si="1"/>
        <v/>
      </c>
      <c r="R109" t="str">
        <f t="shared" si="1"/>
        <v/>
      </c>
    </row>
    <row r="110" spans="16:18" x14ac:dyDescent="0.2">
      <c r="P110" t="str">
        <f t="shared" si="1"/>
        <v/>
      </c>
      <c r="R110" t="str">
        <f t="shared" si="1"/>
        <v/>
      </c>
    </row>
    <row r="111" spans="16:18" x14ac:dyDescent="0.2">
      <c r="P111" t="str">
        <f t="shared" si="1"/>
        <v/>
      </c>
      <c r="R111" t="str">
        <f t="shared" si="1"/>
        <v/>
      </c>
    </row>
    <row r="112" spans="16:18" x14ac:dyDescent="0.2">
      <c r="P112" t="str">
        <f t="shared" si="1"/>
        <v/>
      </c>
      <c r="R112" t="str">
        <f t="shared" si="1"/>
        <v/>
      </c>
    </row>
    <row r="113" spans="16:18" x14ac:dyDescent="0.2">
      <c r="P113" t="str">
        <f t="shared" si="1"/>
        <v/>
      </c>
      <c r="R113" t="str">
        <f t="shared" si="1"/>
        <v/>
      </c>
    </row>
    <row r="114" spans="16:18" x14ac:dyDescent="0.2">
      <c r="P114" t="str">
        <f t="shared" si="1"/>
        <v/>
      </c>
      <c r="R114" t="str">
        <f t="shared" si="1"/>
        <v/>
      </c>
    </row>
    <row r="115" spans="16:18" x14ac:dyDescent="0.2">
      <c r="P115" t="str">
        <f t="shared" si="1"/>
        <v/>
      </c>
      <c r="R115" t="str">
        <f t="shared" si="1"/>
        <v/>
      </c>
    </row>
    <row r="116" spans="16:18" x14ac:dyDescent="0.2">
      <c r="P116" t="str">
        <f t="shared" si="1"/>
        <v/>
      </c>
      <c r="R116" t="str">
        <f t="shared" si="1"/>
        <v/>
      </c>
    </row>
    <row r="117" spans="16:18" x14ac:dyDescent="0.2">
      <c r="P117" t="str">
        <f t="shared" si="1"/>
        <v/>
      </c>
      <c r="R117" t="str">
        <f t="shared" si="1"/>
        <v/>
      </c>
    </row>
    <row r="118" spans="16:18" x14ac:dyDescent="0.2">
      <c r="P118" t="str">
        <f t="shared" si="1"/>
        <v/>
      </c>
      <c r="R118" t="str">
        <f t="shared" si="1"/>
        <v/>
      </c>
    </row>
    <row r="119" spans="16:18" x14ac:dyDescent="0.2">
      <c r="P119" t="str">
        <f t="shared" si="1"/>
        <v/>
      </c>
      <c r="R119" t="str">
        <f t="shared" si="1"/>
        <v/>
      </c>
    </row>
    <row r="120" spans="16:18" x14ac:dyDescent="0.2">
      <c r="P120" t="str">
        <f t="shared" si="1"/>
        <v/>
      </c>
      <c r="R120" t="str">
        <f t="shared" si="1"/>
        <v/>
      </c>
    </row>
    <row r="121" spans="16:18" x14ac:dyDescent="0.2">
      <c r="P121" t="str">
        <f t="shared" si="1"/>
        <v/>
      </c>
      <c r="R121" t="str">
        <f t="shared" si="1"/>
        <v/>
      </c>
    </row>
    <row r="122" spans="16:18" x14ac:dyDescent="0.2">
      <c r="P122" t="str">
        <f t="shared" si="1"/>
        <v/>
      </c>
      <c r="R122" t="str">
        <f t="shared" si="1"/>
        <v/>
      </c>
    </row>
    <row r="123" spans="16:18" x14ac:dyDescent="0.2">
      <c r="P123" t="str">
        <f t="shared" si="1"/>
        <v/>
      </c>
      <c r="R123" t="str">
        <f t="shared" si="1"/>
        <v/>
      </c>
    </row>
    <row r="124" spans="16:18" x14ac:dyDescent="0.2">
      <c r="P124" t="str">
        <f t="shared" si="1"/>
        <v/>
      </c>
      <c r="R124" t="str">
        <f t="shared" si="1"/>
        <v/>
      </c>
    </row>
    <row r="125" spans="16:18" x14ac:dyDescent="0.2">
      <c r="P125" t="str">
        <f t="shared" si="1"/>
        <v/>
      </c>
      <c r="R125" t="str">
        <f t="shared" si="1"/>
        <v/>
      </c>
    </row>
    <row r="126" spans="16:18" x14ac:dyDescent="0.2">
      <c r="P126" t="str">
        <f t="shared" si="1"/>
        <v/>
      </c>
      <c r="R126" t="str">
        <f t="shared" si="1"/>
        <v/>
      </c>
    </row>
    <row r="127" spans="16:18" x14ac:dyDescent="0.2">
      <c r="P127" t="str">
        <f t="shared" si="1"/>
        <v/>
      </c>
      <c r="R127" t="str">
        <f t="shared" si="1"/>
        <v/>
      </c>
    </row>
    <row r="128" spans="16:18" x14ac:dyDescent="0.2">
      <c r="P128" t="str">
        <f t="shared" si="1"/>
        <v/>
      </c>
      <c r="R128" t="str">
        <f t="shared" si="1"/>
        <v/>
      </c>
    </row>
    <row r="129" spans="16:18" x14ac:dyDescent="0.2">
      <c r="P129" t="str">
        <f t="shared" si="1"/>
        <v/>
      </c>
      <c r="R129" t="str">
        <f t="shared" si="1"/>
        <v/>
      </c>
    </row>
    <row r="130" spans="16:18" x14ac:dyDescent="0.2">
      <c r="P130" t="str">
        <f t="shared" si="1"/>
        <v/>
      </c>
      <c r="R130" t="str">
        <f t="shared" si="1"/>
        <v/>
      </c>
    </row>
    <row r="131" spans="16:18" x14ac:dyDescent="0.2">
      <c r="P131" t="str">
        <f t="shared" si="1"/>
        <v/>
      </c>
      <c r="R131" t="str">
        <f t="shared" si="1"/>
        <v/>
      </c>
    </row>
    <row r="132" spans="16:18" x14ac:dyDescent="0.2">
      <c r="P132" t="str">
        <f t="shared" si="1"/>
        <v/>
      </c>
      <c r="R132" t="str">
        <f t="shared" si="1"/>
        <v/>
      </c>
    </row>
    <row r="133" spans="16:18" x14ac:dyDescent="0.2">
      <c r="P133" t="str">
        <f t="shared" ref="P133:R196" si="2">IF(OR(O133="",O133="(blank)"),"",1)</f>
        <v/>
      </c>
      <c r="R133" t="str">
        <f t="shared" si="2"/>
        <v/>
      </c>
    </row>
    <row r="134" spans="16:18" x14ac:dyDescent="0.2">
      <c r="P134" t="str">
        <f t="shared" si="2"/>
        <v/>
      </c>
      <c r="R134" t="str">
        <f t="shared" si="2"/>
        <v/>
      </c>
    </row>
    <row r="135" spans="16:18" x14ac:dyDescent="0.2">
      <c r="P135" t="str">
        <f t="shared" si="2"/>
        <v/>
      </c>
      <c r="R135" t="str">
        <f t="shared" si="2"/>
        <v/>
      </c>
    </row>
    <row r="136" spans="16:18" x14ac:dyDescent="0.2">
      <c r="P136" t="str">
        <f t="shared" si="2"/>
        <v/>
      </c>
      <c r="R136" t="str">
        <f t="shared" si="2"/>
        <v/>
      </c>
    </row>
    <row r="137" spans="16:18" x14ac:dyDescent="0.2">
      <c r="P137" t="str">
        <f t="shared" si="2"/>
        <v/>
      </c>
      <c r="R137" t="str">
        <f t="shared" si="2"/>
        <v/>
      </c>
    </row>
    <row r="138" spans="16:18" x14ac:dyDescent="0.2">
      <c r="P138" t="str">
        <f t="shared" si="2"/>
        <v/>
      </c>
      <c r="R138" t="str">
        <f t="shared" si="2"/>
        <v/>
      </c>
    </row>
    <row r="139" spans="16:18" x14ac:dyDescent="0.2">
      <c r="P139" t="str">
        <f t="shared" si="2"/>
        <v/>
      </c>
      <c r="R139" t="str">
        <f t="shared" si="2"/>
        <v/>
      </c>
    </row>
    <row r="140" spans="16:18" x14ac:dyDescent="0.2">
      <c r="P140" t="str">
        <f t="shared" si="2"/>
        <v/>
      </c>
      <c r="R140" t="str">
        <f t="shared" si="2"/>
        <v/>
      </c>
    </row>
    <row r="141" spans="16:18" x14ac:dyDescent="0.2">
      <c r="P141" t="str">
        <f t="shared" si="2"/>
        <v/>
      </c>
      <c r="R141" t="str">
        <f t="shared" si="2"/>
        <v/>
      </c>
    </row>
    <row r="142" spans="16:18" x14ac:dyDescent="0.2">
      <c r="P142" t="str">
        <f t="shared" si="2"/>
        <v/>
      </c>
      <c r="R142" t="str">
        <f t="shared" si="2"/>
        <v/>
      </c>
    </row>
    <row r="143" spans="16:18" x14ac:dyDescent="0.2">
      <c r="P143" t="str">
        <f t="shared" si="2"/>
        <v/>
      </c>
      <c r="R143" t="str">
        <f t="shared" si="2"/>
        <v/>
      </c>
    </row>
    <row r="144" spans="16:18" x14ac:dyDescent="0.2">
      <c r="P144" t="str">
        <f t="shared" si="2"/>
        <v/>
      </c>
      <c r="R144" t="str">
        <f t="shared" si="2"/>
        <v/>
      </c>
    </row>
    <row r="145" spans="16:18" x14ac:dyDescent="0.2">
      <c r="P145" t="str">
        <f t="shared" si="2"/>
        <v/>
      </c>
      <c r="R145" t="str">
        <f t="shared" si="2"/>
        <v/>
      </c>
    </row>
    <row r="146" spans="16:18" x14ac:dyDescent="0.2">
      <c r="P146" t="str">
        <f t="shared" si="2"/>
        <v/>
      </c>
      <c r="R146" t="str">
        <f t="shared" si="2"/>
        <v/>
      </c>
    </row>
    <row r="147" spans="16:18" x14ac:dyDescent="0.2">
      <c r="P147" t="str">
        <f t="shared" si="2"/>
        <v/>
      </c>
      <c r="R147" t="str">
        <f t="shared" si="2"/>
        <v/>
      </c>
    </row>
    <row r="148" spans="16:18" x14ac:dyDescent="0.2">
      <c r="P148" t="str">
        <f t="shared" si="2"/>
        <v/>
      </c>
      <c r="R148" t="str">
        <f t="shared" si="2"/>
        <v/>
      </c>
    </row>
    <row r="149" spans="16:18" x14ac:dyDescent="0.2">
      <c r="P149" t="str">
        <f t="shared" si="2"/>
        <v/>
      </c>
      <c r="R149" t="str">
        <f t="shared" si="2"/>
        <v/>
      </c>
    </row>
    <row r="150" spans="16:18" x14ac:dyDescent="0.2">
      <c r="P150" t="str">
        <f t="shared" si="2"/>
        <v/>
      </c>
      <c r="R150" t="str">
        <f t="shared" si="2"/>
        <v/>
      </c>
    </row>
    <row r="151" spans="16:18" x14ac:dyDescent="0.2">
      <c r="P151" t="str">
        <f t="shared" si="2"/>
        <v/>
      </c>
      <c r="R151" t="str">
        <f t="shared" si="2"/>
        <v/>
      </c>
    </row>
    <row r="152" spans="16:18" x14ac:dyDescent="0.2">
      <c r="P152" t="str">
        <f t="shared" si="2"/>
        <v/>
      </c>
      <c r="R152" t="str">
        <f t="shared" si="2"/>
        <v/>
      </c>
    </row>
    <row r="153" spans="16:18" x14ac:dyDescent="0.2">
      <c r="P153" t="str">
        <f t="shared" si="2"/>
        <v/>
      </c>
      <c r="R153" t="str">
        <f t="shared" si="2"/>
        <v/>
      </c>
    </row>
    <row r="154" spans="16:18" x14ac:dyDescent="0.2">
      <c r="P154" t="str">
        <f t="shared" si="2"/>
        <v/>
      </c>
      <c r="R154" t="str">
        <f t="shared" si="2"/>
        <v/>
      </c>
    </row>
    <row r="155" spans="16:18" x14ac:dyDescent="0.2">
      <c r="P155" t="str">
        <f t="shared" si="2"/>
        <v/>
      </c>
      <c r="R155" t="str">
        <f t="shared" si="2"/>
        <v/>
      </c>
    </row>
    <row r="156" spans="16:18" x14ac:dyDescent="0.2">
      <c r="P156" t="str">
        <f t="shared" si="2"/>
        <v/>
      </c>
      <c r="R156" t="str">
        <f t="shared" si="2"/>
        <v/>
      </c>
    </row>
    <row r="157" spans="16:18" x14ac:dyDescent="0.2">
      <c r="P157" t="str">
        <f t="shared" si="2"/>
        <v/>
      </c>
      <c r="R157" t="str">
        <f t="shared" si="2"/>
        <v/>
      </c>
    </row>
    <row r="158" spans="16:18" x14ac:dyDescent="0.2">
      <c r="P158" t="str">
        <f t="shared" si="2"/>
        <v/>
      </c>
      <c r="R158" t="str">
        <f t="shared" si="2"/>
        <v/>
      </c>
    </row>
    <row r="159" spans="16:18" x14ac:dyDescent="0.2">
      <c r="P159" t="str">
        <f t="shared" si="2"/>
        <v/>
      </c>
      <c r="R159" t="str">
        <f t="shared" si="2"/>
        <v/>
      </c>
    </row>
    <row r="160" spans="16:18" x14ac:dyDescent="0.2">
      <c r="P160" t="str">
        <f t="shared" si="2"/>
        <v/>
      </c>
      <c r="R160" t="str">
        <f t="shared" si="2"/>
        <v/>
      </c>
    </row>
    <row r="161" spans="16:18" x14ac:dyDescent="0.2">
      <c r="P161" t="str">
        <f t="shared" si="2"/>
        <v/>
      </c>
      <c r="R161" t="str">
        <f t="shared" si="2"/>
        <v/>
      </c>
    </row>
    <row r="162" spans="16:18" x14ac:dyDescent="0.2">
      <c r="P162" t="str">
        <f t="shared" si="2"/>
        <v/>
      </c>
      <c r="R162" t="str">
        <f t="shared" si="2"/>
        <v/>
      </c>
    </row>
    <row r="163" spans="16:18" x14ac:dyDescent="0.2">
      <c r="P163" t="str">
        <f t="shared" si="2"/>
        <v/>
      </c>
      <c r="R163" t="str">
        <f t="shared" si="2"/>
        <v/>
      </c>
    </row>
    <row r="164" spans="16:18" x14ac:dyDescent="0.2">
      <c r="P164" t="str">
        <f t="shared" si="2"/>
        <v/>
      </c>
      <c r="R164" t="str">
        <f t="shared" si="2"/>
        <v/>
      </c>
    </row>
    <row r="165" spans="16:18" x14ac:dyDescent="0.2">
      <c r="P165" t="str">
        <f t="shared" si="2"/>
        <v/>
      </c>
      <c r="R165" t="str">
        <f t="shared" si="2"/>
        <v/>
      </c>
    </row>
    <row r="166" spans="16:18" x14ac:dyDescent="0.2">
      <c r="P166" t="str">
        <f t="shared" si="2"/>
        <v/>
      </c>
      <c r="R166" t="str">
        <f t="shared" si="2"/>
        <v/>
      </c>
    </row>
    <row r="167" spans="16:18" x14ac:dyDescent="0.2">
      <c r="P167" t="str">
        <f t="shared" si="2"/>
        <v/>
      </c>
      <c r="R167" t="str">
        <f t="shared" si="2"/>
        <v/>
      </c>
    </row>
    <row r="168" spans="16:18" x14ac:dyDescent="0.2">
      <c r="P168" t="str">
        <f t="shared" si="2"/>
        <v/>
      </c>
      <c r="R168" t="str">
        <f t="shared" si="2"/>
        <v/>
      </c>
    </row>
    <row r="169" spans="16:18" x14ac:dyDescent="0.2">
      <c r="P169" t="str">
        <f t="shared" si="2"/>
        <v/>
      </c>
      <c r="R169" t="str">
        <f t="shared" si="2"/>
        <v/>
      </c>
    </row>
    <row r="170" spans="16:18" x14ac:dyDescent="0.2">
      <c r="P170" t="str">
        <f t="shared" si="2"/>
        <v/>
      </c>
      <c r="R170" t="str">
        <f t="shared" si="2"/>
        <v/>
      </c>
    </row>
    <row r="171" spans="16:18" x14ac:dyDescent="0.2">
      <c r="P171" t="str">
        <f t="shared" si="2"/>
        <v/>
      </c>
      <c r="R171" t="str">
        <f t="shared" si="2"/>
        <v/>
      </c>
    </row>
    <row r="172" spans="16:18" x14ac:dyDescent="0.2">
      <c r="P172" t="str">
        <f t="shared" si="2"/>
        <v/>
      </c>
      <c r="R172" t="str">
        <f t="shared" si="2"/>
        <v/>
      </c>
    </row>
    <row r="173" spans="16:18" x14ac:dyDescent="0.2">
      <c r="P173" t="str">
        <f t="shared" si="2"/>
        <v/>
      </c>
      <c r="R173" t="str">
        <f t="shared" si="2"/>
        <v/>
      </c>
    </row>
    <row r="174" spans="16:18" x14ac:dyDescent="0.2">
      <c r="P174" t="str">
        <f t="shared" si="2"/>
        <v/>
      </c>
      <c r="R174" t="str">
        <f t="shared" si="2"/>
        <v/>
      </c>
    </row>
    <row r="175" spans="16:18" x14ac:dyDescent="0.2">
      <c r="P175" t="str">
        <f t="shared" si="2"/>
        <v/>
      </c>
      <c r="R175" t="str">
        <f t="shared" si="2"/>
        <v/>
      </c>
    </row>
    <row r="176" spans="16:18" x14ac:dyDescent="0.2">
      <c r="P176" t="str">
        <f t="shared" si="2"/>
        <v/>
      </c>
      <c r="R176" t="str">
        <f t="shared" si="2"/>
        <v/>
      </c>
    </row>
    <row r="177" spans="16:18" x14ac:dyDescent="0.2">
      <c r="P177" t="str">
        <f t="shared" si="2"/>
        <v/>
      </c>
      <c r="R177" t="str">
        <f t="shared" si="2"/>
        <v/>
      </c>
    </row>
    <row r="178" spans="16:18" x14ac:dyDescent="0.2">
      <c r="P178" t="str">
        <f t="shared" si="2"/>
        <v/>
      </c>
      <c r="R178" t="str">
        <f t="shared" si="2"/>
        <v/>
      </c>
    </row>
    <row r="179" spans="16:18" x14ac:dyDescent="0.2">
      <c r="P179" t="str">
        <f t="shared" si="2"/>
        <v/>
      </c>
      <c r="R179" t="str">
        <f t="shared" si="2"/>
        <v/>
      </c>
    </row>
    <row r="180" spans="16:18" x14ac:dyDescent="0.2">
      <c r="P180" t="str">
        <f t="shared" si="2"/>
        <v/>
      </c>
      <c r="R180" t="str">
        <f t="shared" si="2"/>
        <v/>
      </c>
    </row>
    <row r="181" spans="16:18" x14ac:dyDescent="0.2">
      <c r="P181" t="str">
        <f t="shared" si="2"/>
        <v/>
      </c>
      <c r="R181" t="str">
        <f t="shared" si="2"/>
        <v/>
      </c>
    </row>
    <row r="182" spans="16:18" x14ac:dyDescent="0.2">
      <c r="P182" t="str">
        <f t="shared" si="2"/>
        <v/>
      </c>
      <c r="R182" t="str">
        <f t="shared" si="2"/>
        <v/>
      </c>
    </row>
    <row r="183" spans="16:18" x14ac:dyDescent="0.2">
      <c r="P183" t="str">
        <f t="shared" si="2"/>
        <v/>
      </c>
      <c r="R183" t="str">
        <f t="shared" si="2"/>
        <v/>
      </c>
    </row>
    <row r="184" spans="16:18" x14ac:dyDescent="0.2">
      <c r="P184" t="str">
        <f t="shared" si="2"/>
        <v/>
      </c>
      <c r="R184" t="str">
        <f t="shared" si="2"/>
        <v/>
      </c>
    </row>
    <row r="185" spans="16:18" x14ac:dyDescent="0.2">
      <c r="P185" t="str">
        <f t="shared" si="2"/>
        <v/>
      </c>
      <c r="R185" t="str">
        <f t="shared" si="2"/>
        <v/>
      </c>
    </row>
    <row r="186" spans="16:18" x14ac:dyDescent="0.2">
      <c r="P186" t="str">
        <f t="shared" si="2"/>
        <v/>
      </c>
      <c r="R186" t="str">
        <f t="shared" si="2"/>
        <v/>
      </c>
    </row>
    <row r="187" spans="16:18" x14ac:dyDescent="0.2">
      <c r="P187" t="str">
        <f t="shared" si="2"/>
        <v/>
      </c>
      <c r="R187" t="str">
        <f t="shared" si="2"/>
        <v/>
      </c>
    </row>
    <row r="188" spans="16:18" x14ac:dyDescent="0.2">
      <c r="P188" t="str">
        <f t="shared" si="2"/>
        <v/>
      </c>
      <c r="R188" t="str">
        <f t="shared" si="2"/>
        <v/>
      </c>
    </row>
    <row r="189" spans="16:18" x14ac:dyDescent="0.2">
      <c r="P189" t="str">
        <f t="shared" si="2"/>
        <v/>
      </c>
      <c r="R189" t="str">
        <f t="shared" si="2"/>
        <v/>
      </c>
    </row>
    <row r="190" spans="16:18" x14ac:dyDescent="0.2">
      <c r="P190" t="str">
        <f t="shared" si="2"/>
        <v/>
      </c>
      <c r="R190" t="str">
        <f t="shared" si="2"/>
        <v/>
      </c>
    </row>
    <row r="191" spans="16:18" x14ac:dyDescent="0.2">
      <c r="P191" t="str">
        <f t="shared" si="2"/>
        <v/>
      </c>
      <c r="R191" t="str">
        <f t="shared" si="2"/>
        <v/>
      </c>
    </row>
    <row r="192" spans="16:18" x14ac:dyDescent="0.2">
      <c r="P192" t="str">
        <f t="shared" si="2"/>
        <v/>
      </c>
      <c r="R192" t="str">
        <f t="shared" si="2"/>
        <v/>
      </c>
    </row>
    <row r="193" spans="16:18" x14ac:dyDescent="0.2">
      <c r="P193" t="str">
        <f t="shared" si="2"/>
        <v/>
      </c>
      <c r="R193" t="str">
        <f t="shared" si="2"/>
        <v/>
      </c>
    </row>
    <row r="194" spans="16:18" x14ac:dyDescent="0.2">
      <c r="P194" t="str">
        <f t="shared" si="2"/>
        <v/>
      </c>
      <c r="R194" t="str">
        <f t="shared" si="2"/>
        <v/>
      </c>
    </row>
    <row r="195" spans="16:18" x14ac:dyDescent="0.2">
      <c r="P195" t="str">
        <f t="shared" si="2"/>
        <v/>
      </c>
      <c r="R195" t="str">
        <f t="shared" si="2"/>
        <v/>
      </c>
    </row>
    <row r="196" spans="16:18" x14ac:dyDescent="0.2">
      <c r="P196" t="str">
        <f t="shared" si="2"/>
        <v/>
      </c>
      <c r="R196" t="str">
        <f t="shared" si="2"/>
        <v/>
      </c>
    </row>
    <row r="197" spans="16:18" x14ac:dyDescent="0.2">
      <c r="P197" t="str">
        <f t="shared" ref="P197:R260" si="3">IF(OR(O197="",O197="(blank)"),"",1)</f>
        <v/>
      </c>
      <c r="R197" t="str">
        <f t="shared" si="3"/>
        <v/>
      </c>
    </row>
    <row r="198" spans="16:18" x14ac:dyDescent="0.2">
      <c r="P198" t="str">
        <f t="shared" si="3"/>
        <v/>
      </c>
      <c r="R198" t="str">
        <f t="shared" si="3"/>
        <v/>
      </c>
    </row>
    <row r="199" spans="16:18" x14ac:dyDescent="0.2">
      <c r="P199" t="str">
        <f t="shared" si="3"/>
        <v/>
      </c>
      <c r="R199" t="str">
        <f t="shared" si="3"/>
        <v/>
      </c>
    </row>
    <row r="200" spans="16:18" x14ac:dyDescent="0.2">
      <c r="P200" t="str">
        <f t="shared" si="3"/>
        <v/>
      </c>
      <c r="R200" t="str">
        <f t="shared" si="3"/>
        <v/>
      </c>
    </row>
    <row r="201" spans="16:18" x14ac:dyDescent="0.2">
      <c r="P201" t="str">
        <f t="shared" si="3"/>
        <v/>
      </c>
      <c r="R201" t="str">
        <f t="shared" si="3"/>
        <v/>
      </c>
    </row>
    <row r="202" spans="16:18" x14ac:dyDescent="0.2">
      <c r="P202" t="str">
        <f t="shared" si="3"/>
        <v/>
      </c>
      <c r="R202" t="str">
        <f t="shared" si="3"/>
        <v/>
      </c>
    </row>
    <row r="203" spans="16:18" x14ac:dyDescent="0.2">
      <c r="P203" t="str">
        <f t="shared" si="3"/>
        <v/>
      </c>
      <c r="R203" t="str">
        <f t="shared" si="3"/>
        <v/>
      </c>
    </row>
    <row r="204" spans="16:18" x14ac:dyDescent="0.2">
      <c r="P204" t="str">
        <f t="shared" si="3"/>
        <v/>
      </c>
      <c r="R204" t="str">
        <f t="shared" si="3"/>
        <v/>
      </c>
    </row>
    <row r="205" spans="16:18" x14ac:dyDescent="0.2">
      <c r="P205" t="str">
        <f t="shared" si="3"/>
        <v/>
      </c>
      <c r="R205" t="str">
        <f t="shared" si="3"/>
        <v/>
      </c>
    </row>
    <row r="206" spans="16:18" x14ac:dyDescent="0.2">
      <c r="P206" t="str">
        <f t="shared" si="3"/>
        <v/>
      </c>
      <c r="R206" t="str">
        <f t="shared" si="3"/>
        <v/>
      </c>
    </row>
    <row r="207" spans="16:18" x14ac:dyDescent="0.2">
      <c r="P207" t="str">
        <f t="shared" si="3"/>
        <v/>
      </c>
      <c r="R207" t="str">
        <f t="shared" si="3"/>
        <v/>
      </c>
    </row>
    <row r="208" spans="16:18" x14ac:dyDescent="0.2">
      <c r="P208" t="str">
        <f t="shared" si="3"/>
        <v/>
      </c>
      <c r="R208" t="str">
        <f t="shared" si="3"/>
        <v/>
      </c>
    </row>
    <row r="209" spans="16:18" x14ac:dyDescent="0.2">
      <c r="P209" t="str">
        <f t="shared" si="3"/>
        <v/>
      </c>
      <c r="R209" t="str">
        <f t="shared" si="3"/>
        <v/>
      </c>
    </row>
    <row r="210" spans="16:18" x14ac:dyDescent="0.2">
      <c r="P210" t="str">
        <f t="shared" si="3"/>
        <v/>
      </c>
      <c r="R210" t="str">
        <f t="shared" si="3"/>
        <v/>
      </c>
    </row>
    <row r="211" spans="16:18" x14ac:dyDescent="0.2">
      <c r="P211" t="str">
        <f t="shared" si="3"/>
        <v/>
      </c>
      <c r="R211" t="str">
        <f t="shared" si="3"/>
        <v/>
      </c>
    </row>
    <row r="212" spans="16:18" x14ac:dyDescent="0.2">
      <c r="P212" t="str">
        <f t="shared" si="3"/>
        <v/>
      </c>
      <c r="R212" t="str">
        <f t="shared" si="3"/>
        <v/>
      </c>
    </row>
    <row r="213" spans="16:18" x14ac:dyDescent="0.2">
      <c r="P213" t="str">
        <f t="shared" si="3"/>
        <v/>
      </c>
      <c r="R213" t="str">
        <f t="shared" si="3"/>
        <v/>
      </c>
    </row>
    <row r="214" spans="16:18" x14ac:dyDescent="0.2">
      <c r="P214" t="str">
        <f t="shared" si="3"/>
        <v/>
      </c>
      <c r="R214" t="str">
        <f t="shared" si="3"/>
        <v/>
      </c>
    </row>
    <row r="215" spans="16:18" x14ac:dyDescent="0.2">
      <c r="P215" t="str">
        <f t="shared" si="3"/>
        <v/>
      </c>
      <c r="R215" t="str">
        <f t="shared" si="3"/>
        <v/>
      </c>
    </row>
    <row r="216" spans="16:18" x14ac:dyDescent="0.2">
      <c r="P216" t="str">
        <f t="shared" si="3"/>
        <v/>
      </c>
      <c r="R216" t="str">
        <f t="shared" si="3"/>
        <v/>
      </c>
    </row>
    <row r="217" spans="16:18" x14ac:dyDescent="0.2">
      <c r="P217" t="str">
        <f t="shared" si="3"/>
        <v/>
      </c>
      <c r="R217" t="str">
        <f t="shared" si="3"/>
        <v/>
      </c>
    </row>
    <row r="218" spans="16:18" x14ac:dyDescent="0.2">
      <c r="P218" t="str">
        <f t="shared" si="3"/>
        <v/>
      </c>
      <c r="R218" t="str">
        <f t="shared" si="3"/>
        <v/>
      </c>
    </row>
    <row r="219" spans="16:18" x14ac:dyDescent="0.2">
      <c r="P219" t="str">
        <f t="shared" si="3"/>
        <v/>
      </c>
      <c r="R219" t="str">
        <f t="shared" si="3"/>
        <v/>
      </c>
    </row>
    <row r="220" spans="16:18" x14ac:dyDescent="0.2">
      <c r="P220" t="str">
        <f t="shared" si="3"/>
        <v/>
      </c>
      <c r="R220" t="str">
        <f t="shared" si="3"/>
        <v/>
      </c>
    </row>
    <row r="221" spans="16:18" x14ac:dyDescent="0.2">
      <c r="P221" t="str">
        <f t="shared" si="3"/>
        <v/>
      </c>
      <c r="R221" t="str">
        <f t="shared" si="3"/>
        <v/>
      </c>
    </row>
    <row r="222" spans="16:18" x14ac:dyDescent="0.2">
      <c r="P222" t="str">
        <f t="shared" si="3"/>
        <v/>
      </c>
      <c r="R222" t="str">
        <f t="shared" si="3"/>
        <v/>
      </c>
    </row>
    <row r="223" spans="16:18" x14ac:dyDescent="0.2">
      <c r="P223" t="str">
        <f t="shared" si="3"/>
        <v/>
      </c>
      <c r="R223" t="str">
        <f t="shared" si="3"/>
        <v/>
      </c>
    </row>
    <row r="224" spans="16:18" x14ac:dyDescent="0.2">
      <c r="P224" t="str">
        <f t="shared" si="3"/>
        <v/>
      </c>
      <c r="R224" t="str">
        <f t="shared" si="3"/>
        <v/>
      </c>
    </row>
    <row r="225" spans="16:18" x14ac:dyDescent="0.2">
      <c r="P225" t="str">
        <f t="shared" si="3"/>
        <v/>
      </c>
      <c r="R225" t="str">
        <f t="shared" si="3"/>
        <v/>
      </c>
    </row>
    <row r="226" spans="16:18" x14ac:dyDescent="0.2">
      <c r="P226" t="str">
        <f t="shared" si="3"/>
        <v/>
      </c>
      <c r="R226" t="str">
        <f t="shared" si="3"/>
        <v/>
      </c>
    </row>
    <row r="227" spans="16:18" x14ac:dyDescent="0.2">
      <c r="P227" t="str">
        <f t="shared" si="3"/>
        <v/>
      </c>
      <c r="R227" t="str">
        <f t="shared" si="3"/>
        <v/>
      </c>
    </row>
    <row r="228" spans="16:18" x14ac:dyDescent="0.2">
      <c r="P228" t="str">
        <f t="shared" si="3"/>
        <v/>
      </c>
      <c r="R228" t="str">
        <f t="shared" si="3"/>
        <v/>
      </c>
    </row>
    <row r="229" spans="16:18" x14ac:dyDescent="0.2">
      <c r="P229" t="str">
        <f t="shared" si="3"/>
        <v/>
      </c>
      <c r="R229" t="str">
        <f t="shared" si="3"/>
        <v/>
      </c>
    </row>
    <row r="230" spans="16:18" x14ac:dyDescent="0.2">
      <c r="P230" t="str">
        <f t="shared" si="3"/>
        <v/>
      </c>
      <c r="R230" t="str">
        <f t="shared" si="3"/>
        <v/>
      </c>
    </row>
    <row r="231" spans="16:18" x14ac:dyDescent="0.2">
      <c r="P231" t="str">
        <f t="shared" si="3"/>
        <v/>
      </c>
      <c r="R231" t="str">
        <f t="shared" si="3"/>
        <v/>
      </c>
    </row>
    <row r="232" spans="16:18" x14ac:dyDescent="0.2">
      <c r="P232" t="str">
        <f t="shared" si="3"/>
        <v/>
      </c>
      <c r="R232" t="str">
        <f t="shared" si="3"/>
        <v/>
      </c>
    </row>
    <row r="233" spans="16:18" x14ac:dyDescent="0.2">
      <c r="P233" t="str">
        <f t="shared" si="3"/>
        <v/>
      </c>
      <c r="R233" t="str">
        <f t="shared" si="3"/>
        <v/>
      </c>
    </row>
    <row r="234" spans="16:18" x14ac:dyDescent="0.2">
      <c r="P234" t="str">
        <f t="shared" si="3"/>
        <v/>
      </c>
      <c r="R234" t="str">
        <f t="shared" si="3"/>
        <v/>
      </c>
    </row>
    <row r="235" spans="16:18" x14ac:dyDescent="0.2">
      <c r="P235" t="str">
        <f t="shared" si="3"/>
        <v/>
      </c>
      <c r="R235" t="str">
        <f t="shared" si="3"/>
        <v/>
      </c>
    </row>
    <row r="236" spans="16:18" x14ac:dyDescent="0.2">
      <c r="P236" t="str">
        <f t="shared" si="3"/>
        <v/>
      </c>
      <c r="R236" t="str">
        <f t="shared" si="3"/>
        <v/>
      </c>
    </row>
    <row r="237" spans="16:18" x14ac:dyDescent="0.2">
      <c r="P237" t="str">
        <f t="shared" si="3"/>
        <v/>
      </c>
      <c r="R237" t="str">
        <f t="shared" si="3"/>
        <v/>
      </c>
    </row>
    <row r="238" spans="16:18" x14ac:dyDescent="0.2">
      <c r="P238" t="str">
        <f t="shared" si="3"/>
        <v/>
      </c>
      <c r="R238" t="str">
        <f t="shared" si="3"/>
        <v/>
      </c>
    </row>
    <row r="239" spans="16:18" x14ac:dyDescent="0.2">
      <c r="P239" t="str">
        <f t="shared" si="3"/>
        <v/>
      </c>
      <c r="R239" t="str">
        <f t="shared" si="3"/>
        <v/>
      </c>
    </row>
    <row r="240" spans="16:18" x14ac:dyDescent="0.2">
      <c r="P240" t="str">
        <f t="shared" si="3"/>
        <v/>
      </c>
      <c r="R240" t="str">
        <f t="shared" si="3"/>
        <v/>
      </c>
    </row>
    <row r="241" spans="16:18" x14ac:dyDescent="0.2">
      <c r="P241" t="str">
        <f t="shared" si="3"/>
        <v/>
      </c>
      <c r="R241" t="str">
        <f t="shared" si="3"/>
        <v/>
      </c>
    </row>
    <row r="242" spans="16:18" x14ac:dyDescent="0.2">
      <c r="P242" t="str">
        <f t="shared" si="3"/>
        <v/>
      </c>
      <c r="R242" t="str">
        <f t="shared" si="3"/>
        <v/>
      </c>
    </row>
    <row r="243" spans="16:18" x14ac:dyDescent="0.2">
      <c r="P243" t="str">
        <f t="shared" si="3"/>
        <v/>
      </c>
      <c r="R243" t="str">
        <f t="shared" si="3"/>
        <v/>
      </c>
    </row>
    <row r="244" spans="16:18" x14ac:dyDescent="0.2">
      <c r="P244" t="str">
        <f t="shared" si="3"/>
        <v/>
      </c>
      <c r="R244" t="str">
        <f t="shared" si="3"/>
        <v/>
      </c>
    </row>
    <row r="245" spans="16:18" x14ac:dyDescent="0.2">
      <c r="P245" t="str">
        <f t="shared" si="3"/>
        <v/>
      </c>
      <c r="R245" t="str">
        <f t="shared" si="3"/>
        <v/>
      </c>
    </row>
    <row r="246" spans="16:18" x14ac:dyDescent="0.2">
      <c r="P246" t="str">
        <f t="shared" si="3"/>
        <v/>
      </c>
      <c r="R246" t="str">
        <f t="shared" si="3"/>
        <v/>
      </c>
    </row>
    <row r="247" spans="16:18" x14ac:dyDescent="0.2">
      <c r="P247" t="str">
        <f t="shared" si="3"/>
        <v/>
      </c>
      <c r="R247" t="str">
        <f t="shared" si="3"/>
        <v/>
      </c>
    </row>
    <row r="248" spans="16:18" x14ac:dyDescent="0.2">
      <c r="P248" t="str">
        <f t="shared" si="3"/>
        <v/>
      </c>
      <c r="R248" t="str">
        <f t="shared" si="3"/>
        <v/>
      </c>
    </row>
    <row r="249" spans="16:18" x14ac:dyDescent="0.2">
      <c r="P249" t="str">
        <f t="shared" si="3"/>
        <v/>
      </c>
      <c r="R249" t="str">
        <f t="shared" si="3"/>
        <v/>
      </c>
    </row>
    <row r="250" spans="16:18" x14ac:dyDescent="0.2">
      <c r="P250" t="str">
        <f t="shared" si="3"/>
        <v/>
      </c>
      <c r="R250" t="str">
        <f t="shared" si="3"/>
        <v/>
      </c>
    </row>
    <row r="251" spans="16:18" x14ac:dyDescent="0.2">
      <c r="P251" t="str">
        <f t="shared" si="3"/>
        <v/>
      </c>
      <c r="R251" t="str">
        <f t="shared" si="3"/>
        <v/>
      </c>
    </row>
    <row r="252" spans="16:18" x14ac:dyDescent="0.2">
      <c r="P252" t="str">
        <f t="shared" si="3"/>
        <v/>
      </c>
      <c r="R252" t="str">
        <f t="shared" si="3"/>
        <v/>
      </c>
    </row>
    <row r="253" spans="16:18" x14ac:dyDescent="0.2">
      <c r="P253" t="str">
        <f t="shared" si="3"/>
        <v/>
      </c>
      <c r="R253" t="str">
        <f t="shared" si="3"/>
        <v/>
      </c>
    </row>
    <row r="254" spans="16:18" x14ac:dyDescent="0.2">
      <c r="P254" t="str">
        <f t="shared" si="3"/>
        <v/>
      </c>
      <c r="R254" t="str">
        <f t="shared" si="3"/>
        <v/>
      </c>
    </row>
    <row r="255" spans="16:18" x14ac:dyDescent="0.2">
      <c r="P255" t="str">
        <f t="shared" si="3"/>
        <v/>
      </c>
      <c r="R255" t="str">
        <f t="shared" si="3"/>
        <v/>
      </c>
    </row>
    <row r="256" spans="16:18" x14ac:dyDescent="0.2">
      <c r="P256" t="str">
        <f t="shared" si="3"/>
        <v/>
      </c>
      <c r="R256" t="str">
        <f t="shared" si="3"/>
        <v/>
      </c>
    </row>
    <row r="257" spans="16:18" x14ac:dyDescent="0.2">
      <c r="P257" t="str">
        <f t="shared" si="3"/>
        <v/>
      </c>
      <c r="R257" t="str">
        <f t="shared" si="3"/>
        <v/>
      </c>
    </row>
    <row r="258" spans="16:18" x14ac:dyDescent="0.2">
      <c r="P258" t="str">
        <f t="shared" si="3"/>
        <v/>
      </c>
      <c r="R258" t="str">
        <f t="shared" si="3"/>
        <v/>
      </c>
    </row>
    <row r="259" spans="16:18" x14ac:dyDescent="0.2">
      <c r="P259" t="str">
        <f t="shared" si="3"/>
        <v/>
      </c>
      <c r="R259" t="str">
        <f t="shared" si="3"/>
        <v/>
      </c>
    </row>
    <row r="260" spans="16:18" x14ac:dyDescent="0.2">
      <c r="P260" t="str">
        <f t="shared" si="3"/>
        <v/>
      </c>
      <c r="R260" t="str">
        <f t="shared" si="3"/>
        <v/>
      </c>
    </row>
    <row r="261" spans="16:18" x14ac:dyDescent="0.2">
      <c r="P261" t="str">
        <f t="shared" ref="P261:R300" si="4">IF(OR(O261="",O261="(blank)"),"",1)</f>
        <v/>
      </c>
      <c r="R261" t="str">
        <f t="shared" si="4"/>
        <v/>
      </c>
    </row>
    <row r="262" spans="16:18" x14ac:dyDescent="0.2">
      <c r="P262" t="str">
        <f t="shared" si="4"/>
        <v/>
      </c>
      <c r="R262" t="str">
        <f t="shared" si="4"/>
        <v/>
      </c>
    </row>
    <row r="263" spans="16:18" x14ac:dyDescent="0.2">
      <c r="P263" t="str">
        <f t="shared" si="4"/>
        <v/>
      </c>
      <c r="R263" t="str">
        <f t="shared" si="4"/>
        <v/>
      </c>
    </row>
    <row r="264" spans="16:18" x14ac:dyDescent="0.2">
      <c r="P264" t="str">
        <f t="shared" si="4"/>
        <v/>
      </c>
      <c r="R264" t="str">
        <f t="shared" si="4"/>
        <v/>
      </c>
    </row>
    <row r="265" spans="16:18" x14ac:dyDescent="0.2">
      <c r="P265" t="str">
        <f t="shared" si="4"/>
        <v/>
      </c>
      <c r="R265" t="str">
        <f t="shared" si="4"/>
        <v/>
      </c>
    </row>
    <row r="266" spans="16:18" x14ac:dyDescent="0.2">
      <c r="P266" t="str">
        <f t="shared" si="4"/>
        <v/>
      </c>
      <c r="R266" t="str">
        <f t="shared" si="4"/>
        <v/>
      </c>
    </row>
    <row r="267" spans="16:18" x14ac:dyDescent="0.2">
      <c r="P267" t="str">
        <f t="shared" si="4"/>
        <v/>
      </c>
      <c r="R267" t="str">
        <f t="shared" si="4"/>
        <v/>
      </c>
    </row>
    <row r="268" spans="16:18" x14ac:dyDescent="0.2">
      <c r="P268" t="str">
        <f t="shared" si="4"/>
        <v/>
      </c>
      <c r="R268" t="str">
        <f t="shared" si="4"/>
        <v/>
      </c>
    </row>
    <row r="269" spans="16:18" x14ac:dyDescent="0.2">
      <c r="P269" t="str">
        <f t="shared" si="4"/>
        <v/>
      </c>
      <c r="R269" t="str">
        <f t="shared" si="4"/>
        <v/>
      </c>
    </row>
    <row r="270" spans="16:18" x14ac:dyDescent="0.2">
      <c r="P270" t="str">
        <f t="shared" si="4"/>
        <v/>
      </c>
      <c r="R270" t="str">
        <f t="shared" si="4"/>
        <v/>
      </c>
    </row>
    <row r="271" spans="16:18" x14ac:dyDescent="0.2">
      <c r="P271" t="str">
        <f t="shared" si="4"/>
        <v/>
      </c>
      <c r="R271" t="str">
        <f t="shared" si="4"/>
        <v/>
      </c>
    </row>
    <row r="272" spans="16:18" x14ac:dyDescent="0.2">
      <c r="P272" t="str">
        <f t="shared" si="4"/>
        <v/>
      </c>
      <c r="R272" t="str">
        <f t="shared" si="4"/>
        <v/>
      </c>
    </row>
    <row r="273" spans="16:18" x14ac:dyDescent="0.2">
      <c r="P273" t="str">
        <f t="shared" si="4"/>
        <v/>
      </c>
      <c r="R273" t="str">
        <f t="shared" si="4"/>
        <v/>
      </c>
    </row>
    <row r="274" spans="16:18" x14ac:dyDescent="0.2">
      <c r="P274" t="str">
        <f t="shared" si="4"/>
        <v/>
      </c>
      <c r="R274" t="str">
        <f t="shared" si="4"/>
        <v/>
      </c>
    </row>
    <row r="275" spans="16:18" x14ac:dyDescent="0.2">
      <c r="P275" t="str">
        <f t="shared" si="4"/>
        <v/>
      </c>
      <c r="R275" t="str">
        <f t="shared" si="4"/>
        <v/>
      </c>
    </row>
    <row r="276" spans="16:18" x14ac:dyDescent="0.2">
      <c r="P276" t="str">
        <f t="shared" si="4"/>
        <v/>
      </c>
      <c r="R276" t="str">
        <f t="shared" si="4"/>
        <v/>
      </c>
    </row>
    <row r="277" spans="16:18" x14ac:dyDescent="0.2">
      <c r="P277" t="str">
        <f t="shared" si="4"/>
        <v/>
      </c>
      <c r="R277" t="str">
        <f t="shared" si="4"/>
        <v/>
      </c>
    </row>
    <row r="278" spans="16:18" x14ac:dyDescent="0.2">
      <c r="P278" t="str">
        <f t="shared" si="4"/>
        <v/>
      </c>
      <c r="R278" t="str">
        <f t="shared" si="4"/>
        <v/>
      </c>
    </row>
    <row r="279" spans="16:18" x14ac:dyDescent="0.2">
      <c r="P279" t="str">
        <f t="shared" si="4"/>
        <v/>
      </c>
      <c r="R279" t="str">
        <f t="shared" si="4"/>
        <v/>
      </c>
    </row>
    <row r="280" spans="16:18" x14ac:dyDescent="0.2">
      <c r="P280" t="str">
        <f t="shared" si="4"/>
        <v/>
      </c>
      <c r="R280" t="str">
        <f t="shared" si="4"/>
        <v/>
      </c>
    </row>
    <row r="281" spans="16:18" x14ac:dyDescent="0.2">
      <c r="P281" t="str">
        <f t="shared" si="4"/>
        <v/>
      </c>
      <c r="R281" t="str">
        <f t="shared" si="4"/>
        <v/>
      </c>
    </row>
    <row r="282" spans="16:18" x14ac:dyDescent="0.2">
      <c r="P282" t="str">
        <f t="shared" si="4"/>
        <v/>
      </c>
      <c r="R282" t="str">
        <f t="shared" si="4"/>
        <v/>
      </c>
    </row>
    <row r="283" spans="16:18" x14ac:dyDescent="0.2">
      <c r="P283" t="str">
        <f t="shared" si="4"/>
        <v/>
      </c>
      <c r="R283" t="str">
        <f t="shared" si="4"/>
        <v/>
      </c>
    </row>
    <row r="284" spans="16:18" x14ac:dyDescent="0.2">
      <c r="P284" t="str">
        <f t="shared" si="4"/>
        <v/>
      </c>
      <c r="R284" t="str">
        <f t="shared" si="4"/>
        <v/>
      </c>
    </row>
    <row r="285" spans="16:18" x14ac:dyDescent="0.2">
      <c r="P285" t="str">
        <f t="shared" si="4"/>
        <v/>
      </c>
      <c r="R285" t="str">
        <f t="shared" si="4"/>
        <v/>
      </c>
    </row>
    <row r="286" spans="16:18" x14ac:dyDescent="0.2">
      <c r="P286" t="str">
        <f t="shared" si="4"/>
        <v/>
      </c>
      <c r="R286" t="str">
        <f t="shared" si="4"/>
        <v/>
      </c>
    </row>
    <row r="287" spans="16:18" x14ac:dyDescent="0.2">
      <c r="P287" t="str">
        <f t="shared" si="4"/>
        <v/>
      </c>
      <c r="R287" t="str">
        <f t="shared" si="4"/>
        <v/>
      </c>
    </row>
    <row r="288" spans="16:18" x14ac:dyDescent="0.2">
      <c r="P288" t="str">
        <f t="shared" si="4"/>
        <v/>
      </c>
      <c r="R288" t="str">
        <f t="shared" si="4"/>
        <v/>
      </c>
    </row>
    <row r="289" spans="16:18" x14ac:dyDescent="0.2">
      <c r="P289" t="str">
        <f t="shared" si="4"/>
        <v/>
      </c>
      <c r="R289" t="str">
        <f t="shared" si="4"/>
        <v/>
      </c>
    </row>
    <row r="290" spans="16:18" x14ac:dyDescent="0.2">
      <c r="P290" t="str">
        <f t="shared" si="4"/>
        <v/>
      </c>
      <c r="R290" t="str">
        <f t="shared" si="4"/>
        <v/>
      </c>
    </row>
    <row r="291" spans="16:18" x14ac:dyDescent="0.2">
      <c r="P291" t="str">
        <f t="shared" si="4"/>
        <v/>
      </c>
      <c r="R291" t="str">
        <f t="shared" si="4"/>
        <v/>
      </c>
    </row>
    <row r="292" spans="16:18" x14ac:dyDescent="0.2">
      <c r="P292" t="str">
        <f t="shared" si="4"/>
        <v/>
      </c>
      <c r="R292" t="str">
        <f t="shared" si="4"/>
        <v/>
      </c>
    </row>
    <row r="293" spans="16:18" x14ac:dyDescent="0.2">
      <c r="P293" t="str">
        <f t="shared" si="4"/>
        <v/>
      </c>
      <c r="R293" t="str">
        <f t="shared" si="4"/>
        <v/>
      </c>
    </row>
    <row r="294" spans="16:18" x14ac:dyDescent="0.2">
      <c r="P294" t="str">
        <f t="shared" si="4"/>
        <v/>
      </c>
      <c r="R294" t="str">
        <f t="shared" si="4"/>
        <v/>
      </c>
    </row>
    <row r="295" spans="16:18" x14ac:dyDescent="0.2">
      <c r="P295" t="str">
        <f t="shared" si="4"/>
        <v/>
      </c>
      <c r="R295" t="str">
        <f t="shared" si="4"/>
        <v/>
      </c>
    </row>
    <row r="296" spans="16:18" x14ac:dyDescent="0.2">
      <c r="P296" t="str">
        <f t="shared" si="4"/>
        <v/>
      </c>
      <c r="R296" t="str">
        <f t="shared" si="4"/>
        <v/>
      </c>
    </row>
    <row r="297" spans="16:18" x14ac:dyDescent="0.2">
      <c r="P297" t="str">
        <f t="shared" si="4"/>
        <v/>
      </c>
      <c r="R297" t="str">
        <f t="shared" si="4"/>
        <v/>
      </c>
    </row>
    <row r="298" spans="16:18" x14ac:dyDescent="0.2">
      <c r="P298" t="str">
        <f t="shared" si="4"/>
        <v/>
      </c>
      <c r="R298" t="str">
        <f t="shared" si="4"/>
        <v/>
      </c>
    </row>
    <row r="299" spans="16:18" x14ac:dyDescent="0.2">
      <c r="P299" t="str">
        <f t="shared" si="4"/>
        <v/>
      </c>
      <c r="R299" t="str">
        <f t="shared" si="4"/>
        <v/>
      </c>
    </row>
    <row r="300" spans="16:18" x14ac:dyDescent="0.2">
      <c r="P300" t="str">
        <f t="shared" si="4"/>
        <v/>
      </c>
      <c r="R300" t="str">
        <f t="shared" si="4"/>
        <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2903BD6CED16784C9848793BCB8A8B5C" ma:contentTypeVersion="13" ma:contentTypeDescription="Create a new document." ma:contentTypeScope="" ma:versionID="847bee06aa7b2a33407fac2f45700239">
  <xsd:schema xmlns:xsd="http://www.w3.org/2001/XMLSchema" xmlns:xs="http://www.w3.org/2001/XMLSchema" xmlns:p="http://schemas.microsoft.com/office/2006/metadata/properties" xmlns:ns3="dda6fff3-f3be-4414-8fe7-bdde5e113c2e" xmlns:ns4="cafdd227-729a-45e1-a1b3-6b82500adb76" targetNamespace="http://schemas.microsoft.com/office/2006/metadata/properties" ma:root="true" ma:fieldsID="b32395141e4195432d6adc35cd352e5e" ns3:_="" ns4:_="">
    <xsd:import namespace="dda6fff3-f3be-4414-8fe7-bdde5e113c2e"/>
    <xsd:import namespace="cafdd227-729a-45e1-a1b3-6b82500adb76"/>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4:SharedWithUsers" minOccurs="0"/>
                <xsd:element ref="ns4:SharedWithDetails" minOccurs="0"/>
                <xsd:element ref="ns4:SharingHintHash" minOccurs="0"/>
                <xsd:element ref="ns3:MediaServiceDateTaken" minOccurs="0"/>
                <xsd:element ref="ns3:MediaServiceAutoKeyPoints" minOccurs="0"/>
                <xsd:element ref="ns3:MediaServiceKeyPoints"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da6fff3-f3be-4414-8fe7-bdde5e113c2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DateTaken" ma:index="17" nillable="true" ma:displayName="MediaServiceDateTaken" ma:hidden="true" ma:internalName="MediaServiceDateTaken"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ServiceLocation" ma:index="20" nillable="true" ma:displayName="Location"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afdd227-729a-45e1-a1b3-6b82500adb76"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element name="SharingHintHash" ma:index="16"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C67B1C36-39B2-4DB4-96A4-CA08510B0B01}">
  <ds:schemaRefs>
    <ds:schemaRef ds:uri="http://schemas.microsoft.com/DataMashup"/>
  </ds:schemaRefs>
</ds:datastoreItem>
</file>

<file path=customXml/itemProps2.xml><?xml version="1.0" encoding="utf-8"?>
<ds:datastoreItem xmlns:ds="http://schemas.openxmlformats.org/officeDocument/2006/customXml" ds:itemID="{9C5F4268-68C8-44DC-95E5-FC029D660991}">
  <ds:schemaRefs>
    <ds:schemaRef ds:uri="http://schemas.microsoft.com/office/2006/documentManagement/types"/>
    <ds:schemaRef ds:uri="http://schemas.openxmlformats.org/package/2006/metadata/core-properties"/>
    <ds:schemaRef ds:uri="http://www.w3.org/XML/1998/namespace"/>
    <ds:schemaRef ds:uri="http://purl.org/dc/elements/1.1/"/>
    <ds:schemaRef ds:uri="dda6fff3-f3be-4414-8fe7-bdde5e113c2e"/>
    <ds:schemaRef ds:uri="http://purl.org/dc/terms/"/>
    <ds:schemaRef ds:uri="http://purl.org/dc/dcmitype/"/>
    <ds:schemaRef ds:uri="http://schemas.microsoft.com/office/infopath/2007/PartnerControls"/>
    <ds:schemaRef ds:uri="cafdd227-729a-45e1-a1b3-6b82500adb76"/>
    <ds:schemaRef ds:uri="http://schemas.microsoft.com/office/2006/metadata/properties"/>
  </ds:schemaRefs>
</ds:datastoreItem>
</file>

<file path=customXml/itemProps3.xml><?xml version="1.0" encoding="utf-8"?>
<ds:datastoreItem xmlns:ds="http://schemas.openxmlformats.org/officeDocument/2006/customXml" ds:itemID="{6F4E3719-A95F-4216-8AC5-A76BBA28C19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da6fff3-f3be-4414-8fe7-bdde5e113c2e"/>
    <ds:schemaRef ds:uri="cafdd227-729a-45e1-a1b3-6b82500adb7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456F8956-EF26-41EB-B1FF-C7AB00322EB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Introduction</vt:lpstr>
      <vt:lpstr>Stock Tracker</vt:lpstr>
      <vt:lpstr>Database</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Stockkamp, Felix</dc:creator>
  <cp:lastModifiedBy>QSK1184</cp:lastModifiedBy>
  <cp:lastPrinted>2020-12-02T20:52:53Z</cp:lastPrinted>
  <dcterms:created xsi:type="dcterms:W3CDTF">2020-08-23T16:46:06Z</dcterms:created>
  <dcterms:modified xsi:type="dcterms:W3CDTF">2024-09-20T12:15:37Z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0x0101002903BD6CED16784C9848793BCB8A8B5C</vt:lpwstr>
  </property>
</Properties>
</file>