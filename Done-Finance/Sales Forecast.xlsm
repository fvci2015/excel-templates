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karee\Desktop\Master List\"/>
    </mc:Choice>
  </mc:AlternateContent>
  <xr:revisionPtr revIDLastSave="0" documentId="13_ncr:1_{5652C3C1-5709-42E5-9F1C-D3CCE160A26B}" xr6:coauthVersionLast="45" xr6:coauthVersionMax="46" xr10:uidLastSave="{00000000-0000-0000-0000-000000000000}"/>
  <bookViews>
    <workbookView xWindow="-120" yWindow="-120" windowWidth="20730" windowHeight="11310" tabRatio="757" xr2:uid="{D8EEB248-1817-4336-A79C-DEC6ED0AE5BE}"/>
  </bookViews>
  <sheets>
    <sheet name="Introduction" sheetId="1" r:id="rId1"/>
    <sheet name="Sales Forecast" sheetId="13" r:id="rId2"/>
    <sheet name="Dashboard" sheetId="14" r:id="rId3"/>
    <sheet name="Lists" sheetId="7" state="hidden" r:id="rId4"/>
    <sheet name="Settings" sheetId="11" r:id="rId5"/>
    <sheet name="Sales Forecast OLD" sheetId="15" state="hidden" r:id="rId6"/>
  </sheets>
  <definedNames>
    <definedName name="_xlnm.Print_Area" localSheetId="1">'Sales Forecast'!$M$3:$CY$195</definedName>
    <definedName name="_xlnm.Print_Area" localSheetId="5">'Sales Forecast OLD'!$A$3:$AW$195</definedName>
    <definedName name="rngEmployees" localSheetId="5">OFFSET(#REF!,0,0,COUNTA(#REF!),1)</definedName>
    <definedName name="rngEmpNum" localSheetId="5">tblProd[Total '# of Products]</definedName>
    <definedName name="rngEmpNum">tblProd[Total '# of Products]</definedName>
    <definedName name="rngER" localSheetId="5">#REF!</definedName>
    <definedName name="rngERT" localSheetId="5">#REF!</definedName>
    <definedName name="rngET" localSheetId="5">#REF!</definedName>
    <definedName name="rngYears" localSheetId="5">tblProj[Year Selection]</definedName>
    <definedName name="rngYears">tblProj[Year Selection]</definedName>
    <definedName name="valuevx">42.314159</definedName>
    <definedName name="vertex42_copyright" hidden="1">"© 2016 Vertex42 LLC"</definedName>
    <definedName name="vertex42_title" hidden="1">"Sales Forecast Template"</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Q10" i="13" l="1"/>
  <c r="AR10" i="13"/>
  <c r="AS10" i="13"/>
  <c r="AT10" i="13"/>
  <c r="AU10" i="13"/>
  <c r="AV10" i="13"/>
  <c r="AW10" i="13"/>
  <c r="AX10" i="13"/>
  <c r="AY10" i="13"/>
  <c r="AZ10" i="13"/>
  <c r="BA10" i="13"/>
  <c r="BB10" i="13"/>
  <c r="AP10" i="13"/>
  <c r="BC62" i="13" l="1"/>
  <c r="BC63" i="13"/>
  <c r="CW63" i="13" s="1"/>
  <c r="BC65" i="13"/>
  <c r="BC66" i="13"/>
  <c r="BC67" i="13"/>
  <c r="BC68" i="13"/>
  <c r="BC69" i="13"/>
  <c r="BC70" i="13"/>
  <c r="BC61" i="13"/>
  <c r="CY61" i="13" s="1"/>
  <c r="BC35" i="13"/>
  <c r="BC36" i="13"/>
  <c r="CY36" i="13" s="1"/>
  <c r="BC38" i="13"/>
  <c r="BC39" i="13"/>
  <c r="BC40" i="13"/>
  <c r="BC41" i="13"/>
  <c r="BC42" i="13"/>
  <c r="BC43" i="13"/>
  <c r="BC34" i="13"/>
  <c r="CY34" i="13" s="1"/>
  <c r="CF62" i="13"/>
  <c r="CF63" i="13"/>
  <c r="CX63" i="13" s="1"/>
  <c r="CF65" i="13"/>
  <c r="CF66" i="13"/>
  <c r="CF67" i="13"/>
  <c r="CF68" i="13"/>
  <c r="CF69" i="13"/>
  <c r="CF70" i="13"/>
  <c r="CF61" i="13"/>
  <c r="CX61" i="13" s="1"/>
  <c r="CF35" i="13"/>
  <c r="CF36" i="13"/>
  <c r="CX36" i="13" s="1"/>
  <c r="CF38" i="13"/>
  <c r="CF39" i="13"/>
  <c r="CF40" i="13"/>
  <c r="CF41" i="13"/>
  <c r="CF42" i="13"/>
  <c r="CF43" i="13"/>
  <c r="CF34" i="13"/>
  <c r="CX34" i="13" s="1"/>
  <c r="CW8" i="13"/>
  <c r="CW9" i="13"/>
  <c r="CW11" i="13"/>
  <c r="CX11" i="13"/>
  <c r="CY11" i="13"/>
  <c r="CW12" i="13"/>
  <c r="CX12" i="13"/>
  <c r="CY12" i="13"/>
  <c r="CW13" i="13"/>
  <c r="CX13" i="13"/>
  <c r="CY13" i="13"/>
  <c r="CW14" i="13"/>
  <c r="CX14" i="13"/>
  <c r="CY14" i="13"/>
  <c r="CW15" i="13"/>
  <c r="CX15" i="13"/>
  <c r="CY15" i="13"/>
  <c r="CW16" i="13"/>
  <c r="CX16" i="13"/>
  <c r="CY16" i="13"/>
  <c r="CW17" i="13"/>
  <c r="CX17" i="13"/>
  <c r="CY17" i="13"/>
  <c r="CW18" i="13"/>
  <c r="CX18" i="13"/>
  <c r="CY18" i="13"/>
  <c r="CW19" i="13"/>
  <c r="CX19" i="13"/>
  <c r="CY19" i="13"/>
  <c r="CW20" i="13"/>
  <c r="CX20" i="13"/>
  <c r="CY20" i="13"/>
  <c r="CW21" i="13"/>
  <c r="CX21" i="13"/>
  <c r="CY21" i="13"/>
  <c r="CW22" i="13"/>
  <c r="CX22" i="13"/>
  <c r="CY22" i="13"/>
  <c r="CW23" i="13"/>
  <c r="CX23" i="13"/>
  <c r="CY23" i="13"/>
  <c r="CW24" i="13"/>
  <c r="CX24" i="13"/>
  <c r="CY24" i="13"/>
  <c r="CW25" i="13"/>
  <c r="CX25" i="13"/>
  <c r="CY25" i="13"/>
  <c r="CW26" i="13"/>
  <c r="CX26" i="13"/>
  <c r="CY26" i="13"/>
  <c r="CW27" i="13"/>
  <c r="CX27" i="13"/>
  <c r="CY27" i="13"/>
  <c r="CW28" i="13"/>
  <c r="CX28" i="13"/>
  <c r="CY28" i="13"/>
  <c r="CW29" i="13"/>
  <c r="CX29" i="13"/>
  <c r="CY29" i="13"/>
  <c r="CW30" i="13"/>
  <c r="CX30" i="13"/>
  <c r="CY30" i="13"/>
  <c r="CW31" i="13"/>
  <c r="CX31" i="13"/>
  <c r="CY31" i="13"/>
  <c r="CW7" i="13"/>
  <c r="CW35" i="13"/>
  <c r="CX35" i="13"/>
  <c r="CY35" i="13"/>
  <c r="CW36" i="13"/>
  <c r="CW38" i="13"/>
  <c r="CX38" i="13"/>
  <c r="CY38" i="13"/>
  <c r="CW39" i="13"/>
  <c r="CX39" i="13"/>
  <c r="CY39" i="13"/>
  <c r="CW40" i="13"/>
  <c r="CX40" i="13"/>
  <c r="CY40" i="13"/>
  <c r="CW41" i="13"/>
  <c r="CX41" i="13"/>
  <c r="CY41" i="13"/>
  <c r="CW42" i="13"/>
  <c r="CX42" i="13"/>
  <c r="CY42" i="13"/>
  <c r="CW43" i="13"/>
  <c r="CX43" i="13"/>
  <c r="CY43" i="13"/>
  <c r="CW34" i="13"/>
  <c r="CY62" i="13"/>
  <c r="CY63" i="13"/>
  <c r="CY65" i="13"/>
  <c r="CY66" i="13"/>
  <c r="CY67" i="13"/>
  <c r="CY68" i="13"/>
  <c r="CY69" i="13"/>
  <c r="CY70" i="13"/>
  <c r="CX62" i="13"/>
  <c r="CX65" i="13"/>
  <c r="CX66" i="13"/>
  <c r="CX67" i="13"/>
  <c r="CX68" i="13"/>
  <c r="CX69" i="13"/>
  <c r="CX70" i="13"/>
  <c r="CW62" i="13"/>
  <c r="CW65" i="13"/>
  <c r="CW66" i="13"/>
  <c r="CW67" i="13"/>
  <c r="CW68" i="13"/>
  <c r="CW69" i="13"/>
  <c r="CW70" i="13"/>
  <c r="CY92" i="13"/>
  <c r="CY93" i="13"/>
  <c r="CY94" i="13"/>
  <c r="CY95" i="13"/>
  <c r="CY96" i="13"/>
  <c r="CY97" i="13"/>
  <c r="CY112" i="13"/>
  <c r="CX92" i="13"/>
  <c r="CX93" i="13"/>
  <c r="CX94" i="13"/>
  <c r="CX95" i="13"/>
  <c r="CX96" i="13"/>
  <c r="CX97" i="13"/>
  <c r="CX112" i="13"/>
  <c r="CW92" i="13"/>
  <c r="CW93" i="13"/>
  <c r="CW94" i="13"/>
  <c r="CW95" i="13"/>
  <c r="CW96" i="13"/>
  <c r="CW97" i="13"/>
  <c r="CW112" i="13"/>
  <c r="CW88" i="13"/>
  <c r="CY117" i="13"/>
  <c r="CY118" i="13"/>
  <c r="CY120" i="13"/>
  <c r="CY121" i="13"/>
  <c r="CY122" i="13"/>
  <c r="CY123" i="13"/>
  <c r="CY124" i="13"/>
  <c r="CY125" i="13"/>
  <c r="CY116" i="13"/>
  <c r="CX117" i="13"/>
  <c r="CX118" i="13"/>
  <c r="CX120" i="13"/>
  <c r="CX121" i="13"/>
  <c r="CX122" i="13"/>
  <c r="CX123" i="13"/>
  <c r="CX124" i="13"/>
  <c r="CX125" i="13"/>
  <c r="CX116" i="13"/>
  <c r="CW117" i="13"/>
  <c r="CW118" i="13"/>
  <c r="CW120" i="13"/>
  <c r="CW121" i="13"/>
  <c r="CW122" i="13"/>
  <c r="CW123" i="13"/>
  <c r="CW124" i="13"/>
  <c r="CW125" i="13"/>
  <c r="CW116" i="13"/>
  <c r="BC117" i="13"/>
  <c r="BC118" i="13"/>
  <c r="BC120" i="13"/>
  <c r="BC121" i="13"/>
  <c r="BC122" i="13"/>
  <c r="BC123" i="13"/>
  <c r="BC124" i="13"/>
  <c r="BC125" i="13"/>
  <c r="BC116" i="13"/>
  <c r="CF117" i="13"/>
  <c r="CF118" i="13"/>
  <c r="CF120" i="13"/>
  <c r="CF121" i="13"/>
  <c r="CF122" i="13"/>
  <c r="CF123" i="13"/>
  <c r="CF124" i="13"/>
  <c r="CF125" i="13"/>
  <c r="CF116" i="13"/>
  <c r="Z117" i="13"/>
  <c r="Z118" i="13"/>
  <c r="Z120" i="13"/>
  <c r="Z121" i="13"/>
  <c r="Z122" i="13"/>
  <c r="Z123" i="13"/>
  <c r="Z124" i="13"/>
  <c r="Z125" i="13"/>
  <c r="Z116" i="13"/>
  <c r="N92" i="13"/>
  <c r="O92" i="13"/>
  <c r="P92" i="13"/>
  <c r="Q92" i="13"/>
  <c r="R92" i="13"/>
  <c r="S92" i="13"/>
  <c r="T92" i="13"/>
  <c r="U92" i="13"/>
  <c r="V92" i="13"/>
  <c r="W92" i="13"/>
  <c r="X92" i="13"/>
  <c r="Y92" i="13"/>
  <c r="N93" i="13"/>
  <c r="O93" i="13"/>
  <c r="P93" i="13"/>
  <c r="Q93" i="13"/>
  <c r="R93" i="13"/>
  <c r="S93" i="13"/>
  <c r="T93" i="13"/>
  <c r="U93" i="13"/>
  <c r="V93" i="13"/>
  <c r="W93" i="13"/>
  <c r="X93" i="13"/>
  <c r="Y93" i="13"/>
  <c r="N94" i="13"/>
  <c r="O94" i="13"/>
  <c r="P94" i="13"/>
  <c r="Q94" i="13"/>
  <c r="R94" i="13"/>
  <c r="S94" i="13"/>
  <c r="T94" i="13"/>
  <c r="U94" i="13"/>
  <c r="V94" i="13"/>
  <c r="W94" i="13"/>
  <c r="X94" i="13"/>
  <c r="Y94" i="13"/>
  <c r="N95" i="13"/>
  <c r="O95" i="13"/>
  <c r="P95" i="13"/>
  <c r="Q95" i="13"/>
  <c r="R95" i="13"/>
  <c r="S95" i="13"/>
  <c r="T95" i="13"/>
  <c r="U95" i="13"/>
  <c r="V95" i="13"/>
  <c r="W95" i="13"/>
  <c r="X95" i="13"/>
  <c r="Y95" i="13"/>
  <c r="N96" i="13"/>
  <c r="O96" i="13"/>
  <c r="P96" i="13"/>
  <c r="Q96" i="13"/>
  <c r="R96" i="13"/>
  <c r="S96" i="13"/>
  <c r="T96" i="13"/>
  <c r="U96" i="13"/>
  <c r="V96" i="13"/>
  <c r="W96" i="13"/>
  <c r="X96" i="13"/>
  <c r="Y96" i="13"/>
  <c r="N97" i="13"/>
  <c r="O97" i="13"/>
  <c r="P97" i="13"/>
  <c r="Q97" i="13"/>
  <c r="R97" i="13"/>
  <c r="S97" i="13"/>
  <c r="T97" i="13"/>
  <c r="U97" i="13"/>
  <c r="V97" i="13"/>
  <c r="W97" i="13"/>
  <c r="X97" i="13"/>
  <c r="Y97" i="13"/>
  <c r="N112" i="13"/>
  <c r="O112" i="13"/>
  <c r="P112" i="13"/>
  <c r="Q112" i="13"/>
  <c r="R112" i="13"/>
  <c r="S112" i="13"/>
  <c r="T112" i="13"/>
  <c r="U112" i="13"/>
  <c r="V112" i="13"/>
  <c r="W112" i="13"/>
  <c r="X112" i="13"/>
  <c r="Y112" i="13"/>
  <c r="O88" i="13"/>
  <c r="P88" i="13"/>
  <c r="Q88" i="13"/>
  <c r="R88" i="13"/>
  <c r="S88" i="13"/>
  <c r="T88" i="13"/>
  <c r="U88" i="13"/>
  <c r="V88" i="13"/>
  <c r="W88" i="13"/>
  <c r="X88" i="13"/>
  <c r="Y88" i="13"/>
  <c r="O89" i="13"/>
  <c r="P89" i="13"/>
  <c r="Q89" i="13"/>
  <c r="R89" i="13"/>
  <c r="S89" i="13"/>
  <c r="T89" i="13"/>
  <c r="U89" i="13"/>
  <c r="V89" i="13"/>
  <c r="W89" i="13"/>
  <c r="X89" i="13"/>
  <c r="Y89" i="13"/>
  <c r="O90" i="13"/>
  <c r="P90" i="13"/>
  <c r="Q90" i="13"/>
  <c r="R90" i="13"/>
  <c r="S90" i="13"/>
  <c r="T90" i="13"/>
  <c r="U90" i="13"/>
  <c r="V90" i="13"/>
  <c r="W90" i="13"/>
  <c r="X90" i="13"/>
  <c r="Y90" i="13"/>
  <c r="N88" i="13"/>
  <c r="N89" i="13"/>
  <c r="N90" i="13"/>
  <c r="O65" i="13"/>
  <c r="P65" i="13"/>
  <c r="Q65" i="13"/>
  <c r="R65" i="13"/>
  <c r="S65" i="13"/>
  <c r="T65" i="13"/>
  <c r="U65" i="13"/>
  <c r="V65" i="13"/>
  <c r="W65" i="13"/>
  <c r="X65" i="13"/>
  <c r="Y65" i="13"/>
  <c r="O66" i="13"/>
  <c r="P66" i="13"/>
  <c r="Q66" i="13"/>
  <c r="R66" i="13"/>
  <c r="S66" i="13"/>
  <c r="T66" i="13"/>
  <c r="U66" i="13"/>
  <c r="V66" i="13"/>
  <c r="W66" i="13"/>
  <c r="X66" i="13"/>
  <c r="Y66" i="13"/>
  <c r="O67" i="13"/>
  <c r="P67" i="13"/>
  <c r="Q67" i="13"/>
  <c r="R67" i="13"/>
  <c r="S67" i="13"/>
  <c r="T67" i="13"/>
  <c r="U67" i="13"/>
  <c r="V67" i="13"/>
  <c r="W67" i="13"/>
  <c r="X67" i="13"/>
  <c r="Y67" i="13"/>
  <c r="O68" i="13"/>
  <c r="P68" i="13"/>
  <c r="Q68" i="13"/>
  <c r="R68" i="13"/>
  <c r="S68" i="13"/>
  <c r="T68" i="13"/>
  <c r="U68" i="13"/>
  <c r="V68" i="13"/>
  <c r="W68" i="13"/>
  <c r="X68" i="13"/>
  <c r="Y68" i="13"/>
  <c r="O69" i="13"/>
  <c r="P69" i="13"/>
  <c r="Q69" i="13"/>
  <c r="R69" i="13"/>
  <c r="S69" i="13"/>
  <c r="T69" i="13"/>
  <c r="U69" i="13"/>
  <c r="V69" i="13"/>
  <c r="W69" i="13"/>
  <c r="X69" i="13"/>
  <c r="Y69" i="13"/>
  <c r="O70" i="13"/>
  <c r="P70" i="13"/>
  <c r="Q70" i="13"/>
  <c r="R70" i="13"/>
  <c r="S70" i="13"/>
  <c r="T70" i="13"/>
  <c r="U70" i="13"/>
  <c r="V70" i="13"/>
  <c r="W70" i="13"/>
  <c r="X70" i="13"/>
  <c r="Y70" i="13"/>
  <c r="O61" i="13"/>
  <c r="P61" i="13"/>
  <c r="Z61" i="13" s="1"/>
  <c r="Q61" i="13"/>
  <c r="R61" i="13"/>
  <c r="S61" i="13"/>
  <c r="T61" i="13"/>
  <c r="U61" i="13"/>
  <c r="V61" i="13"/>
  <c r="W61" i="13"/>
  <c r="X61" i="13"/>
  <c r="Y61" i="13"/>
  <c r="O62" i="13"/>
  <c r="P62" i="13"/>
  <c r="Q62" i="13"/>
  <c r="R62" i="13"/>
  <c r="S62" i="13"/>
  <c r="T62" i="13"/>
  <c r="U62" i="13"/>
  <c r="V62" i="13"/>
  <c r="W62" i="13"/>
  <c r="X62" i="13"/>
  <c r="Y62" i="13"/>
  <c r="O63" i="13"/>
  <c r="P63" i="13"/>
  <c r="Q63" i="13"/>
  <c r="R63" i="13"/>
  <c r="S63" i="13"/>
  <c r="T63" i="13"/>
  <c r="U63" i="13"/>
  <c r="V63" i="13"/>
  <c r="W63" i="13"/>
  <c r="X63" i="13"/>
  <c r="Y63" i="13"/>
  <c r="Z62" i="13"/>
  <c r="Z65" i="13"/>
  <c r="Z66" i="13"/>
  <c r="Z67" i="13"/>
  <c r="Z68" i="13"/>
  <c r="Z69" i="13"/>
  <c r="Z70" i="13"/>
  <c r="Z63" i="13"/>
  <c r="Z10" i="13"/>
  <c r="Z38" i="13"/>
  <c r="Z39" i="13"/>
  <c r="Z40" i="13"/>
  <c r="Z41" i="13"/>
  <c r="Z42" i="13"/>
  <c r="Z43" i="13"/>
  <c r="Z34" i="13"/>
  <c r="Z35" i="13"/>
  <c r="Z36" i="13"/>
  <c r="CW61" i="13" l="1"/>
  <c r="Q61" i="15"/>
  <c r="C61" i="15"/>
  <c r="AC6" i="13"/>
  <c r="AD6" i="13" s="1"/>
  <c r="AE6" i="13" s="1"/>
  <c r="AF6" i="13" s="1"/>
  <c r="AG6" i="13" s="1"/>
  <c r="AH6" i="13" s="1"/>
  <c r="AI6" i="13" s="1"/>
  <c r="AJ6" i="13" s="1"/>
  <c r="AK6" i="13" s="1"/>
  <c r="AL6" i="13" s="1"/>
  <c r="AM6" i="13" s="1"/>
  <c r="AN6" i="13" s="1"/>
  <c r="CF112" i="13" l="1"/>
  <c r="BC112" i="13"/>
  <c r="AR7" i="13"/>
  <c r="AQ7" i="13"/>
  <c r="Z112" i="13"/>
  <c r="Z7" i="13"/>
  <c r="Z8" i="13"/>
  <c r="Z9" i="13"/>
  <c r="AQ8" i="13"/>
  <c r="AR8" i="13"/>
  <c r="AS8" i="13"/>
  <c r="AT8" i="13"/>
  <c r="AU8" i="13"/>
  <c r="AV8" i="13"/>
  <c r="AW8" i="13"/>
  <c r="AX8" i="13"/>
  <c r="AY8" i="13"/>
  <c r="AZ8" i="13"/>
  <c r="BA8" i="13"/>
  <c r="BB8" i="13"/>
  <c r="AQ9" i="13"/>
  <c r="AR9" i="13"/>
  <c r="AS9" i="13"/>
  <c r="AT9" i="13"/>
  <c r="AU9" i="13"/>
  <c r="AV9" i="13"/>
  <c r="AW9" i="13"/>
  <c r="AX9" i="13"/>
  <c r="AY9" i="13"/>
  <c r="AZ9" i="13"/>
  <c r="BA9" i="13"/>
  <c r="BB9" i="13"/>
  <c r="BT10" i="13"/>
  <c r="BU10" i="13"/>
  <c r="BV10" i="13"/>
  <c r="BW10" i="13"/>
  <c r="BX10" i="13"/>
  <c r="BY10" i="13"/>
  <c r="BZ10" i="13"/>
  <c r="CA10" i="13"/>
  <c r="CB10" i="13"/>
  <c r="CC10" i="13"/>
  <c r="CD10" i="13"/>
  <c r="CE10" i="13"/>
  <c r="AQ11" i="13"/>
  <c r="BT11" i="13" s="1"/>
  <c r="AR11" i="13"/>
  <c r="BU11" i="13" s="1"/>
  <c r="AS11" i="13"/>
  <c r="BV11" i="13" s="1"/>
  <c r="AT11" i="13"/>
  <c r="BW11" i="13" s="1"/>
  <c r="AU11" i="13"/>
  <c r="BX11" i="13" s="1"/>
  <c r="AV11" i="13"/>
  <c r="BY11" i="13" s="1"/>
  <c r="AW11" i="13"/>
  <c r="BZ11" i="13" s="1"/>
  <c r="AX11" i="13"/>
  <c r="CA11" i="13" s="1"/>
  <c r="AY11" i="13"/>
  <c r="CB11" i="13" s="1"/>
  <c r="AZ11" i="13"/>
  <c r="CC11" i="13" s="1"/>
  <c r="BA11" i="13"/>
  <c r="CD11" i="13" s="1"/>
  <c r="BB11" i="13"/>
  <c r="CE11" i="13" s="1"/>
  <c r="AQ12" i="13"/>
  <c r="AR12" i="13"/>
  <c r="BU12" i="13" s="1"/>
  <c r="AS12" i="13"/>
  <c r="BV12" i="13" s="1"/>
  <c r="AT12" i="13"/>
  <c r="BW12" i="13" s="1"/>
  <c r="AU12" i="13"/>
  <c r="BX12" i="13" s="1"/>
  <c r="AV12" i="13"/>
  <c r="BY12" i="13" s="1"/>
  <c r="AW12" i="13"/>
  <c r="BZ12" i="13" s="1"/>
  <c r="AX12" i="13"/>
  <c r="CA12" i="13" s="1"/>
  <c r="AY12" i="13"/>
  <c r="CB12" i="13" s="1"/>
  <c r="AZ12" i="13"/>
  <c r="CC12" i="13" s="1"/>
  <c r="BA12" i="13"/>
  <c r="CD12" i="13" s="1"/>
  <c r="BB12" i="13"/>
  <c r="CE12" i="13" s="1"/>
  <c r="AQ13" i="13"/>
  <c r="BT13" i="13" s="1"/>
  <c r="AR13" i="13"/>
  <c r="BU13" i="13" s="1"/>
  <c r="AS13" i="13"/>
  <c r="BV13" i="13" s="1"/>
  <c r="AT13" i="13"/>
  <c r="BW13" i="13" s="1"/>
  <c r="AU13" i="13"/>
  <c r="BX13" i="13" s="1"/>
  <c r="AV13" i="13"/>
  <c r="BY13" i="13" s="1"/>
  <c r="AW13" i="13"/>
  <c r="BZ13" i="13" s="1"/>
  <c r="AX13" i="13"/>
  <c r="CA13" i="13" s="1"/>
  <c r="AY13" i="13"/>
  <c r="CB13" i="13" s="1"/>
  <c r="AZ13" i="13"/>
  <c r="CC13" i="13" s="1"/>
  <c r="BA13" i="13"/>
  <c r="CD13" i="13" s="1"/>
  <c r="BB13" i="13"/>
  <c r="CE13" i="13" s="1"/>
  <c r="AQ14" i="13"/>
  <c r="BT14" i="13" s="1"/>
  <c r="AR14" i="13"/>
  <c r="BU14" i="13" s="1"/>
  <c r="AS14" i="13"/>
  <c r="BV14" i="13" s="1"/>
  <c r="AT14" i="13"/>
  <c r="BW14" i="13" s="1"/>
  <c r="AU14" i="13"/>
  <c r="BX14" i="13" s="1"/>
  <c r="AV14" i="13"/>
  <c r="BY14" i="13" s="1"/>
  <c r="AW14" i="13"/>
  <c r="BZ14" i="13" s="1"/>
  <c r="AX14" i="13"/>
  <c r="CA14" i="13" s="1"/>
  <c r="AY14" i="13"/>
  <c r="CB14" i="13" s="1"/>
  <c r="AZ14" i="13"/>
  <c r="CC14" i="13" s="1"/>
  <c r="BA14" i="13"/>
  <c r="CD14" i="13" s="1"/>
  <c r="BB14" i="13"/>
  <c r="CE14" i="13" s="1"/>
  <c r="AQ15" i="13"/>
  <c r="BT15" i="13" s="1"/>
  <c r="AR15" i="13"/>
  <c r="BU15" i="13" s="1"/>
  <c r="AS15" i="13"/>
  <c r="BV15" i="13" s="1"/>
  <c r="AT15" i="13"/>
  <c r="BW15" i="13" s="1"/>
  <c r="AU15" i="13"/>
  <c r="BX15" i="13" s="1"/>
  <c r="AV15" i="13"/>
  <c r="BY15" i="13" s="1"/>
  <c r="AW15" i="13"/>
  <c r="BZ15" i="13" s="1"/>
  <c r="AX15" i="13"/>
  <c r="CA15" i="13" s="1"/>
  <c r="AY15" i="13"/>
  <c r="CB15" i="13" s="1"/>
  <c r="AZ15" i="13"/>
  <c r="CC15" i="13" s="1"/>
  <c r="BA15" i="13"/>
  <c r="CD15" i="13" s="1"/>
  <c r="BB15" i="13"/>
  <c r="CE15" i="13" s="1"/>
  <c r="AQ16" i="13"/>
  <c r="BT16" i="13" s="1"/>
  <c r="AR16" i="13"/>
  <c r="BU16" i="13" s="1"/>
  <c r="AS16" i="13"/>
  <c r="BV16" i="13" s="1"/>
  <c r="AT16" i="13"/>
  <c r="BW16" i="13" s="1"/>
  <c r="AU16" i="13"/>
  <c r="BX16" i="13" s="1"/>
  <c r="AV16" i="13"/>
  <c r="BY16" i="13" s="1"/>
  <c r="AW16" i="13"/>
  <c r="BZ16" i="13" s="1"/>
  <c r="AX16" i="13"/>
  <c r="CA16" i="13" s="1"/>
  <c r="AY16" i="13"/>
  <c r="CB16" i="13" s="1"/>
  <c r="AZ16" i="13"/>
  <c r="CC16" i="13" s="1"/>
  <c r="BA16" i="13"/>
  <c r="CD16" i="13" s="1"/>
  <c r="BB16" i="13"/>
  <c r="CE16" i="13" s="1"/>
  <c r="AQ17" i="13"/>
  <c r="BT17" i="13" s="1"/>
  <c r="AR17" i="13"/>
  <c r="BU17" i="13" s="1"/>
  <c r="AS17" i="13"/>
  <c r="BV17" i="13" s="1"/>
  <c r="AT17" i="13"/>
  <c r="BW17" i="13" s="1"/>
  <c r="AU17" i="13"/>
  <c r="BX17" i="13" s="1"/>
  <c r="AV17" i="13"/>
  <c r="BY17" i="13" s="1"/>
  <c r="AW17" i="13"/>
  <c r="BZ17" i="13" s="1"/>
  <c r="AX17" i="13"/>
  <c r="CA17" i="13" s="1"/>
  <c r="AY17" i="13"/>
  <c r="CB17" i="13" s="1"/>
  <c r="AZ17" i="13"/>
  <c r="CC17" i="13" s="1"/>
  <c r="BA17" i="13"/>
  <c r="CD17" i="13" s="1"/>
  <c r="BB17" i="13"/>
  <c r="CE17" i="13" s="1"/>
  <c r="AQ18" i="13"/>
  <c r="BT18" i="13" s="1"/>
  <c r="AR18" i="13"/>
  <c r="BU18" i="13" s="1"/>
  <c r="AS18" i="13"/>
  <c r="BV18" i="13" s="1"/>
  <c r="AT18" i="13"/>
  <c r="BW18" i="13" s="1"/>
  <c r="AU18" i="13"/>
  <c r="BX18" i="13" s="1"/>
  <c r="AV18" i="13"/>
  <c r="BY18" i="13" s="1"/>
  <c r="AW18" i="13"/>
  <c r="BZ18" i="13" s="1"/>
  <c r="AX18" i="13"/>
  <c r="CA18" i="13" s="1"/>
  <c r="AY18" i="13"/>
  <c r="CB18" i="13" s="1"/>
  <c r="AZ18" i="13"/>
  <c r="CC18" i="13" s="1"/>
  <c r="BA18" i="13"/>
  <c r="CD18" i="13" s="1"/>
  <c r="BB18" i="13"/>
  <c r="CE18" i="13" s="1"/>
  <c r="AQ19" i="13"/>
  <c r="BT19" i="13" s="1"/>
  <c r="AR19" i="13"/>
  <c r="BU19" i="13" s="1"/>
  <c r="AS19" i="13"/>
  <c r="BV19" i="13" s="1"/>
  <c r="AT19" i="13"/>
  <c r="BW19" i="13" s="1"/>
  <c r="AU19" i="13"/>
  <c r="BX19" i="13" s="1"/>
  <c r="AV19" i="13"/>
  <c r="BY19" i="13" s="1"/>
  <c r="AW19" i="13"/>
  <c r="BZ19" i="13" s="1"/>
  <c r="AX19" i="13"/>
  <c r="CA19" i="13" s="1"/>
  <c r="AY19" i="13"/>
  <c r="CB19" i="13" s="1"/>
  <c r="AZ19" i="13"/>
  <c r="CC19" i="13" s="1"/>
  <c r="BA19" i="13"/>
  <c r="CD19" i="13" s="1"/>
  <c r="BB19" i="13"/>
  <c r="CE19" i="13" s="1"/>
  <c r="AQ20" i="13"/>
  <c r="BT20" i="13" s="1"/>
  <c r="AR20" i="13"/>
  <c r="BU20" i="13" s="1"/>
  <c r="AS20" i="13"/>
  <c r="BV20" i="13" s="1"/>
  <c r="AT20" i="13"/>
  <c r="BW20" i="13" s="1"/>
  <c r="AU20" i="13"/>
  <c r="BX20" i="13" s="1"/>
  <c r="AV20" i="13"/>
  <c r="BY20" i="13" s="1"/>
  <c r="AW20" i="13"/>
  <c r="BZ20" i="13" s="1"/>
  <c r="AX20" i="13"/>
  <c r="CA20" i="13" s="1"/>
  <c r="AY20" i="13"/>
  <c r="CB20" i="13" s="1"/>
  <c r="AZ20" i="13"/>
  <c r="CC20" i="13" s="1"/>
  <c r="BA20" i="13"/>
  <c r="CD20" i="13" s="1"/>
  <c r="BB20" i="13"/>
  <c r="CE20" i="13" s="1"/>
  <c r="AQ21" i="13"/>
  <c r="BT21" i="13" s="1"/>
  <c r="AR21" i="13"/>
  <c r="BU21" i="13" s="1"/>
  <c r="AS21" i="13"/>
  <c r="BV21" i="13" s="1"/>
  <c r="AT21" i="13"/>
  <c r="BW21" i="13" s="1"/>
  <c r="AU21" i="13"/>
  <c r="BX21" i="13" s="1"/>
  <c r="AV21" i="13"/>
  <c r="BY21" i="13" s="1"/>
  <c r="AW21" i="13"/>
  <c r="BZ21" i="13" s="1"/>
  <c r="AX21" i="13"/>
  <c r="CA21" i="13" s="1"/>
  <c r="AY21" i="13"/>
  <c r="CB21" i="13" s="1"/>
  <c r="AZ21" i="13"/>
  <c r="CC21" i="13" s="1"/>
  <c r="BA21" i="13"/>
  <c r="CD21" i="13" s="1"/>
  <c r="BB21" i="13"/>
  <c r="CE21" i="13" s="1"/>
  <c r="AQ22" i="13"/>
  <c r="BT22" i="13" s="1"/>
  <c r="AR22" i="13"/>
  <c r="BU22" i="13" s="1"/>
  <c r="AS22" i="13"/>
  <c r="BV22" i="13" s="1"/>
  <c r="AT22" i="13"/>
  <c r="BW22" i="13" s="1"/>
  <c r="AU22" i="13"/>
  <c r="BX22" i="13" s="1"/>
  <c r="AV22" i="13"/>
  <c r="BY22" i="13" s="1"/>
  <c r="AW22" i="13"/>
  <c r="BZ22" i="13" s="1"/>
  <c r="AX22" i="13"/>
  <c r="CA22" i="13" s="1"/>
  <c r="AY22" i="13"/>
  <c r="CB22" i="13" s="1"/>
  <c r="AZ22" i="13"/>
  <c r="CC22" i="13" s="1"/>
  <c r="BA22" i="13"/>
  <c r="CD22" i="13" s="1"/>
  <c r="BB22" i="13"/>
  <c r="CE22" i="13" s="1"/>
  <c r="AQ23" i="13"/>
  <c r="BT23" i="13" s="1"/>
  <c r="AR23" i="13"/>
  <c r="BU23" i="13" s="1"/>
  <c r="AS23" i="13"/>
  <c r="BV23" i="13" s="1"/>
  <c r="AT23" i="13"/>
  <c r="BW23" i="13" s="1"/>
  <c r="AU23" i="13"/>
  <c r="BX23" i="13" s="1"/>
  <c r="AV23" i="13"/>
  <c r="BY23" i="13" s="1"/>
  <c r="AW23" i="13"/>
  <c r="BZ23" i="13" s="1"/>
  <c r="AX23" i="13"/>
  <c r="CA23" i="13" s="1"/>
  <c r="AY23" i="13"/>
  <c r="CB23" i="13" s="1"/>
  <c r="AZ23" i="13"/>
  <c r="CC23" i="13" s="1"/>
  <c r="BA23" i="13"/>
  <c r="CD23" i="13" s="1"/>
  <c r="BB23" i="13"/>
  <c r="CE23" i="13" s="1"/>
  <c r="AQ24" i="13"/>
  <c r="BT24" i="13" s="1"/>
  <c r="AR24" i="13"/>
  <c r="BU24" i="13" s="1"/>
  <c r="AS24" i="13"/>
  <c r="BV24" i="13" s="1"/>
  <c r="AT24" i="13"/>
  <c r="BW24" i="13" s="1"/>
  <c r="AU24" i="13"/>
  <c r="BX24" i="13" s="1"/>
  <c r="AV24" i="13"/>
  <c r="BY24" i="13" s="1"/>
  <c r="AW24" i="13"/>
  <c r="BZ24" i="13" s="1"/>
  <c r="AX24" i="13"/>
  <c r="CA24" i="13" s="1"/>
  <c r="AY24" i="13"/>
  <c r="CB24" i="13" s="1"/>
  <c r="AZ24" i="13"/>
  <c r="CC24" i="13" s="1"/>
  <c r="BA24" i="13"/>
  <c r="CD24" i="13" s="1"/>
  <c r="BB24" i="13"/>
  <c r="CE24" i="13" s="1"/>
  <c r="AQ25" i="13"/>
  <c r="BT25" i="13" s="1"/>
  <c r="AR25" i="13"/>
  <c r="BU25" i="13" s="1"/>
  <c r="AS25" i="13"/>
  <c r="BV25" i="13" s="1"/>
  <c r="AT25" i="13"/>
  <c r="BW25" i="13" s="1"/>
  <c r="AU25" i="13"/>
  <c r="BX25" i="13" s="1"/>
  <c r="AV25" i="13"/>
  <c r="BY25" i="13" s="1"/>
  <c r="AW25" i="13"/>
  <c r="BZ25" i="13" s="1"/>
  <c r="AX25" i="13"/>
  <c r="CA25" i="13" s="1"/>
  <c r="AY25" i="13"/>
  <c r="CB25" i="13" s="1"/>
  <c r="AZ25" i="13"/>
  <c r="CC25" i="13" s="1"/>
  <c r="BA25" i="13"/>
  <c r="CD25" i="13" s="1"/>
  <c r="BB25" i="13"/>
  <c r="CE25" i="13" s="1"/>
  <c r="AQ26" i="13"/>
  <c r="BT26" i="13" s="1"/>
  <c r="AR26" i="13"/>
  <c r="BU26" i="13" s="1"/>
  <c r="AS26" i="13"/>
  <c r="BV26" i="13" s="1"/>
  <c r="AT26" i="13"/>
  <c r="BW26" i="13" s="1"/>
  <c r="AU26" i="13"/>
  <c r="BX26" i="13" s="1"/>
  <c r="AV26" i="13"/>
  <c r="BY26" i="13" s="1"/>
  <c r="AW26" i="13"/>
  <c r="BZ26" i="13" s="1"/>
  <c r="AX26" i="13"/>
  <c r="CA26" i="13" s="1"/>
  <c r="AY26" i="13"/>
  <c r="CB26" i="13" s="1"/>
  <c r="AZ26" i="13"/>
  <c r="CC26" i="13" s="1"/>
  <c r="BA26" i="13"/>
  <c r="CD26" i="13" s="1"/>
  <c r="BB26" i="13"/>
  <c r="CE26" i="13" s="1"/>
  <c r="AQ27" i="13"/>
  <c r="BT27" i="13" s="1"/>
  <c r="AR27" i="13"/>
  <c r="BU27" i="13" s="1"/>
  <c r="AS27" i="13"/>
  <c r="BV27" i="13" s="1"/>
  <c r="AT27" i="13"/>
  <c r="BW27" i="13" s="1"/>
  <c r="AU27" i="13"/>
  <c r="BX27" i="13" s="1"/>
  <c r="AV27" i="13"/>
  <c r="BY27" i="13" s="1"/>
  <c r="AW27" i="13"/>
  <c r="BZ27" i="13" s="1"/>
  <c r="AX27" i="13"/>
  <c r="CA27" i="13" s="1"/>
  <c r="AY27" i="13"/>
  <c r="CB27" i="13" s="1"/>
  <c r="AZ27" i="13"/>
  <c r="CC27" i="13" s="1"/>
  <c r="BA27" i="13"/>
  <c r="CD27" i="13" s="1"/>
  <c r="BB27" i="13"/>
  <c r="CE27" i="13" s="1"/>
  <c r="AQ28" i="13"/>
  <c r="BT28" i="13" s="1"/>
  <c r="AR28" i="13"/>
  <c r="BU28" i="13" s="1"/>
  <c r="AS28" i="13"/>
  <c r="BV28" i="13" s="1"/>
  <c r="AT28" i="13"/>
  <c r="BW28" i="13" s="1"/>
  <c r="AU28" i="13"/>
  <c r="BX28" i="13" s="1"/>
  <c r="AV28" i="13"/>
  <c r="BY28" i="13" s="1"/>
  <c r="AW28" i="13"/>
  <c r="BZ28" i="13" s="1"/>
  <c r="AX28" i="13"/>
  <c r="CA28" i="13" s="1"/>
  <c r="AY28" i="13"/>
  <c r="CB28" i="13" s="1"/>
  <c r="AZ28" i="13"/>
  <c r="CC28" i="13" s="1"/>
  <c r="BA28" i="13"/>
  <c r="CD28" i="13" s="1"/>
  <c r="BB28" i="13"/>
  <c r="CE28" i="13" s="1"/>
  <c r="AQ29" i="13"/>
  <c r="BT29" i="13" s="1"/>
  <c r="AR29" i="13"/>
  <c r="BU29" i="13" s="1"/>
  <c r="AS29" i="13"/>
  <c r="BV29" i="13" s="1"/>
  <c r="AT29" i="13"/>
  <c r="BW29" i="13" s="1"/>
  <c r="AU29" i="13"/>
  <c r="BX29" i="13" s="1"/>
  <c r="AV29" i="13"/>
  <c r="BY29" i="13" s="1"/>
  <c r="AW29" i="13"/>
  <c r="BZ29" i="13" s="1"/>
  <c r="AX29" i="13"/>
  <c r="CA29" i="13" s="1"/>
  <c r="AY29" i="13"/>
  <c r="CB29" i="13" s="1"/>
  <c r="AZ29" i="13"/>
  <c r="CC29" i="13" s="1"/>
  <c r="BA29" i="13"/>
  <c r="CD29" i="13" s="1"/>
  <c r="BB29" i="13"/>
  <c r="CE29" i="13" s="1"/>
  <c r="AQ30" i="13"/>
  <c r="BT30" i="13" s="1"/>
  <c r="AR30" i="13"/>
  <c r="BU30" i="13" s="1"/>
  <c r="AS30" i="13"/>
  <c r="BV30" i="13" s="1"/>
  <c r="AT30" i="13"/>
  <c r="BW30" i="13" s="1"/>
  <c r="AU30" i="13"/>
  <c r="BX30" i="13" s="1"/>
  <c r="AV30" i="13"/>
  <c r="BY30" i="13" s="1"/>
  <c r="AW30" i="13"/>
  <c r="BZ30" i="13" s="1"/>
  <c r="AX30" i="13"/>
  <c r="CA30" i="13" s="1"/>
  <c r="AY30" i="13"/>
  <c r="CB30" i="13" s="1"/>
  <c r="AZ30" i="13"/>
  <c r="CC30" i="13" s="1"/>
  <c r="BA30" i="13"/>
  <c r="CD30" i="13" s="1"/>
  <c r="BB30" i="13"/>
  <c r="CE30" i="13" s="1"/>
  <c r="AQ31" i="13"/>
  <c r="BT31" i="13" s="1"/>
  <c r="AR31" i="13"/>
  <c r="BU31" i="13" s="1"/>
  <c r="AS31" i="13"/>
  <c r="BV31" i="13" s="1"/>
  <c r="AT31" i="13"/>
  <c r="BW31" i="13" s="1"/>
  <c r="AU31" i="13"/>
  <c r="BX31" i="13" s="1"/>
  <c r="AV31" i="13"/>
  <c r="BY31" i="13" s="1"/>
  <c r="AW31" i="13"/>
  <c r="BZ31" i="13" s="1"/>
  <c r="AX31" i="13"/>
  <c r="CA31" i="13" s="1"/>
  <c r="AY31" i="13"/>
  <c r="CB31" i="13" s="1"/>
  <c r="AZ31" i="13"/>
  <c r="CC31" i="13" s="1"/>
  <c r="BA31" i="13"/>
  <c r="CD31" i="13" s="1"/>
  <c r="BB31" i="13"/>
  <c r="CE31" i="13" s="1"/>
  <c r="AS7" i="13"/>
  <c r="AT7" i="13"/>
  <c r="AU7" i="13"/>
  <c r="AV7" i="13"/>
  <c r="AW7" i="13"/>
  <c r="AX7" i="13"/>
  <c r="AY7" i="13"/>
  <c r="AZ7" i="13"/>
  <c r="BA7" i="13"/>
  <c r="BB7" i="13"/>
  <c r="Z11" i="13"/>
  <c r="Z12" i="13"/>
  <c r="Z13" i="13"/>
  <c r="Z14" i="13"/>
  <c r="Z15" i="13"/>
  <c r="Z16" i="13"/>
  <c r="Z17" i="13"/>
  <c r="Z18" i="13"/>
  <c r="Z19" i="13"/>
  <c r="Z20" i="13"/>
  <c r="Z21" i="13"/>
  <c r="Z22" i="13"/>
  <c r="Z23" i="13"/>
  <c r="Z24" i="13"/>
  <c r="Z25" i="13"/>
  <c r="Z26" i="13"/>
  <c r="Z27" i="13"/>
  <c r="Z28" i="13"/>
  <c r="Z29" i="13"/>
  <c r="Z30" i="13"/>
  <c r="Z31" i="13"/>
  <c r="BC12" i="13" l="1"/>
  <c r="CF10" i="13"/>
  <c r="CF29" i="13"/>
  <c r="BC14" i="13"/>
  <c r="BC22" i="13"/>
  <c r="BC30" i="13"/>
  <c r="BC13" i="13"/>
  <c r="CF11" i="13"/>
  <c r="BC21" i="13"/>
  <c r="BC29" i="13"/>
  <c r="BT12" i="13"/>
  <c r="CF12" i="13" s="1"/>
  <c r="CF31" i="13"/>
  <c r="CF27" i="13"/>
  <c r="CF25" i="13"/>
  <c r="CF23" i="13"/>
  <c r="CF21" i="13"/>
  <c r="CF19" i="13"/>
  <c r="BC15" i="13"/>
  <c r="BC23" i="13"/>
  <c r="BC31" i="13"/>
  <c r="CF20" i="13"/>
  <c r="BC16" i="13"/>
  <c r="BC24" i="13"/>
  <c r="CF13" i="13"/>
  <c r="BC17" i="13"/>
  <c r="BC25" i="13"/>
  <c r="BC10" i="13"/>
  <c r="CW10" i="13" s="1"/>
  <c r="BC18" i="13"/>
  <c r="BC26" i="13"/>
  <c r="CF30" i="13"/>
  <c r="CF28" i="13"/>
  <c r="CF24" i="13"/>
  <c r="CF22" i="13"/>
  <c r="BC8" i="13"/>
  <c r="BC11" i="13"/>
  <c r="BC19" i="13"/>
  <c r="BC27" i="13"/>
  <c r="CF17" i="13"/>
  <c r="BC20" i="13"/>
  <c r="BC28" i="13"/>
  <c r="BC7" i="13"/>
  <c r="BC9" i="13"/>
  <c r="CF14" i="13"/>
  <c r="CF26" i="13"/>
  <c r="CF15" i="13"/>
  <c r="CF16" i="13"/>
  <c r="CF18" i="13"/>
  <c r="P216" i="15"/>
  <c r="N216" i="15"/>
  <c r="M216" i="15"/>
  <c r="L216" i="15"/>
  <c r="K216" i="15"/>
  <c r="J216" i="15"/>
  <c r="I216" i="15"/>
  <c r="P215" i="15"/>
  <c r="N215" i="15"/>
  <c r="M215" i="15"/>
  <c r="L215" i="15"/>
  <c r="K215" i="15"/>
  <c r="J215" i="15"/>
  <c r="I215" i="15"/>
  <c r="P214" i="15"/>
  <c r="N214" i="15"/>
  <c r="M214" i="15"/>
  <c r="L214" i="15"/>
  <c r="K214" i="15"/>
  <c r="J214" i="15"/>
  <c r="I214" i="15"/>
  <c r="P213" i="15"/>
  <c r="N213" i="15"/>
  <c r="M213" i="15"/>
  <c r="L213" i="15"/>
  <c r="K213" i="15"/>
  <c r="J213" i="15"/>
  <c r="I213" i="15"/>
  <c r="P212" i="15"/>
  <c r="N212" i="15"/>
  <c r="M212" i="15"/>
  <c r="L212" i="15"/>
  <c r="K212" i="15"/>
  <c r="J212" i="15"/>
  <c r="I212" i="15"/>
  <c r="P211" i="15"/>
  <c r="N211" i="15"/>
  <c r="M211" i="15"/>
  <c r="L211" i="15"/>
  <c r="K211" i="15"/>
  <c r="J211" i="15"/>
  <c r="I211" i="15"/>
  <c r="P210" i="15"/>
  <c r="N210" i="15"/>
  <c r="M210" i="15"/>
  <c r="L210" i="15"/>
  <c r="K210" i="15"/>
  <c r="J210" i="15"/>
  <c r="I210" i="15"/>
  <c r="AV194" i="15"/>
  <c r="AT194" i="15"/>
  <c r="AE194" i="15"/>
  <c r="P194" i="15"/>
  <c r="A194" i="15"/>
  <c r="AV193" i="15"/>
  <c r="AT193" i="15"/>
  <c r="AE193" i="15"/>
  <c r="P193" i="15"/>
  <c r="A193" i="15"/>
  <c r="AV192" i="15"/>
  <c r="AT192" i="15"/>
  <c r="AE192" i="15"/>
  <c r="P192" i="15"/>
  <c r="A192" i="15"/>
  <c r="AV191" i="15"/>
  <c r="AT191" i="15"/>
  <c r="AE191" i="15"/>
  <c r="P191" i="15"/>
  <c r="A191" i="15"/>
  <c r="AV190" i="15"/>
  <c r="AT190" i="15"/>
  <c r="AE190" i="15"/>
  <c r="P190" i="15"/>
  <c r="A190" i="15"/>
  <c r="AV189" i="15"/>
  <c r="AT189" i="15"/>
  <c r="AE189" i="15"/>
  <c r="P189" i="15"/>
  <c r="A189" i="15"/>
  <c r="AV188" i="15"/>
  <c r="AT188" i="15"/>
  <c r="AE188" i="15"/>
  <c r="P188" i="15"/>
  <c r="A188" i="15"/>
  <c r="AV187" i="15"/>
  <c r="AT187" i="15"/>
  <c r="AE187" i="15"/>
  <c r="P187" i="15"/>
  <c r="A187" i="15"/>
  <c r="AV186" i="15"/>
  <c r="AT186" i="15"/>
  <c r="AE186" i="15"/>
  <c r="P186" i="15"/>
  <c r="A186" i="15"/>
  <c r="AV185" i="15"/>
  <c r="AT185" i="15"/>
  <c r="AE185" i="15"/>
  <c r="P185" i="15"/>
  <c r="A185" i="15"/>
  <c r="AV184" i="15"/>
  <c r="AT184" i="15"/>
  <c r="AE184" i="15"/>
  <c r="P184" i="15"/>
  <c r="A184" i="15"/>
  <c r="AV183" i="15"/>
  <c r="AT183" i="15"/>
  <c r="AE183" i="15"/>
  <c r="P183" i="15"/>
  <c r="A183" i="15"/>
  <c r="AV182" i="15"/>
  <c r="AT182" i="15"/>
  <c r="AE182" i="15"/>
  <c r="P182" i="15"/>
  <c r="A182" i="15"/>
  <c r="AV181" i="15"/>
  <c r="AT181" i="15"/>
  <c r="AE181" i="15"/>
  <c r="P181" i="15"/>
  <c r="A181" i="15"/>
  <c r="AV180" i="15"/>
  <c r="AT180" i="15"/>
  <c r="AE180" i="15"/>
  <c r="P180" i="15"/>
  <c r="A180" i="15"/>
  <c r="AV179" i="15"/>
  <c r="AT179" i="15"/>
  <c r="AE179" i="15"/>
  <c r="P179" i="15"/>
  <c r="A179" i="15"/>
  <c r="AV178" i="15"/>
  <c r="AT178" i="15"/>
  <c r="AE178" i="15"/>
  <c r="P178" i="15"/>
  <c r="A178" i="15"/>
  <c r="AV177" i="15"/>
  <c r="AT177" i="15"/>
  <c r="AE177" i="15"/>
  <c r="P177" i="15"/>
  <c r="A177" i="15"/>
  <c r="AV176" i="15"/>
  <c r="AT176" i="15"/>
  <c r="AE176" i="15"/>
  <c r="P176" i="15"/>
  <c r="A176" i="15"/>
  <c r="AV175" i="15"/>
  <c r="AT175" i="15"/>
  <c r="AE175" i="15"/>
  <c r="P175" i="15"/>
  <c r="A175" i="15"/>
  <c r="AV174" i="15"/>
  <c r="AT174" i="15"/>
  <c r="AE174" i="15"/>
  <c r="P174" i="15"/>
  <c r="A174" i="15"/>
  <c r="AV173" i="15"/>
  <c r="AT173" i="15"/>
  <c r="AE173" i="15"/>
  <c r="P173" i="15"/>
  <c r="A173" i="15"/>
  <c r="AT172" i="15"/>
  <c r="AO172" i="15"/>
  <c r="AE172" i="15"/>
  <c r="P172" i="15"/>
  <c r="A172" i="15"/>
  <c r="AT171" i="15"/>
  <c r="AE171" i="15"/>
  <c r="P171" i="15"/>
  <c r="A171" i="15"/>
  <c r="AT170" i="15"/>
  <c r="AE170" i="15"/>
  <c r="P170" i="15"/>
  <c r="A170" i="15"/>
  <c r="AT167" i="15"/>
  <c r="AE167" i="15"/>
  <c r="P167" i="15"/>
  <c r="A167" i="15"/>
  <c r="AT166" i="15"/>
  <c r="AE166" i="15"/>
  <c r="P166" i="15"/>
  <c r="A166" i="15"/>
  <c r="AT165" i="15"/>
  <c r="AE165" i="15"/>
  <c r="P165" i="15"/>
  <c r="A165" i="15"/>
  <c r="AT164" i="15"/>
  <c r="AE164" i="15"/>
  <c r="P164" i="15"/>
  <c r="A164" i="15"/>
  <c r="AT163" i="15"/>
  <c r="AE163" i="15"/>
  <c r="P163" i="15"/>
  <c r="A163" i="15"/>
  <c r="AT162" i="15"/>
  <c r="AE162" i="15"/>
  <c r="P162" i="15"/>
  <c r="A162" i="15"/>
  <c r="AT161" i="15"/>
  <c r="AE161" i="15"/>
  <c r="P161" i="15"/>
  <c r="A161" i="15"/>
  <c r="AT160" i="15"/>
  <c r="AE160" i="15"/>
  <c r="P160" i="15"/>
  <c r="A160" i="15"/>
  <c r="AT159" i="15"/>
  <c r="AE159" i="15"/>
  <c r="P159" i="15"/>
  <c r="A159" i="15"/>
  <c r="AT158" i="15"/>
  <c r="AE158" i="15"/>
  <c r="P158" i="15"/>
  <c r="A158" i="15"/>
  <c r="AT157" i="15"/>
  <c r="AE157" i="15"/>
  <c r="P157" i="15"/>
  <c r="A157" i="15"/>
  <c r="AT156" i="15"/>
  <c r="AE156" i="15"/>
  <c r="P156" i="15"/>
  <c r="A156" i="15"/>
  <c r="AT155" i="15"/>
  <c r="AE155" i="15"/>
  <c r="P155" i="15"/>
  <c r="A155" i="15"/>
  <c r="AT154" i="15"/>
  <c r="AE154" i="15"/>
  <c r="P154" i="15"/>
  <c r="A154" i="15"/>
  <c r="AT153" i="15"/>
  <c r="AE153" i="15"/>
  <c r="P153" i="15"/>
  <c r="A153" i="15"/>
  <c r="AT152" i="15"/>
  <c r="AE152" i="15"/>
  <c r="P152" i="15"/>
  <c r="A152" i="15"/>
  <c r="AT151" i="15"/>
  <c r="AE151" i="15"/>
  <c r="P151" i="15"/>
  <c r="A151" i="15"/>
  <c r="AT150" i="15"/>
  <c r="AE150" i="15"/>
  <c r="P150" i="15"/>
  <c r="A150" i="15"/>
  <c r="AT149" i="15"/>
  <c r="AE149" i="15"/>
  <c r="P149" i="15"/>
  <c r="A149" i="15"/>
  <c r="AT148" i="15"/>
  <c r="AE148" i="15"/>
  <c r="P148" i="15"/>
  <c r="A148" i="15"/>
  <c r="AT147" i="15"/>
  <c r="AE147" i="15"/>
  <c r="P147" i="15"/>
  <c r="A147" i="15"/>
  <c r="AT146" i="15"/>
  <c r="AE146" i="15"/>
  <c r="P146" i="15"/>
  <c r="A146" i="15"/>
  <c r="AT145" i="15"/>
  <c r="AQ145" i="15"/>
  <c r="AP145" i="15"/>
  <c r="AP172" i="15" s="1"/>
  <c r="AO145" i="15"/>
  <c r="AN145" i="15"/>
  <c r="AN172" i="15" s="1"/>
  <c r="AM145" i="15"/>
  <c r="AM172" i="15" s="1"/>
  <c r="AL145" i="15"/>
  <c r="AL172" i="15" s="1"/>
  <c r="AK145" i="15"/>
  <c r="AK172" i="15" s="1"/>
  <c r="AJ145" i="15"/>
  <c r="AJ172" i="15" s="1"/>
  <c r="AI145" i="15"/>
  <c r="AI172" i="15" s="1"/>
  <c r="AH145" i="15"/>
  <c r="AH172" i="15" s="1"/>
  <c r="AG145" i="15"/>
  <c r="AF145" i="15"/>
  <c r="AF172" i="15" s="1"/>
  <c r="AE145" i="15"/>
  <c r="AB145" i="15"/>
  <c r="AB172" i="15" s="1"/>
  <c r="AA145" i="15"/>
  <c r="AA172" i="15" s="1"/>
  <c r="Z145" i="15"/>
  <c r="Z172" i="15" s="1"/>
  <c r="Y145" i="15"/>
  <c r="Y172" i="15" s="1"/>
  <c r="X145" i="15"/>
  <c r="X172" i="15" s="1"/>
  <c r="W145" i="15"/>
  <c r="W172" i="15" s="1"/>
  <c r="V145" i="15"/>
  <c r="V172" i="15" s="1"/>
  <c r="U145" i="15"/>
  <c r="U172" i="15" s="1"/>
  <c r="T145" i="15"/>
  <c r="T172" i="15" s="1"/>
  <c r="S145" i="15"/>
  <c r="S172" i="15" s="1"/>
  <c r="R145" i="15"/>
  <c r="R172" i="15" s="1"/>
  <c r="Q145" i="15"/>
  <c r="P145" i="15"/>
  <c r="M145" i="15"/>
  <c r="M172" i="15" s="1"/>
  <c r="L145" i="15"/>
  <c r="L172" i="15" s="1"/>
  <c r="K145" i="15"/>
  <c r="K172" i="15" s="1"/>
  <c r="J145" i="15"/>
  <c r="J172" i="15" s="1"/>
  <c r="I145" i="15"/>
  <c r="I172" i="15" s="1"/>
  <c r="H145" i="15"/>
  <c r="H172" i="15" s="1"/>
  <c r="G145" i="15"/>
  <c r="G172" i="15" s="1"/>
  <c r="F145" i="15"/>
  <c r="F172" i="15" s="1"/>
  <c r="E145" i="15"/>
  <c r="E172" i="15" s="1"/>
  <c r="D145" i="15"/>
  <c r="D172" i="15" s="1"/>
  <c r="C145" i="15"/>
  <c r="C172" i="15" s="1"/>
  <c r="B145" i="15"/>
  <c r="A145" i="15"/>
  <c r="AT144" i="15"/>
  <c r="AQ144" i="15"/>
  <c r="AQ171" i="15" s="1"/>
  <c r="AP144" i="15"/>
  <c r="AP171" i="15" s="1"/>
  <c r="AO144" i="15"/>
  <c r="AO171" i="15" s="1"/>
  <c r="AN144" i="15"/>
  <c r="AN171" i="15" s="1"/>
  <c r="AM144" i="15"/>
  <c r="AM171" i="15" s="1"/>
  <c r="AL144" i="15"/>
  <c r="AL171" i="15" s="1"/>
  <c r="AK144" i="15"/>
  <c r="AK171" i="15" s="1"/>
  <c r="AJ144" i="15"/>
  <c r="AJ171" i="15" s="1"/>
  <c r="AI144" i="15"/>
  <c r="AI171" i="15" s="1"/>
  <c r="AH144" i="15"/>
  <c r="AH171" i="15" s="1"/>
  <c r="AG144" i="15"/>
  <c r="AG171" i="15" s="1"/>
  <c r="AF144" i="15"/>
  <c r="AE144" i="15"/>
  <c r="AB144" i="15"/>
  <c r="AB171" i="15" s="1"/>
  <c r="AA144" i="15"/>
  <c r="AA171" i="15" s="1"/>
  <c r="Z144" i="15"/>
  <c r="Z171" i="15" s="1"/>
  <c r="Y144" i="15"/>
  <c r="Y171" i="15" s="1"/>
  <c r="X144" i="15"/>
  <c r="X171" i="15" s="1"/>
  <c r="W144" i="15"/>
  <c r="W171" i="15" s="1"/>
  <c r="V144" i="15"/>
  <c r="V171" i="15" s="1"/>
  <c r="U144" i="15"/>
  <c r="U171" i="15" s="1"/>
  <c r="T144" i="15"/>
  <c r="T171" i="15" s="1"/>
  <c r="S144" i="15"/>
  <c r="S171" i="15" s="1"/>
  <c r="R144" i="15"/>
  <c r="R171" i="15" s="1"/>
  <c r="Q144" i="15"/>
  <c r="P144" i="15"/>
  <c r="M144" i="15"/>
  <c r="M171" i="15" s="1"/>
  <c r="L144" i="15"/>
  <c r="L171" i="15" s="1"/>
  <c r="K144" i="15"/>
  <c r="K171" i="15" s="1"/>
  <c r="J144" i="15"/>
  <c r="J171" i="15" s="1"/>
  <c r="I144" i="15"/>
  <c r="I171" i="15" s="1"/>
  <c r="H144" i="15"/>
  <c r="H171" i="15" s="1"/>
  <c r="G144" i="15"/>
  <c r="G171" i="15" s="1"/>
  <c r="F144" i="15"/>
  <c r="F171" i="15" s="1"/>
  <c r="E144" i="15"/>
  <c r="E171" i="15" s="1"/>
  <c r="D144" i="15"/>
  <c r="D171" i="15" s="1"/>
  <c r="C144" i="15"/>
  <c r="C171" i="15" s="1"/>
  <c r="B144" i="15"/>
  <c r="B171" i="15" s="1"/>
  <c r="A144" i="15"/>
  <c r="AT143" i="15"/>
  <c r="AQ143" i="15"/>
  <c r="AQ170" i="15" s="1"/>
  <c r="AP143" i="15"/>
  <c r="AP170" i="15" s="1"/>
  <c r="AP195" i="15" s="1"/>
  <c r="AO143" i="15"/>
  <c r="AO170" i="15" s="1"/>
  <c r="AN143" i="15"/>
  <c r="AN170" i="15" s="1"/>
  <c r="AN195" i="15" s="1"/>
  <c r="AM143" i="15"/>
  <c r="AM170" i="15" s="1"/>
  <c r="AL143" i="15"/>
  <c r="AL170" i="15" s="1"/>
  <c r="AL195" i="15" s="1"/>
  <c r="AK143" i="15"/>
  <c r="AK170" i="15" s="1"/>
  <c r="AK195" i="15" s="1"/>
  <c r="AJ143" i="15"/>
  <c r="AJ170" i="15" s="1"/>
  <c r="AJ195" i="15" s="1"/>
  <c r="AI143" i="15"/>
  <c r="AI170" i="15" s="1"/>
  <c r="AI195" i="15" s="1"/>
  <c r="AH143" i="15"/>
  <c r="AH170" i="15" s="1"/>
  <c r="AH195" i="15" s="1"/>
  <c r="AG143" i="15"/>
  <c r="AG170" i="15" s="1"/>
  <c r="AF143" i="15"/>
  <c r="AE143" i="15"/>
  <c r="AB143" i="15"/>
  <c r="AB170" i="15" s="1"/>
  <c r="AB195" i="15" s="1"/>
  <c r="AA143" i="15"/>
  <c r="AA170" i="15" s="1"/>
  <c r="AA195" i="15" s="1"/>
  <c r="Z143" i="15"/>
  <c r="Z170" i="15" s="1"/>
  <c r="Z195" i="15" s="1"/>
  <c r="Y143" i="15"/>
  <c r="Y170" i="15" s="1"/>
  <c r="Y195" i="15" s="1"/>
  <c r="X143" i="15"/>
  <c r="X170" i="15" s="1"/>
  <c r="W143" i="15"/>
  <c r="W170" i="15" s="1"/>
  <c r="W195" i="15" s="1"/>
  <c r="V143" i="15"/>
  <c r="V170" i="15" s="1"/>
  <c r="U143" i="15"/>
  <c r="U170" i="15" s="1"/>
  <c r="U195" i="15" s="1"/>
  <c r="T143" i="15"/>
  <c r="S143" i="15"/>
  <c r="S170" i="15" s="1"/>
  <c r="S195" i="15" s="1"/>
  <c r="R143" i="15"/>
  <c r="R170" i="15" s="1"/>
  <c r="R195" i="15" s="1"/>
  <c r="Q143" i="15"/>
  <c r="Q170" i="15" s="1"/>
  <c r="P143" i="15"/>
  <c r="M143" i="15"/>
  <c r="M170" i="15" s="1"/>
  <c r="L143" i="15"/>
  <c r="L170" i="15" s="1"/>
  <c r="L195" i="15" s="1"/>
  <c r="K143" i="15"/>
  <c r="K170" i="15" s="1"/>
  <c r="J143" i="15"/>
  <c r="J170" i="15" s="1"/>
  <c r="J195" i="15" s="1"/>
  <c r="I143" i="15"/>
  <c r="I170" i="15" s="1"/>
  <c r="I195" i="15" s="1"/>
  <c r="H143" i="15"/>
  <c r="H170" i="15" s="1"/>
  <c r="H195" i="15" s="1"/>
  <c r="G143" i="15"/>
  <c r="G170" i="15" s="1"/>
  <c r="F143" i="15"/>
  <c r="F170" i="15" s="1"/>
  <c r="F195" i="15" s="1"/>
  <c r="E143" i="15"/>
  <c r="E170" i="15" s="1"/>
  <c r="D143" i="15"/>
  <c r="D170" i="15" s="1"/>
  <c r="D195" i="15" s="1"/>
  <c r="C143" i="15"/>
  <c r="C170" i="15" s="1"/>
  <c r="B143" i="15"/>
  <c r="B170" i="15" s="1"/>
  <c r="A143" i="15"/>
  <c r="AT140" i="15"/>
  <c r="AE140" i="15"/>
  <c r="P140" i="15"/>
  <c r="A140" i="15"/>
  <c r="AT139" i="15"/>
  <c r="AE139" i="15"/>
  <c r="P139" i="15"/>
  <c r="A139" i="15"/>
  <c r="AT138" i="15"/>
  <c r="AE138" i="15"/>
  <c r="P138" i="15"/>
  <c r="A138" i="15"/>
  <c r="AT137" i="15"/>
  <c r="AE137" i="15"/>
  <c r="P137" i="15"/>
  <c r="A137" i="15"/>
  <c r="AT136" i="15"/>
  <c r="AE136" i="15"/>
  <c r="P136" i="15"/>
  <c r="A136" i="15"/>
  <c r="AT135" i="15"/>
  <c r="AE135" i="15"/>
  <c r="P135" i="15"/>
  <c r="A135" i="15"/>
  <c r="AT134" i="15"/>
  <c r="AE134" i="15"/>
  <c r="P134" i="15"/>
  <c r="A134" i="15"/>
  <c r="AT133" i="15"/>
  <c r="AE133" i="15"/>
  <c r="P133" i="15"/>
  <c r="A133" i="15"/>
  <c r="AT132" i="15"/>
  <c r="AE132" i="15"/>
  <c r="P132" i="15"/>
  <c r="A132" i="15"/>
  <c r="AT131" i="15"/>
  <c r="AE131" i="15"/>
  <c r="P131" i="15"/>
  <c r="A131" i="15"/>
  <c r="AT130" i="15"/>
  <c r="AE130" i="15"/>
  <c r="P130" i="15"/>
  <c r="A130" i="15"/>
  <c r="AT129" i="15"/>
  <c r="AE129" i="15"/>
  <c r="P129" i="15"/>
  <c r="A129" i="15"/>
  <c r="AT128" i="15"/>
  <c r="AE128" i="15"/>
  <c r="P128" i="15"/>
  <c r="A128" i="15"/>
  <c r="AT127" i="15"/>
  <c r="AE127" i="15"/>
  <c r="P127" i="15"/>
  <c r="A127" i="15"/>
  <c r="AT126" i="15"/>
  <c r="AE126" i="15"/>
  <c r="P126" i="15"/>
  <c r="A126" i="15"/>
  <c r="AT125" i="15"/>
  <c r="AE125" i="15"/>
  <c r="P125" i="15"/>
  <c r="A125" i="15"/>
  <c r="AT124" i="15"/>
  <c r="AE124" i="15"/>
  <c r="P124" i="15"/>
  <c r="A124" i="15"/>
  <c r="AT123" i="15"/>
  <c r="AE123" i="15"/>
  <c r="P123" i="15"/>
  <c r="A123" i="15"/>
  <c r="AT122" i="15"/>
  <c r="AE122" i="15"/>
  <c r="P122" i="15"/>
  <c r="A122" i="15"/>
  <c r="AT121" i="15"/>
  <c r="AE121" i="15"/>
  <c r="P121" i="15"/>
  <c r="A121" i="15"/>
  <c r="AT120" i="15"/>
  <c r="AE120" i="15"/>
  <c r="P120" i="15"/>
  <c r="A120" i="15"/>
  <c r="AT119" i="15"/>
  <c r="AE119" i="15"/>
  <c r="P119" i="15"/>
  <c r="A119" i="15"/>
  <c r="AU118" i="15"/>
  <c r="AT118" i="15"/>
  <c r="AR118" i="15"/>
  <c r="AE118" i="15"/>
  <c r="AC118" i="15"/>
  <c r="P118" i="15"/>
  <c r="N118" i="15"/>
  <c r="A118" i="15"/>
  <c r="AW117" i="15"/>
  <c r="AT117" i="15"/>
  <c r="AR117" i="15"/>
  <c r="AV117" i="15" s="1"/>
  <c r="AE117" i="15"/>
  <c r="AC117" i="15"/>
  <c r="P117" i="15"/>
  <c r="N117" i="15"/>
  <c r="A117" i="15"/>
  <c r="AT116" i="15"/>
  <c r="AR116" i="15"/>
  <c r="AE116" i="15"/>
  <c r="AC116" i="15"/>
  <c r="P116" i="15"/>
  <c r="N116" i="15"/>
  <c r="A116" i="15"/>
  <c r="AV112" i="15"/>
  <c r="AT112" i="15"/>
  <c r="AE112" i="15"/>
  <c r="P112" i="15"/>
  <c r="AV111" i="15"/>
  <c r="AT111" i="15"/>
  <c r="AE111" i="15"/>
  <c r="P111" i="15"/>
  <c r="A111" i="15"/>
  <c r="AV110" i="15"/>
  <c r="AT110" i="15"/>
  <c r="AE110" i="15"/>
  <c r="P110" i="15"/>
  <c r="A110" i="15"/>
  <c r="AV109" i="15"/>
  <c r="AT109" i="15"/>
  <c r="AE109" i="15"/>
  <c r="P109" i="15"/>
  <c r="A109" i="15"/>
  <c r="AV108" i="15"/>
  <c r="AT108" i="15"/>
  <c r="AE108" i="15"/>
  <c r="P108" i="15"/>
  <c r="A108" i="15"/>
  <c r="AV107" i="15"/>
  <c r="AT107" i="15"/>
  <c r="AE107" i="15"/>
  <c r="P107" i="15"/>
  <c r="A107" i="15"/>
  <c r="AV106" i="15"/>
  <c r="AT106" i="15"/>
  <c r="AE106" i="15"/>
  <c r="P106" i="15"/>
  <c r="A106" i="15"/>
  <c r="AV105" i="15"/>
  <c r="AT105" i="15"/>
  <c r="AE105" i="15"/>
  <c r="P105" i="15"/>
  <c r="A105" i="15"/>
  <c r="AV104" i="15"/>
  <c r="AT104" i="15"/>
  <c r="AE104" i="15"/>
  <c r="P104" i="15"/>
  <c r="A104" i="15"/>
  <c r="AV103" i="15"/>
  <c r="AT103" i="15"/>
  <c r="AE103" i="15"/>
  <c r="P103" i="15"/>
  <c r="A103" i="15"/>
  <c r="AV102" i="15"/>
  <c r="AT102" i="15"/>
  <c r="AE102" i="15"/>
  <c r="P102" i="15"/>
  <c r="A102" i="15"/>
  <c r="AV101" i="15"/>
  <c r="AT101" i="15"/>
  <c r="AE101" i="15"/>
  <c r="P101" i="15"/>
  <c r="A101" i="15"/>
  <c r="AV100" i="15"/>
  <c r="AT100" i="15"/>
  <c r="AE100" i="15"/>
  <c r="P100" i="15"/>
  <c r="A100" i="15"/>
  <c r="AV99" i="15"/>
  <c r="AT99" i="15"/>
  <c r="AE99" i="15"/>
  <c r="P99" i="15"/>
  <c r="A99" i="15"/>
  <c r="AV98" i="15"/>
  <c r="AT98" i="15"/>
  <c r="AE98" i="15"/>
  <c r="P98" i="15"/>
  <c r="A98" i="15"/>
  <c r="AV97" i="15"/>
  <c r="AT97" i="15"/>
  <c r="AE97" i="15"/>
  <c r="P97" i="15"/>
  <c r="A97" i="15"/>
  <c r="AV96" i="15"/>
  <c r="AT96" i="15"/>
  <c r="AE96" i="15"/>
  <c r="P96" i="15"/>
  <c r="A96" i="15"/>
  <c r="AV95" i="15"/>
  <c r="AT95" i="15"/>
  <c r="AE95" i="15"/>
  <c r="P95" i="15"/>
  <c r="A95" i="15"/>
  <c r="AV94" i="15"/>
  <c r="AT94" i="15"/>
  <c r="AE94" i="15"/>
  <c r="P94" i="15"/>
  <c r="A94" i="15"/>
  <c r="AV93" i="15"/>
  <c r="AT93" i="15"/>
  <c r="AE93" i="15"/>
  <c r="P93" i="15"/>
  <c r="A93" i="15"/>
  <c r="AV92" i="15"/>
  <c r="AT92" i="15"/>
  <c r="AE92" i="15"/>
  <c r="P92" i="15"/>
  <c r="A92" i="15"/>
  <c r="AV91" i="15"/>
  <c r="AT91" i="15"/>
  <c r="AE91" i="15"/>
  <c r="P91" i="15"/>
  <c r="A91" i="15"/>
  <c r="AT90" i="15"/>
  <c r="AQ90" i="15"/>
  <c r="AP90" i="15"/>
  <c r="AO90" i="15"/>
  <c r="AN90" i="15"/>
  <c r="AM90" i="15"/>
  <c r="AL90" i="15"/>
  <c r="AK90" i="15"/>
  <c r="AJ90" i="15"/>
  <c r="AI90" i="15"/>
  <c r="AH90" i="15"/>
  <c r="AG90" i="15"/>
  <c r="AF90" i="15"/>
  <c r="AE90" i="15"/>
  <c r="AB90" i="15"/>
  <c r="AA90" i="15"/>
  <c r="Z90" i="15"/>
  <c r="Y90" i="15"/>
  <c r="X90" i="15"/>
  <c r="W90" i="15"/>
  <c r="V90" i="15"/>
  <c r="U90" i="15"/>
  <c r="T90" i="15"/>
  <c r="S90" i="15"/>
  <c r="R90" i="15"/>
  <c r="Q90" i="15"/>
  <c r="P90" i="15"/>
  <c r="M90" i="15"/>
  <c r="L90" i="15"/>
  <c r="K90" i="15"/>
  <c r="J90" i="15"/>
  <c r="I90" i="15"/>
  <c r="H90" i="15"/>
  <c r="G90" i="15"/>
  <c r="F90" i="15"/>
  <c r="E90" i="15"/>
  <c r="D90" i="15"/>
  <c r="C90" i="15"/>
  <c r="B90" i="15"/>
  <c r="A90" i="15"/>
  <c r="AT89" i="15"/>
  <c r="AQ89" i="15"/>
  <c r="AP89" i="15"/>
  <c r="AO89" i="15"/>
  <c r="AN89" i="15"/>
  <c r="AM89" i="15"/>
  <c r="AL89" i="15"/>
  <c r="AK89" i="15"/>
  <c r="AJ89" i="15"/>
  <c r="AI89" i="15"/>
  <c r="AH89" i="15"/>
  <c r="AG89" i="15"/>
  <c r="AF89" i="15"/>
  <c r="AE89" i="15"/>
  <c r="AB89" i="15"/>
  <c r="AA89" i="15"/>
  <c r="Z89" i="15"/>
  <c r="Y89" i="15"/>
  <c r="X89" i="15"/>
  <c r="W89" i="15"/>
  <c r="V89" i="15"/>
  <c r="U89" i="15"/>
  <c r="T89" i="15"/>
  <c r="S89" i="15"/>
  <c r="R89" i="15"/>
  <c r="Q89" i="15"/>
  <c r="P89" i="15"/>
  <c r="M89" i="15"/>
  <c r="L89" i="15"/>
  <c r="K89" i="15"/>
  <c r="J89" i="15"/>
  <c r="I89" i="15"/>
  <c r="H89" i="15"/>
  <c r="G89" i="15"/>
  <c r="F89" i="15"/>
  <c r="E89" i="15"/>
  <c r="D89" i="15"/>
  <c r="C89" i="15"/>
  <c r="B89" i="15"/>
  <c r="A89" i="15"/>
  <c r="AT88" i="15"/>
  <c r="AQ88" i="15"/>
  <c r="AQ113" i="15" s="1"/>
  <c r="AP88" i="15"/>
  <c r="AO88" i="15"/>
  <c r="AO113" i="15" s="1"/>
  <c r="AN88" i="15"/>
  <c r="AN113" i="15" s="1"/>
  <c r="AM88" i="15"/>
  <c r="AM113" i="15" s="1"/>
  <c r="AL88" i="15"/>
  <c r="AL113" i="15" s="1"/>
  <c r="AK88" i="15"/>
  <c r="AK113" i="15" s="1"/>
  <c r="AJ88" i="15"/>
  <c r="AI88" i="15"/>
  <c r="AI113" i="15" s="1"/>
  <c r="AH88" i="15"/>
  <c r="AG88" i="15"/>
  <c r="AG113" i="15" s="1"/>
  <c r="AF88" i="15"/>
  <c r="AF113" i="15" s="1"/>
  <c r="AE88" i="15"/>
  <c r="AB88" i="15"/>
  <c r="AB113" i="15" s="1"/>
  <c r="AA88" i="15"/>
  <c r="AA113" i="15" s="1"/>
  <c r="Z88" i="15"/>
  <c r="Z113" i="15" s="1"/>
  <c r="Y88" i="15"/>
  <c r="Y113" i="15" s="1"/>
  <c r="X88" i="15"/>
  <c r="X113" i="15" s="1"/>
  <c r="W88" i="15"/>
  <c r="W113" i="15" s="1"/>
  <c r="V88" i="15"/>
  <c r="V113" i="15" s="1"/>
  <c r="U88" i="15"/>
  <c r="T88" i="15"/>
  <c r="T113" i="15" s="1"/>
  <c r="S88" i="15"/>
  <c r="S113" i="15" s="1"/>
  <c r="R88" i="15"/>
  <c r="R113" i="15" s="1"/>
  <c r="Q88" i="15"/>
  <c r="Q113" i="15" s="1"/>
  <c r="P88" i="15"/>
  <c r="M88" i="15"/>
  <c r="M113" i="15" s="1"/>
  <c r="L88" i="15"/>
  <c r="L113" i="15" s="1"/>
  <c r="K88" i="15"/>
  <c r="K113" i="15" s="1"/>
  <c r="J88" i="15"/>
  <c r="J113" i="15" s="1"/>
  <c r="I88" i="15"/>
  <c r="I113" i="15" s="1"/>
  <c r="H88" i="15"/>
  <c r="H113" i="15" s="1"/>
  <c r="G88" i="15"/>
  <c r="G113" i="15" s="1"/>
  <c r="F88" i="15"/>
  <c r="E88" i="15"/>
  <c r="E113" i="15" s="1"/>
  <c r="D88" i="15"/>
  <c r="D113" i="15" s="1"/>
  <c r="C88" i="15"/>
  <c r="C113" i="15" s="1"/>
  <c r="B88" i="15"/>
  <c r="B113" i="15" s="1"/>
  <c r="A88" i="15"/>
  <c r="AT85" i="15"/>
  <c r="AE85" i="15"/>
  <c r="P85" i="15"/>
  <c r="A85" i="15"/>
  <c r="AT84" i="15"/>
  <c r="AE84" i="15"/>
  <c r="P84" i="15"/>
  <c r="A84" i="15"/>
  <c r="AT83" i="15"/>
  <c r="AE83" i="15"/>
  <c r="P83" i="15"/>
  <c r="A83" i="15"/>
  <c r="AT82" i="15"/>
  <c r="AE82" i="15"/>
  <c r="P82" i="15"/>
  <c r="A82" i="15"/>
  <c r="AT81" i="15"/>
  <c r="AE81" i="15"/>
  <c r="P81" i="15"/>
  <c r="A81" i="15"/>
  <c r="AT80" i="15"/>
  <c r="AE80" i="15"/>
  <c r="P80" i="15"/>
  <c r="A80" i="15"/>
  <c r="AT79" i="15"/>
  <c r="AE79" i="15"/>
  <c r="P79" i="15"/>
  <c r="A79" i="15"/>
  <c r="AT78" i="15"/>
  <c r="AE78" i="15"/>
  <c r="P78" i="15"/>
  <c r="A78" i="15"/>
  <c r="AT77" i="15"/>
  <c r="AE77" i="15"/>
  <c r="P77" i="15"/>
  <c r="A77" i="15"/>
  <c r="AT76" i="15"/>
  <c r="AE76" i="15"/>
  <c r="P76" i="15"/>
  <c r="A76" i="15"/>
  <c r="AT75" i="15"/>
  <c r="AE75" i="15"/>
  <c r="P75" i="15"/>
  <c r="A75" i="15"/>
  <c r="AT74" i="15"/>
  <c r="AE74" i="15"/>
  <c r="P74" i="15"/>
  <c r="A74" i="15"/>
  <c r="AT73" i="15"/>
  <c r="AE73" i="15"/>
  <c r="P73" i="15"/>
  <c r="A73" i="15"/>
  <c r="AT72" i="15"/>
  <c r="AE72" i="15"/>
  <c r="P72" i="15"/>
  <c r="A72" i="15"/>
  <c r="AT71" i="15"/>
  <c r="AE71" i="15"/>
  <c r="P71" i="15"/>
  <c r="A71" i="15"/>
  <c r="AT70" i="15"/>
  <c r="AE70" i="15"/>
  <c r="P70" i="15"/>
  <c r="A70" i="15"/>
  <c r="AT69" i="15"/>
  <c r="AE69" i="15"/>
  <c r="P69" i="15"/>
  <c r="A69" i="15"/>
  <c r="AT68" i="15"/>
  <c r="AE68" i="15"/>
  <c r="P68" i="15"/>
  <c r="A68" i="15"/>
  <c r="AT67" i="15"/>
  <c r="AE67" i="15"/>
  <c r="P67" i="15"/>
  <c r="A67" i="15"/>
  <c r="AT66" i="15"/>
  <c r="AE66" i="15"/>
  <c r="P66" i="15"/>
  <c r="A66" i="15"/>
  <c r="AT65" i="15"/>
  <c r="AE65" i="15"/>
  <c r="P65" i="15"/>
  <c r="A65" i="15"/>
  <c r="AT64" i="15"/>
  <c r="AE64" i="15"/>
  <c r="P64" i="15"/>
  <c r="A64" i="15"/>
  <c r="AT63" i="15"/>
  <c r="AQ63" i="15"/>
  <c r="AP63" i="15"/>
  <c r="AO63" i="15"/>
  <c r="AN63" i="15"/>
  <c r="AM63" i="15"/>
  <c r="AL63" i="15"/>
  <c r="AK63" i="15"/>
  <c r="AJ63" i="15"/>
  <c r="AI63" i="15"/>
  <c r="AH63" i="15"/>
  <c r="AG63" i="15"/>
  <c r="AF63" i="15"/>
  <c r="AE63" i="15"/>
  <c r="AB63" i="15"/>
  <c r="AA63" i="15"/>
  <c r="Z63" i="15"/>
  <c r="Y63" i="15"/>
  <c r="X63" i="15"/>
  <c r="W63" i="15"/>
  <c r="V63" i="15"/>
  <c r="U63" i="15"/>
  <c r="T63" i="15"/>
  <c r="S63" i="15"/>
  <c r="R63" i="15"/>
  <c r="Q63" i="15"/>
  <c r="P63" i="15"/>
  <c r="M63" i="15"/>
  <c r="L63" i="15"/>
  <c r="K63" i="15"/>
  <c r="J63" i="15"/>
  <c r="I63" i="15"/>
  <c r="H63" i="15"/>
  <c r="G63" i="15"/>
  <c r="F63" i="15"/>
  <c r="E63" i="15"/>
  <c r="D63" i="15"/>
  <c r="C63" i="15"/>
  <c r="A63" i="15"/>
  <c r="AT62" i="15"/>
  <c r="AQ62" i="15"/>
  <c r="AP62" i="15"/>
  <c r="AO62" i="15"/>
  <c r="AN62" i="15"/>
  <c r="AM62" i="15"/>
  <c r="AL62" i="15"/>
  <c r="AK62" i="15"/>
  <c r="AJ62" i="15"/>
  <c r="AI62" i="15"/>
  <c r="AH62" i="15"/>
  <c r="AG62" i="15"/>
  <c r="AF62" i="15"/>
  <c r="AE62" i="15"/>
  <c r="AB62" i="15"/>
  <c r="AA62" i="15"/>
  <c r="Z62" i="15"/>
  <c r="Y62" i="15"/>
  <c r="X62" i="15"/>
  <c r="W62" i="15"/>
  <c r="V62" i="15"/>
  <c r="U62" i="15"/>
  <c r="T62" i="15"/>
  <c r="S62" i="15"/>
  <c r="R62" i="15"/>
  <c r="Q62" i="15"/>
  <c r="P62" i="15"/>
  <c r="M62" i="15"/>
  <c r="L62" i="15"/>
  <c r="K62" i="15"/>
  <c r="J62" i="15"/>
  <c r="I62" i="15"/>
  <c r="H62" i="15"/>
  <c r="G62" i="15"/>
  <c r="F62" i="15"/>
  <c r="E62" i="15"/>
  <c r="D62" i="15"/>
  <c r="C62" i="15"/>
  <c r="A62" i="15"/>
  <c r="AT61" i="15"/>
  <c r="AQ61" i="15"/>
  <c r="AP61" i="15"/>
  <c r="AO61" i="15"/>
  <c r="AN61" i="15"/>
  <c r="AM61" i="15"/>
  <c r="AL61" i="15"/>
  <c r="AK61" i="15"/>
  <c r="AJ61" i="15"/>
  <c r="AI61" i="15"/>
  <c r="AH61" i="15"/>
  <c r="AG61" i="15"/>
  <c r="AF61" i="15"/>
  <c r="AE61" i="15"/>
  <c r="AB61" i="15"/>
  <c r="AA61" i="15"/>
  <c r="Z61" i="15"/>
  <c r="Y61" i="15"/>
  <c r="X61" i="15"/>
  <c r="W61" i="15"/>
  <c r="V61" i="15"/>
  <c r="U61" i="15"/>
  <c r="T61" i="15"/>
  <c r="S61" i="15"/>
  <c r="R61" i="15"/>
  <c r="P61" i="15"/>
  <c r="M61" i="15"/>
  <c r="L61" i="15"/>
  <c r="K61" i="15"/>
  <c r="J61" i="15"/>
  <c r="I61" i="15"/>
  <c r="H61" i="15"/>
  <c r="G61" i="15"/>
  <c r="F61" i="15"/>
  <c r="E61" i="15"/>
  <c r="D61" i="15"/>
  <c r="A61" i="15"/>
  <c r="AT58" i="15"/>
  <c r="AE58" i="15"/>
  <c r="P58" i="15"/>
  <c r="A58" i="15"/>
  <c r="AT57" i="15"/>
  <c r="AE57" i="15"/>
  <c r="P57" i="15"/>
  <c r="A57" i="15"/>
  <c r="AT56" i="15"/>
  <c r="AE56" i="15"/>
  <c r="P56" i="15"/>
  <c r="A56" i="15"/>
  <c r="AT55" i="15"/>
  <c r="AE55" i="15"/>
  <c r="P55" i="15"/>
  <c r="A55" i="15"/>
  <c r="AT54" i="15"/>
  <c r="AE54" i="15"/>
  <c r="P54" i="15"/>
  <c r="A54" i="15"/>
  <c r="AT53" i="15"/>
  <c r="AE53" i="15"/>
  <c r="P53" i="15"/>
  <c r="A53" i="15"/>
  <c r="AT52" i="15"/>
  <c r="AE52" i="15"/>
  <c r="P52" i="15"/>
  <c r="A52" i="15"/>
  <c r="AT51" i="15"/>
  <c r="AE51" i="15"/>
  <c r="P51" i="15"/>
  <c r="A51" i="15"/>
  <c r="AT50" i="15"/>
  <c r="AE50" i="15"/>
  <c r="P50" i="15"/>
  <c r="A50" i="15"/>
  <c r="AT49" i="15"/>
  <c r="AE49" i="15"/>
  <c r="P49" i="15"/>
  <c r="A49" i="15"/>
  <c r="AT48" i="15"/>
  <c r="AE48" i="15"/>
  <c r="P48" i="15"/>
  <c r="A48" i="15"/>
  <c r="AT47" i="15"/>
  <c r="AE47" i="15"/>
  <c r="P47" i="15"/>
  <c r="A47" i="15"/>
  <c r="AT46" i="15"/>
  <c r="AE46" i="15"/>
  <c r="P46" i="15"/>
  <c r="A46" i="15"/>
  <c r="AT45" i="15"/>
  <c r="AE45" i="15"/>
  <c r="P45" i="15"/>
  <c r="A45" i="15"/>
  <c r="AT44" i="15"/>
  <c r="AE44" i="15"/>
  <c r="P44" i="15"/>
  <c r="A44" i="15"/>
  <c r="AT43" i="15"/>
  <c r="AE43" i="15"/>
  <c r="P43" i="15"/>
  <c r="A43" i="15"/>
  <c r="AT42" i="15"/>
  <c r="AE42" i="15"/>
  <c r="P42" i="15"/>
  <c r="A42" i="15"/>
  <c r="AT41" i="15"/>
  <c r="AE41" i="15"/>
  <c r="P41" i="15"/>
  <c r="A41" i="15"/>
  <c r="AT40" i="15"/>
  <c r="AE40" i="15"/>
  <c r="P40" i="15"/>
  <c r="A40" i="15"/>
  <c r="AT39" i="15"/>
  <c r="AE39" i="15"/>
  <c r="P39" i="15"/>
  <c r="A39" i="15"/>
  <c r="AT38" i="15"/>
  <c r="AE38" i="15"/>
  <c r="P38" i="15"/>
  <c r="A38" i="15"/>
  <c r="AT37" i="15"/>
  <c r="AE37" i="15"/>
  <c r="P37" i="15"/>
  <c r="A37" i="15"/>
  <c r="AT36" i="15"/>
  <c r="AR36" i="15"/>
  <c r="AE36" i="15"/>
  <c r="AC36" i="15"/>
  <c r="P36" i="15"/>
  <c r="N36" i="15"/>
  <c r="A36" i="15"/>
  <c r="AT35" i="15"/>
  <c r="AR35" i="15"/>
  <c r="AE35" i="15"/>
  <c r="AC35" i="15"/>
  <c r="P35" i="15"/>
  <c r="N35" i="15"/>
  <c r="A35" i="15"/>
  <c r="AV34" i="15"/>
  <c r="AT34" i="15"/>
  <c r="AR34" i="15"/>
  <c r="AE34" i="15"/>
  <c r="AC34" i="15"/>
  <c r="AW34" i="15" s="1"/>
  <c r="P34" i="15"/>
  <c r="N34" i="15"/>
  <c r="A34" i="15"/>
  <c r="AT31" i="15"/>
  <c r="AE31" i="15"/>
  <c r="P31" i="15"/>
  <c r="AT30" i="15"/>
  <c r="AE30" i="15"/>
  <c r="P30" i="15"/>
  <c r="AT29" i="15"/>
  <c r="AE29" i="15"/>
  <c r="P29" i="15"/>
  <c r="AT28" i="15"/>
  <c r="AE28" i="15"/>
  <c r="P28" i="15"/>
  <c r="AT27" i="15"/>
  <c r="AE27" i="15"/>
  <c r="P27" i="15"/>
  <c r="AT26" i="15"/>
  <c r="AE26" i="15"/>
  <c r="P26" i="15"/>
  <c r="AT25" i="15"/>
  <c r="AE25" i="15"/>
  <c r="P25" i="15"/>
  <c r="AT24" i="15"/>
  <c r="AE24" i="15"/>
  <c r="P24" i="15"/>
  <c r="AT23" i="15"/>
  <c r="AE23" i="15"/>
  <c r="P23" i="15"/>
  <c r="AT22" i="15"/>
  <c r="AE22" i="15"/>
  <c r="P22" i="15"/>
  <c r="AT21" i="15"/>
  <c r="AE21" i="15"/>
  <c r="P21" i="15"/>
  <c r="AT20" i="15"/>
  <c r="AE20" i="15"/>
  <c r="P20" i="15"/>
  <c r="AT19" i="15"/>
  <c r="AE19" i="15"/>
  <c r="P19" i="15"/>
  <c r="AT18" i="15"/>
  <c r="AE18" i="15"/>
  <c r="P18" i="15"/>
  <c r="AT17" i="15"/>
  <c r="AE17" i="15"/>
  <c r="P17" i="15"/>
  <c r="AT16" i="15"/>
  <c r="AE16" i="15"/>
  <c r="P16" i="15"/>
  <c r="AT15" i="15"/>
  <c r="AE15" i="15"/>
  <c r="P15" i="15"/>
  <c r="AT14" i="15"/>
  <c r="AE14" i="15"/>
  <c r="P14" i="15"/>
  <c r="AT13" i="15"/>
  <c r="AE13" i="15"/>
  <c r="P13" i="15"/>
  <c r="AT12" i="15"/>
  <c r="AE12" i="15"/>
  <c r="P12" i="15"/>
  <c r="AT11" i="15"/>
  <c r="AE11" i="15"/>
  <c r="P11" i="15"/>
  <c r="AT10" i="15"/>
  <c r="AE10" i="15"/>
  <c r="P10" i="15"/>
  <c r="AT9" i="15"/>
  <c r="AR9" i="15"/>
  <c r="AW9" i="15" s="1"/>
  <c r="AE9" i="15"/>
  <c r="AC9" i="15"/>
  <c r="P9" i="15"/>
  <c r="N9" i="15"/>
  <c r="AT8" i="15"/>
  <c r="AR8" i="15"/>
  <c r="AE8" i="15"/>
  <c r="AC8" i="15"/>
  <c r="AU8" i="15" s="1"/>
  <c r="P8" i="15"/>
  <c r="N8" i="15"/>
  <c r="AT7" i="15"/>
  <c r="AR7" i="15"/>
  <c r="AE7" i="15"/>
  <c r="AC7" i="15"/>
  <c r="P7" i="15"/>
  <c r="N7" i="15"/>
  <c r="C6" i="15"/>
  <c r="D6" i="15" s="1"/>
  <c r="E6" i="15" s="1"/>
  <c r="F6" i="15" s="1"/>
  <c r="G6" i="15" s="1"/>
  <c r="H6" i="15" s="1"/>
  <c r="I6" i="15" s="1"/>
  <c r="J6" i="15" s="1"/>
  <c r="K6" i="15" s="1"/>
  <c r="L6" i="15" s="1"/>
  <c r="M6" i="15" s="1"/>
  <c r="Q6" i="15" s="1"/>
  <c r="R6" i="15" s="1"/>
  <c r="S6" i="15" s="1"/>
  <c r="T6" i="15" s="1"/>
  <c r="U6" i="15" s="1"/>
  <c r="V6" i="15" s="1"/>
  <c r="W6" i="15" s="1"/>
  <c r="X6" i="15" s="1"/>
  <c r="Y6" i="15" s="1"/>
  <c r="Z6" i="15" s="1"/>
  <c r="AA6" i="15" s="1"/>
  <c r="AB6" i="15" s="1"/>
  <c r="AF6" i="15" s="1"/>
  <c r="AG6" i="15" s="1"/>
  <c r="AH6" i="15" s="1"/>
  <c r="AI6" i="15" s="1"/>
  <c r="AJ6" i="15" s="1"/>
  <c r="AK6" i="15" s="1"/>
  <c r="AL6" i="15" s="1"/>
  <c r="AM6" i="15" s="1"/>
  <c r="AN6" i="15" s="1"/>
  <c r="AO6" i="15" s="1"/>
  <c r="AP6" i="15" s="1"/>
  <c r="AQ6" i="15" s="1"/>
  <c r="B6" i="15"/>
  <c r="CY10" i="13" l="1"/>
  <c r="CX10" i="13"/>
  <c r="AW7" i="15"/>
  <c r="AC90" i="15"/>
  <c r="AC63" i="15"/>
  <c r="AR63" i="15"/>
  <c r="AC61" i="15"/>
  <c r="AU7" i="15"/>
  <c r="AV116" i="15"/>
  <c r="AW36" i="15"/>
  <c r="AC62" i="15"/>
  <c r="AR88" i="15"/>
  <c r="AU117" i="15"/>
  <c r="AW35" i="15"/>
  <c r="AR61" i="15"/>
  <c r="AW61" i="15" s="1"/>
  <c r="AC143" i="15"/>
  <c r="N145" i="15"/>
  <c r="AV145" i="15" s="1"/>
  <c r="AW8" i="15"/>
  <c r="AU34" i="15"/>
  <c r="N63" i="15"/>
  <c r="AW116" i="15"/>
  <c r="N143" i="15"/>
  <c r="AV143" i="15" s="1"/>
  <c r="AM195" i="15"/>
  <c r="AC88" i="15"/>
  <c r="AW88" i="15" s="1"/>
  <c r="AC89" i="15"/>
  <c r="AW89" i="15" s="1"/>
  <c r="V195" i="15"/>
  <c r="AR143" i="15"/>
  <c r="AR144" i="15"/>
  <c r="AR89" i="15"/>
  <c r="AR90" i="15"/>
  <c r="AW90" i="15" s="1"/>
  <c r="E195" i="15"/>
  <c r="M195" i="15"/>
  <c r="AO195" i="15"/>
  <c r="N144" i="15"/>
  <c r="AV144" i="15" s="1"/>
  <c r="AR145" i="15"/>
  <c r="T170" i="15"/>
  <c r="T195" i="15" s="1"/>
  <c r="N61" i="15"/>
  <c r="AU61" i="15" s="1"/>
  <c r="AU9" i="15"/>
  <c r="AU35" i="15"/>
  <c r="N62" i="15"/>
  <c r="AR62" i="15"/>
  <c r="AW62" i="15" s="1"/>
  <c r="AW118" i="15"/>
  <c r="X195" i="15"/>
  <c r="AU36" i="15"/>
  <c r="F113" i="15"/>
  <c r="N90" i="15"/>
  <c r="AU90" i="15" s="1"/>
  <c r="AH113" i="15"/>
  <c r="AP113" i="15"/>
  <c r="G195" i="15"/>
  <c r="AC144" i="15"/>
  <c r="AU144" i="15" s="1"/>
  <c r="AC145" i="15"/>
  <c r="AG172" i="15"/>
  <c r="AG195" i="15" s="1"/>
  <c r="AW63" i="15"/>
  <c r="AR113" i="15"/>
  <c r="AV88" i="15"/>
  <c r="AC170" i="15"/>
  <c r="AU63" i="15"/>
  <c r="N170" i="15"/>
  <c r="N171" i="15"/>
  <c r="AV171" i="15" s="1"/>
  <c r="C195" i="15"/>
  <c r="K195" i="15"/>
  <c r="AC113" i="15"/>
  <c r="N89" i="15"/>
  <c r="AF171" i="15"/>
  <c r="AR171" i="15" s="1"/>
  <c r="Q172" i="15"/>
  <c r="AC172" i="15" s="1"/>
  <c r="AV35" i="15"/>
  <c r="N88" i="15"/>
  <c r="AJ113" i="15"/>
  <c r="AV118" i="15"/>
  <c r="AQ172" i="15"/>
  <c r="AR172" i="15" s="1"/>
  <c r="AV7" i="15"/>
  <c r="AV8" i="15"/>
  <c r="AV63" i="15"/>
  <c r="AF170" i="15"/>
  <c r="Q171" i="15"/>
  <c r="AC171" i="15" s="1"/>
  <c r="AU171" i="15" s="1"/>
  <c r="B172" i="15"/>
  <c r="N172" i="15" s="1"/>
  <c r="AV172" i="15" s="1"/>
  <c r="AV36" i="15"/>
  <c r="AV9" i="15"/>
  <c r="U113" i="15"/>
  <c r="AU116" i="15"/>
  <c r="AV89" i="15" l="1"/>
  <c r="AU172" i="15"/>
  <c r="B195" i="15"/>
  <c r="AW143" i="15"/>
  <c r="AU62" i="15"/>
  <c r="AV61" i="15"/>
  <c r="AU89" i="15"/>
  <c r="AW172" i="15"/>
  <c r="AV90" i="15"/>
  <c r="AV62" i="15"/>
  <c r="N113" i="15"/>
  <c r="AU113" i="15" s="1"/>
  <c r="AU143" i="15"/>
  <c r="AU145" i="15"/>
  <c r="AW145" i="15"/>
  <c r="AW144" i="15"/>
  <c r="AQ195" i="15"/>
  <c r="AW171" i="15"/>
  <c r="AC195" i="15"/>
  <c r="AU170" i="15"/>
  <c r="AR170" i="15"/>
  <c r="AF195" i="15"/>
  <c r="N195" i="15"/>
  <c r="AV195" i="15" s="1"/>
  <c r="AV170" i="15"/>
  <c r="Q195" i="15"/>
  <c r="AU88" i="15"/>
  <c r="AW113" i="15"/>
  <c r="AV113" i="15"/>
  <c r="CV171" i="13"/>
  <c r="CV172" i="13"/>
  <c r="CV173" i="13"/>
  <c r="CV174" i="13"/>
  <c r="CV175" i="13"/>
  <c r="CV176" i="13"/>
  <c r="CV177" i="13"/>
  <c r="CV178" i="13"/>
  <c r="CV179" i="13"/>
  <c r="CV180" i="13"/>
  <c r="CV181" i="13"/>
  <c r="CV182" i="13"/>
  <c r="CV183" i="13"/>
  <c r="CV184" i="13"/>
  <c r="CV185" i="13"/>
  <c r="CV186" i="13"/>
  <c r="CV187" i="13"/>
  <c r="CV188" i="13"/>
  <c r="CV189" i="13"/>
  <c r="CV190" i="13"/>
  <c r="CV191" i="13"/>
  <c r="CV192" i="13"/>
  <c r="CV193" i="13"/>
  <c r="CV194" i="13"/>
  <c r="CV170" i="13"/>
  <c r="CV144" i="13"/>
  <c r="CV145" i="13"/>
  <c r="CV146" i="13"/>
  <c r="CV147" i="13"/>
  <c r="CV148" i="13"/>
  <c r="CV149" i="13"/>
  <c r="CV150" i="13"/>
  <c r="CV151" i="13"/>
  <c r="CV152" i="13"/>
  <c r="CV153" i="13"/>
  <c r="CV154" i="13"/>
  <c r="CV155" i="13"/>
  <c r="CV156" i="13"/>
  <c r="CV157" i="13"/>
  <c r="CV158" i="13"/>
  <c r="CV159" i="13"/>
  <c r="CV160" i="13"/>
  <c r="CV161" i="13"/>
  <c r="CV162" i="13"/>
  <c r="CV163" i="13"/>
  <c r="CV164" i="13"/>
  <c r="CV165" i="13"/>
  <c r="CV166" i="13"/>
  <c r="CV167" i="13"/>
  <c r="CV143" i="13"/>
  <c r="CV117" i="13"/>
  <c r="CV118" i="13"/>
  <c r="CV119" i="13"/>
  <c r="CV120" i="13"/>
  <c r="CV121" i="13"/>
  <c r="CV122" i="13"/>
  <c r="CV123" i="13"/>
  <c r="CV124" i="13"/>
  <c r="CV125" i="13"/>
  <c r="CV126" i="13"/>
  <c r="CV127" i="13"/>
  <c r="CV128" i="13"/>
  <c r="CV129" i="13"/>
  <c r="CV130" i="13"/>
  <c r="CV131" i="13"/>
  <c r="CV132" i="13"/>
  <c r="CV133" i="13"/>
  <c r="CV134" i="13"/>
  <c r="CV135" i="13"/>
  <c r="CV136" i="13"/>
  <c r="CV137" i="13"/>
  <c r="CV138" i="13"/>
  <c r="CV139" i="13"/>
  <c r="CV140" i="13"/>
  <c r="CV116" i="13"/>
  <c r="CV89" i="13"/>
  <c r="CV90" i="13"/>
  <c r="CV91" i="13"/>
  <c r="CV92" i="13"/>
  <c r="CV93" i="13"/>
  <c r="CV94" i="13"/>
  <c r="CV95" i="13"/>
  <c r="CV96" i="13"/>
  <c r="CV97" i="13"/>
  <c r="CV98" i="13"/>
  <c r="CV99" i="13"/>
  <c r="CV100" i="13"/>
  <c r="CV101" i="13"/>
  <c r="CV102" i="13"/>
  <c r="CV103" i="13"/>
  <c r="CV104" i="13"/>
  <c r="CV105" i="13"/>
  <c r="CV106" i="13"/>
  <c r="CV107" i="13"/>
  <c r="CV108" i="13"/>
  <c r="CV109" i="13"/>
  <c r="CV110" i="13"/>
  <c r="CV111" i="13"/>
  <c r="CV112" i="13"/>
  <c r="CV88" i="13"/>
  <c r="CV62" i="13"/>
  <c r="CV63" i="13"/>
  <c r="CV64" i="13"/>
  <c r="CV65" i="13"/>
  <c r="CV66" i="13"/>
  <c r="CV67" i="13"/>
  <c r="CV68" i="13"/>
  <c r="CV69" i="13"/>
  <c r="CV70" i="13"/>
  <c r="CV71" i="13"/>
  <c r="CV72" i="13"/>
  <c r="CV73" i="13"/>
  <c r="CV74" i="13"/>
  <c r="CV75" i="13"/>
  <c r="CV76" i="13"/>
  <c r="CV77" i="13"/>
  <c r="CV78" i="13"/>
  <c r="CV79" i="13"/>
  <c r="CV80" i="13"/>
  <c r="CV81" i="13"/>
  <c r="CV82" i="13"/>
  <c r="CV83" i="13"/>
  <c r="CV84" i="13"/>
  <c r="CV85" i="13"/>
  <c r="CV61" i="13"/>
  <c r="CV35" i="13"/>
  <c r="CV36" i="13"/>
  <c r="CV37" i="13"/>
  <c r="CV38" i="13"/>
  <c r="CV39" i="13"/>
  <c r="CV40" i="13"/>
  <c r="CV41" i="13"/>
  <c r="CV42" i="13"/>
  <c r="CV43" i="13"/>
  <c r="CV44" i="13"/>
  <c r="CV45" i="13"/>
  <c r="CV46" i="13"/>
  <c r="CV47" i="13"/>
  <c r="CV48" i="13"/>
  <c r="CV49" i="13"/>
  <c r="CV50" i="13"/>
  <c r="CV51" i="13"/>
  <c r="CV52" i="13"/>
  <c r="CV53" i="13"/>
  <c r="CV54" i="13"/>
  <c r="CV55" i="13"/>
  <c r="CV56" i="13"/>
  <c r="CV57" i="13"/>
  <c r="CV58" i="13"/>
  <c r="CV34" i="13"/>
  <c r="CV8" i="13"/>
  <c r="CV9" i="13"/>
  <c r="CV10" i="13"/>
  <c r="CV11" i="13"/>
  <c r="CV12" i="13"/>
  <c r="CV13" i="13"/>
  <c r="CV14" i="13"/>
  <c r="CV15" i="13"/>
  <c r="CV16" i="13"/>
  <c r="CV17" i="13"/>
  <c r="CV18" i="13"/>
  <c r="CV19" i="13"/>
  <c r="CV20" i="13"/>
  <c r="CV21" i="13"/>
  <c r="CV22" i="13"/>
  <c r="CV23" i="13"/>
  <c r="CV24" i="13"/>
  <c r="CV25" i="13"/>
  <c r="CV26" i="13"/>
  <c r="CV27" i="13"/>
  <c r="CV28" i="13"/>
  <c r="CV29" i="13"/>
  <c r="CV30" i="13"/>
  <c r="CV31" i="13"/>
  <c r="CV7" i="13"/>
  <c r="BS171" i="13"/>
  <c r="BS172" i="13"/>
  <c r="BS173" i="13"/>
  <c r="BS174" i="13"/>
  <c r="BS175" i="13"/>
  <c r="BS176" i="13"/>
  <c r="BS177" i="13"/>
  <c r="BS178" i="13"/>
  <c r="BS179" i="13"/>
  <c r="BS180" i="13"/>
  <c r="BS181" i="13"/>
  <c r="BS182" i="13"/>
  <c r="BS183" i="13"/>
  <c r="BS184" i="13"/>
  <c r="BS185" i="13"/>
  <c r="BS186" i="13"/>
  <c r="BS187" i="13"/>
  <c r="BS188" i="13"/>
  <c r="BS189" i="13"/>
  <c r="BS190" i="13"/>
  <c r="BS191" i="13"/>
  <c r="BS192" i="13"/>
  <c r="BS193" i="13"/>
  <c r="BS194" i="13"/>
  <c r="BS170" i="13"/>
  <c r="BS144" i="13"/>
  <c r="BS145" i="13"/>
  <c r="BS146" i="13"/>
  <c r="BS147" i="13"/>
  <c r="BS148" i="13"/>
  <c r="BS149" i="13"/>
  <c r="BS150" i="13"/>
  <c r="BS151" i="13"/>
  <c r="BS152" i="13"/>
  <c r="BS153" i="13"/>
  <c r="BS154" i="13"/>
  <c r="BS155" i="13"/>
  <c r="BS156" i="13"/>
  <c r="BS157" i="13"/>
  <c r="BS158" i="13"/>
  <c r="BS159" i="13"/>
  <c r="BS160" i="13"/>
  <c r="BS161" i="13"/>
  <c r="BS162" i="13"/>
  <c r="BS163" i="13"/>
  <c r="BS164" i="13"/>
  <c r="BS165" i="13"/>
  <c r="BS166" i="13"/>
  <c r="BS167" i="13"/>
  <c r="BS143" i="13"/>
  <c r="BS117" i="13"/>
  <c r="BS118" i="13"/>
  <c r="BS119" i="13"/>
  <c r="BS120" i="13"/>
  <c r="BS121" i="13"/>
  <c r="BS122" i="13"/>
  <c r="BS123" i="13"/>
  <c r="BS124" i="13"/>
  <c r="BS125" i="13"/>
  <c r="BS126" i="13"/>
  <c r="BS127" i="13"/>
  <c r="BS128" i="13"/>
  <c r="BS129" i="13"/>
  <c r="BS130" i="13"/>
  <c r="BS131" i="13"/>
  <c r="BS132" i="13"/>
  <c r="BS133" i="13"/>
  <c r="BS134" i="13"/>
  <c r="BS135" i="13"/>
  <c r="BS136" i="13"/>
  <c r="BS137" i="13"/>
  <c r="BS138" i="13"/>
  <c r="BS139" i="13"/>
  <c r="BS140" i="13"/>
  <c r="BS116" i="13"/>
  <c r="BS89" i="13"/>
  <c r="BS90" i="13"/>
  <c r="BS91" i="13"/>
  <c r="BS92" i="13"/>
  <c r="BS93" i="13"/>
  <c r="BS94" i="13"/>
  <c r="BS95" i="13"/>
  <c r="BS96" i="13"/>
  <c r="BS97" i="13"/>
  <c r="BS98" i="13"/>
  <c r="BS99" i="13"/>
  <c r="BS100" i="13"/>
  <c r="BS101" i="13"/>
  <c r="BS102" i="13"/>
  <c r="BS103" i="13"/>
  <c r="BS104" i="13"/>
  <c r="BS105" i="13"/>
  <c r="BS106" i="13"/>
  <c r="BS107" i="13"/>
  <c r="BS108" i="13"/>
  <c r="BS109" i="13"/>
  <c r="BS110" i="13"/>
  <c r="BS111" i="13"/>
  <c r="BS112" i="13"/>
  <c r="BS88" i="13"/>
  <c r="BS62" i="13"/>
  <c r="BS63" i="13"/>
  <c r="BS64" i="13"/>
  <c r="BS65" i="13"/>
  <c r="BS66" i="13"/>
  <c r="BS67" i="13"/>
  <c r="BS68" i="13"/>
  <c r="BS69" i="13"/>
  <c r="BS70" i="13"/>
  <c r="BS71" i="13"/>
  <c r="BS72" i="13"/>
  <c r="BS73" i="13"/>
  <c r="BS74" i="13"/>
  <c r="BS75" i="13"/>
  <c r="BS76" i="13"/>
  <c r="BS77" i="13"/>
  <c r="BS78" i="13"/>
  <c r="BS79" i="13"/>
  <c r="BS80" i="13"/>
  <c r="BS81" i="13"/>
  <c r="BS82" i="13"/>
  <c r="BS83" i="13"/>
  <c r="BS84" i="13"/>
  <c r="BS85" i="13"/>
  <c r="BS61" i="13"/>
  <c r="BS35" i="13"/>
  <c r="BS36" i="13"/>
  <c r="BS37" i="13"/>
  <c r="BS38" i="13"/>
  <c r="BS39" i="13"/>
  <c r="BS40" i="13"/>
  <c r="BS41" i="13"/>
  <c r="BS42" i="13"/>
  <c r="BS43" i="13"/>
  <c r="BS44" i="13"/>
  <c r="BS45" i="13"/>
  <c r="BS46" i="13"/>
  <c r="BS47" i="13"/>
  <c r="BS48" i="13"/>
  <c r="BS49" i="13"/>
  <c r="BS50" i="13"/>
  <c r="BS51" i="13"/>
  <c r="BS52" i="13"/>
  <c r="BS53" i="13"/>
  <c r="BS54" i="13"/>
  <c r="BS55" i="13"/>
  <c r="BS56" i="13"/>
  <c r="BS57" i="13"/>
  <c r="BS58" i="13"/>
  <c r="BS34" i="13"/>
  <c r="BS8" i="13"/>
  <c r="BS9" i="13"/>
  <c r="BS10" i="13"/>
  <c r="BS11" i="13"/>
  <c r="BS12" i="13"/>
  <c r="BS13" i="13"/>
  <c r="BS14" i="13"/>
  <c r="BS15" i="13"/>
  <c r="BS16" i="13"/>
  <c r="BS17" i="13"/>
  <c r="BS18" i="13"/>
  <c r="BS19" i="13"/>
  <c r="BS20" i="13"/>
  <c r="BS21" i="13"/>
  <c r="BS22" i="13"/>
  <c r="BS23" i="13"/>
  <c r="BS24" i="13"/>
  <c r="BS25" i="13"/>
  <c r="BS26" i="13"/>
  <c r="BS27" i="13"/>
  <c r="BS28" i="13"/>
  <c r="BS29" i="13"/>
  <c r="BS30" i="13"/>
  <c r="BS31" i="13"/>
  <c r="BS7" i="13"/>
  <c r="AP171" i="13"/>
  <c r="AP172" i="13"/>
  <c r="AP173" i="13"/>
  <c r="AP174" i="13"/>
  <c r="AP175" i="13"/>
  <c r="AP176" i="13"/>
  <c r="AP177" i="13"/>
  <c r="AP178" i="13"/>
  <c r="AP179" i="13"/>
  <c r="AP180" i="13"/>
  <c r="AP181" i="13"/>
  <c r="AP182" i="13"/>
  <c r="AP183" i="13"/>
  <c r="AP184" i="13"/>
  <c r="AP185" i="13"/>
  <c r="AP186" i="13"/>
  <c r="AP187" i="13"/>
  <c r="AP188" i="13"/>
  <c r="AP189" i="13"/>
  <c r="AP190" i="13"/>
  <c r="AP191" i="13"/>
  <c r="AP192" i="13"/>
  <c r="AP193" i="13"/>
  <c r="AP194" i="13"/>
  <c r="AP170" i="13"/>
  <c r="AP144" i="13"/>
  <c r="AP145" i="13"/>
  <c r="AP146" i="13"/>
  <c r="AP147" i="13"/>
  <c r="AP148" i="13"/>
  <c r="AP149" i="13"/>
  <c r="AP150" i="13"/>
  <c r="AP151" i="13"/>
  <c r="AP152" i="13"/>
  <c r="AP153" i="13"/>
  <c r="AP154" i="13"/>
  <c r="AP155" i="13"/>
  <c r="AP156" i="13"/>
  <c r="AP157" i="13"/>
  <c r="AP158" i="13"/>
  <c r="AP159" i="13"/>
  <c r="AP160" i="13"/>
  <c r="AP161" i="13"/>
  <c r="AP162" i="13"/>
  <c r="AP163" i="13"/>
  <c r="AP164" i="13"/>
  <c r="AP165" i="13"/>
  <c r="AP166" i="13"/>
  <c r="AP167" i="13"/>
  <c r="AP143" i="13"/>
  <c r="AP117" i="13"/>
  <c r="AP118" i="13"/>
  <c r="AP119" i="13"/>
  <c r="AP120" i="13"/>
  <c r="AP121" i="13"/>
  <c r="AP122" i="13"/>
  <c r="AP123" i="13"/>
  <c r="AP124" i="13"/>
  <c r="AP125" i="13"/>
  <c r="AP126" i="13"/>
  <c r="AP127" i="13"/>
  <c r="AP128" i="13"/>
  <c r="AP129" i="13"/>
  <c r="AP130" i="13"/>
  <c r="AP131" i="13"/>
  <c r="AP132" i="13"/>
  <c r="AP133" i="13"/>
  <c r="AP134" i="13"/>
  <c r="AP135" i="13"/>
  <c r="AP136" i="13"/>
  <c r="AP137" i="13"/>
  <c r="AP138" i="13"/>
  <c r="AP139" i="13"/>
  <c r="AP140" i="13"/>
  <c r="AP116" i="13"/>
  <c r="AP89" i="13"/>
  <c r="AP90" i="13"/>
  <c r="AP91" i="13"/>
  <c r="AP92" i="13"/>
  <c r="AP93" i="13"/>
  <c r="AP94" i="13"/>
  <c r="AP95" i="13"/>
  <c r="AP96" i="13"/>
  <c r="AP97" i="13"/>
  <c r="AP98" i="13"/>
  <c r="AP99" i="13"/>
  <c r="AP100" i="13"/>
  <c r="AP101" i="13"/>
  <c r="AP102" i="13"/>
  <c r="AP103" i="13"/>
  <c r="AP104" i="13"/>
  <c r="AP105" i="13"/>
  <c r="AP106" i="13"/>
  <c r="AP107" i="13"/>
  <c r="AP108" i="13"/>
  <c r="AP109" i="13"/>
  <c r="AP110" i="13"/>
  <c r="AP111" i="13"/>
  <c r="AP112" i="13"/>
  <c r="AP88" i="13"/>
  <c r="AP62" i="13"/>
  <c r="AP63" i="13"/>
  <c r="AP64" i="13"/>
  <c r="AP65" i="13"/>
  <c r="AP66" i="13"/>
  <c r="AP67" i="13"/>
  <c r="AP68" i="13"/>
  <c r="AP69" i="13"/>
  <c r="AP70" i="13"/>
  <c r="AP71" i="13"/>
  <c r="AP72" i="13"/>
  <c r="AP73" i="13"/>
  <c r="AP74" i="13"/>
  <c r="AP75" i="13"/>
  <c r="AP76" i="13"/>
  <c r="AP77" i="13"/>
  <c r="AP78" i="13"/>
  <c r="AP79" i="13"/>
  <c r="AP80" i="13"/>
  <c r="AP81" i="13"/>
  <c r="AP82" i="13"/>
  <c r="AP83" i="13"/>
  <c r="AP84" i="13"/>
  <c r="AP85" i="13"/>
  <c r="AP61" i="13"/>
  <c r="AP35" i="13"/>
  <c r="AP36" i="13"/>
  <c r="AP37" i="13"/>
  <c r="AP38" i="13"/>
  <c r="AP39" i="13"/>
  <c r="AP40" i="13"/>
  <c r="AP41" i="13"/>
  <c r="AP42" i="13"/>
  <c r="AP43" i="13"/>
  <c r="AP44" i="13"/>
  <c r="AP45" i="13"/>
  <c r="AP46" i="13"/>
  <c r="AP47" i="13"/>
  <c r="AP48" i="13"/>
  <c r="AP49" i="13"/>
  <c r="AP50" i="13"/>
  <c r="AP51" i="13"/>
  <c r="AP52" i="13"/>
  <c r="AP53" i="13"/>
  <c r="AP54" i="13"/>
  <c r="AP55" i="13"/>
  <c r="AP56" i="13"/>
  <c r="AP57" i="13"/>
  <c r="AP58" i="13"/>
  <c r="AP34" i="13"/>
  <c r="AP8" i="13"/>
  <c r="AP9" i="13"/>
  <c r="AP11" i="13"/>
  <c r="AP12" i="13"/>
  <c r="AP13" i="13"/>
  <c r="AP14" i="13"/>
  <c r="AP15" i="13"/>
  <c r="AP16" i="13"/>
  <c r="AP17" i="13"/>
  <c r="AP18" i="13"/>
  <c r="AP19" i="13"/>
  <c r="AP20" i="13"/>
  <c r="AP21" i="13"/>
  <c r="AP22" i="13"/>
  <c r="AP23" i="13"/>
  <c r="AP24" i="13"/>
  <c r="AP25" i="13"/>
  <c r="AP26" i="13"/>
  <c r="AP27" i="13"/>
  <c r="AP28" i="13"/>
  <c r="AP29" i="13"/>
  <c r="AP30" i="13"/>
  <c r="AP31" i="13"/>
  <c r="AP7" i="13"/>
  <c r="U211" i="13"/>
  <c r="V211" i="13"/>
  <c r="W211" i="13"/>
  <c r="X211" i="13"/>
  <c r="Y211" i="13"/>
  <c r="Z211" i="13"/>
  <c r="AP211" i="13"/>
  <c r="U212" i="13"/>
  <c r="V212" i="13"/>
  <c r="W212" i="13"/>
  <c r="X212" i="13"/>
  <c r="Y212" i="13"/>
  <c r="Z212" i="13"/>
  <c r="AP212" i="13"/>
  <c r="U213" i="13"/>
  <c r="V213" i="13"/>
  <c r="W213" i="13"/>
  <c r="X213" i="13"/>
  <c r="Y213" i="13"/>
  <c r="Z213" i="13"/>
  <c r="AP213" i="13"/>
  <c r="U214" i="13"/>
  <c r="V214" i="13"/>
  <c r="W214" i="13"/>
  <c r="X214" i="13"/>
  <c r="Y214" i="13"/>
  <c r="Z214" i="13"/>
  <c r="AP214" i="13"/>
  <c r="U215" i="13"/>
  <c r="V215" i="13"/>
  <c r="W215" i="13"/>
  <c r="X215" i="13"/>
  <c r="Y215" i="13"/>
  <c r="Z215" i="13"/>
  <c r="AP215" i="13"/>
  <c r="U216" i="13"/>
  <c r="V216" i="13"/>
  <c r="W216" i="13"/>
  <c r="X216" i="13"/>
  <c r="Y216" i="13"/>
  <c r="Z216" i="13"/>
  <c r="AP216" i="13"/>
  <c r="V210" i="13"/>
  <c r="W210" i="13"/>
  <c r="X210" i="13"/>
  <c r="Y210" i="13"/>
  <c r="Z210" i="13"/>
  <c r="AP210" i="13"/>
  <c r="U21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70"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43"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16" i="13"/>
  <c r="M89" i="13"/>
  <c r="M90" i="13"/>
  <c r="M91" i="13"/>
  <c r="M92" i="13"/>
  <c r="M93" i="13"/>
  <c r="M94" i="13"/>
  <c r="M95" i="13"/>
  <c r="M96" i="13"/>
  <c r="M97" i="13"/>
  <c r="M98" i="13"/>
  <c r="M99" i="13"/>
  <c r="M100" i="13"/>
  <c r="M101" i="13"/>
  <c r="M102" i="13"/>
  <c r="M103" i="13"/>
  <c r="M104" i="13"/>
  <c r="M105" i="13"/>
  <c r="M106" i="13"/>
  <c r="M107" i="13"/>
  <c r="M108" i="13"/>
  <c r="M109" i="13"/>
  <c r="M110" i="13"/>
  <c r="M111" i="13"/>
  <c r="M88" i="13"/>
  <c r="M62" i="13"/>
  <c r="M63" i="13"/>
  <c r="M64" i="13"/>
  <c r="M65" i="13"/>
  <c r="M66" i="13"/>
  <c r="M67" i="13"/>
  <c r="M68" i="13"/>
  <c r="M69" i="13"/>
  <c r="M70" i="13"/>
  <c r="M71" i="13"/>
  <c r="M72" i="13"/>
  <c r="M73" i="13"/>
  <c r="M74" i="13"/>
  <c r="M75" i="13"/>
  <c r="M76" i="13"/>
  <c r="M77" i="13"/>
  <c r="M78" i="13"/>
  <c r="M79" i="13"/>
  <c r="M80" i="13"/>
  <c r="M81" i="13"/>
  <c r="M82" i="13"/>
  <c r="M83" i="13"/>
  <c r="M84" i="13"/>
  <c r="M85" i="13"/>
  <c r="M61"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N6" i="13"/>
  <c r="O6" i="13" s="1"/>
  <c r="P6" i="13" s="1"/>
  <c r="Q6" i="13" s="1"/>
  <c r="R6" i="13" s="1"/>
  <c r="S6" i="13" s="1"/>
  <c r="T6" i="13" s="1"/>
  <c r="U6" i="13" s="1"/>
  <c r="V6" i="13" s="1"/>
  <c r="W6" i="13" s="1"/>
  <c r="X6" i="13" s="1"/>
  <c r="Y6" i="13" s="1"/>
  <c r="AQ6" i="13" s="1"/>
  <c r="BC58" i="13" l="1"/>
  <c r="CF58" i="13"/>
  <c r="CW58" i="13"/>
  <c r="CY58" i="13"/>
  <c r="CX58" i="13"/>
  <c r="Z58" i="13"/>
  <c r="BC56" i="13"/>
  <c r="CF56" i="13"/>
  <c r="CW56" i="13"/>
  <c r="CY56" i="13"/>
  <c r="CX56" i="13"/>
  <c r="Z56" i="13"/>
  <c r="BC54" i="13"/>
  <c r="CF54" i="13"/>
  <c r="CW54" i="13"/>
  <c r="CY54" i="13"/>
  <c r="CX54" i="13"/>
  <c r="Z54" i="13"/>
  <c r="BC52" i="13"/>
  <c r="CF52" i="13"/>
  <c r="CW52" i="13"/>
  <c r="CY52" i="13"/>
  <c r="CX52" i="13"/>
  <c r="Z52" i="13"/>
  <c r="BC50" i="13"/>
  <c r="CF50" i="13"/>
  <c r="CW50" i="13"/>
  <c r="CY50" i="13"/>
  <c r="CX50" i="13"/>
  <c r="Z50" i="13"/>
  <c r="BC48" i="13"/>
  <c r="CF48" i="13"/>
  <c r="CW48" i="13"/>
  <c r="CY48" i="13"/>
  <c r="CX48" i="13"/>
  <c r="Z48" i="13"/>
  <c r="BC46" i="13"/>
  <c r="CF46" i="13"/>
  <c r="CW46" i="13"/>
  <c r="CY46" i="13"/>
  <c r="CX46" i="13"/>
  <c r="Z46" i="13"/>
  <c r="BC44" i="13"/>
  <c r="CF44" i="13"/>
  <c r="CW44" i="13"/>
  <c r="CY44" i="13"/>
  <c r="CX44" i="13"/>
  <c r="Z44" i="13"/>
  <c r="BC85" i="13"/>
  <c r="CF85" i="13"/>
  <c r="CY85" i="13"/>
  <c r="CX85" i="13"/>
  <c r="CW85" i="13"/>
  <c r="P85" i="13"/>
  <c r="R85" i="13"/>
  <c r="T85" i="13"/>
  <c r="V85" i="13"/>
  <c r="X85" i="13"/>
  <c r="Z85" i="13"/>
  <c r="O85" i="13"/>
  <c r="Q85" i="13"/>
  <c r="S85" i="13"/>
  <c r="U85" i="13"/>
  <c r="W85" i="13"/>
  <c r="Y85" i="13"/>
  <c r="BC83" i="13"/>
  <c r="CF83" i="13"/>
  <c r="CY83" i="13"/>
  <c r="CX83" i="13"/>
  <c r="CW83" i="13"/>
  <c r="P83" i="13"/>
  <c r="R83" i="13"/>
  <c r="T83" i="13"/>
  <c r="V83" i="13"/>
  <c r="X83" i="13"/>
  <c r="Z83" i="13"/>
  <c r="O83" i="13"/>
  <c r="Q83" i="13"/>
  <c r="S83" i="13"/>
  <c r="U83" i="13"/>
  <c r="W83" i="13"/>
  <c r="Y83" i="13"/>
  <c r="BC81" i="13"/>
  <c r="CF81" i="13"/>
  <c r="CY81" i="13"/>
  <c r="CX81" i="13"/>
  <c r="CW81" i="13"/>
  <c r="P81" i="13"/>
  <c r="R81" i="13"/>
  <c r="T81" i="13"/>
  <c r="V81" i="13"/>
  <c r="X81" i="13"/>
  <c r="Z81" i="13"/>
  <c r="O81" i="13"/>
  <c r="Q81" i="13"/>
  <c r="S81" i="13"/>
  <c r="U81" i="13"/>
  <c r="W81" i="13"/>
  <c r="Y81" i="13"/>
  <c r="BC79" i="13"/>
  <c r="CF79" i="13"/>
  <c r="CY79" i="13"/>
  <c r="CX79" i="13"/>
  <c r="CW79" i="13"/>
  <c r="P79" i="13"/>
  <c r="R79" i="13"/>
  <c r="T79" i="13"/>
  <c r="V79" i="13"/>
  <c r="X79" i="13"/>
  <c r="Z79" i="13"/>
  <c r="O79" i="13"/>
  <c r="Q79" i="13"/>
  <c r="S79" i="13"/>
  <c r="U79" i="13"/>
  <c r="W79" i="13"/>
  <c r="Y79" i="13"/>
  <c r="BC77" i="13"/>
  <c r="CF77" i="13"/>
  <c r="CY77" i="13"/>
  <c r="CX77" i="13"/>
  <c r="CW77" i="13"/>
  <c r="P77" i="13"/>
  <c r="R77" i="13"/>
  <c r="T77" i="13"/>
  <c r="V77" i="13"/>
  <c r="X77" i="13"/>
  <c r="Z77" i="13"/>
  <c r="O77" i="13"/>
  <c r="Q77" i="13"/>
  <c r="S77" i="13"/>
  <c r="U77" i="13"/>
  <c r="W77" i="13"/>
  <c r="Y77" i="13"/>
  <c r="BC75" i="13"/>
  <c r="CF75" i="13"/>
  <c r="CY75" i="13"/>
  <c r="CX75" i="13"/>
  <c r="CW75" i="13"/>
  <c r="P75" i="13"/>
  <c r="R75" i="13"/>
  <c r="T75" i="13"/>
  <c r="V75" i="13"/>
  <c r="X75" i="13"/>
  <c r="Z75" i="13"/>
  <c r="O75" i="13"/>
  <c r="Q75" i="13"/>
  <c r="S75" i="13"/>
  <c r="U75" i="13"/>
  <c r="W75" i="13"/>
  <c r="Y75" i="13"/>
  <c r="BC73" i="13"/>
  <c r="CF73" i="13"/>
  <c r="CY73" i="13"/>
  <c r="CX73" i="13"/>
  <c r="CW73" i="13"/>
  <c r="P73" i="13"/>
  <c r="R73" i="13"/>
  <c r="T73" i="13"/>
  <c r="V73" i="13"/>
  <c r="X73" i="13"/>
  <c r="Z73" i="13"/>
  <c r="O73" i="13"/>
  <c r="Q73" i="13"/>
  <c r="S73" i="13"/>
  <c r="U73" i="13"/>
  <c r="W73" i="13"/>
  <c r="Y73" i="13"/>
  <c r="BC71" i="13"/>
  <c r="CF71" i="13"/>
  <c r="CY71" i="13"/>
  <c r="CX71" i="13"/>
  <c r="CW71" i="13"/>
  <c r="P71" i="13"/>
  <c r="R71" i="13"/>
  <c r="T71" i="13"/>
  <c r="V71" i="13"/>
  <c r="X71" i="13"/>
  <c r="Z71" i="13"/>
  <c r="O71" i="13"/>
  <c r="Q71" i="13"/>
  <c r="S71" i="13"/>
  <c r="U71" i="13"/>
  <c r="W71" i="13"/>
  <c r="Y71" i="13"/>
  <c r="CY110" i="13"/>
  <c r="CX110" i="13"/>
  <c r="CW110" i="13"/>
  <c r="O110" i="13"/>
  <c r="Q110" i="13"/>
  <c r="S110" i="13"/>
  <c r="U110" i="13"/>
  <c r="W110" i="13"/>
  <c r="Y110" i="13"/>
  <c r="N110" i="13"/>
  <c r="P110" i="13"/>
  <c r="R110" i="13"/>
  <c r="T110" i="13"/>
  <c r="V110" i="13"/>
  <c r="X110" i="13"/>
  <c r="CY108" i="13"/>
  <c r="CX108" i="13"/>
  <c r="CW108" i="13"/>
  <c r="N108" i="13"/>
  <c r="P108" i="13"/>
  <c r="Q108" i="13"/>
  <c r="S108" i="13"/>
  <c r="U108" i="13"/>
  <c r="W108" i="13"/>
  <c r="Y108" i="13"/>
  <c r="O108" i="13"/>
  <c r="T108" i="13"/>
  <c r="X108" i="13"/>
  <c r="R108" i="13"/>
  <c r="V108" i="13"/>
  <c r="CY106" i="13"/>
  <c r="CX106" i="13"/>
  <c r="CW106" i="13"/>
  <c r="N106" i="13"/>
  <c r="P106" i="13"/>
  <c r="R106" i="13"/>
  <c r="T106" i="13"/>
  <c r="V106" i="13"/>
  <c r="X106" i="13"/>
  <c r="Q106" i="13"/>
  <c r="U106" i="13"/>
  <c r="Y106" i="13"/>
  <c r="O106" i="13"/>
  <c r="W106" i="13"/>
  <c r="S106" i="13"/>
  <c r="CY104" i="13"/>
  <c r="CX104" i="13"/>
  <c r="CW104" i="13"/>
  <c r="N104" i="13"/>
  <c r="P104" i="13"/>
  <c r="R104" i="13"/>
  <c r="T104" i="13"/>
  <c r="V104" i="13"/>
  <c r="X104" i="13"/>
  <c r="Q104" i="13"/>
  <c r="U104" i="13"/>
  <c r="Y104" i="13"/>
  <c r="O104" i="13"/>
  <c r="W104" i="13"/>
  <c r="S104" i="13"/>
  <c r="CY102" i="13"/>
  <c r="CX102" i="13"/>
  <c r="CW102" i="13"/>
  <c r="N102" i="13"/>
  <c r="P102" i="13"/>
  <c r="R102" i="13"/>
  <c r="T102" i="13"/>
  <c r="V102" i="13"/>
  <c r="X102" i="13"/>
  <c r="Q102" i="13"/>
  <c r="U102" i="13"/>
  <c r="Y102" i="13"/>
  <c r="O102" i="13"/>
  <c r="W102" i="13"/>
  <c r="S102" i="13"/>
  <c r="CX100" i="13"/>
  <c r="CW100" i="13"/>
  <c r="N100" i="13"/>
  <c r="P100" i="13"/>
  <c r="R100" i="13"/>
  <c r="T100" i="13"/>
  <c r="V100" i="13"/>
  <c r="X100" i="13"/>
  <c r="CY100" i="13"/>
  <c r="Q100" i="13"/>
  <c r="U100" i="13"/>
  <c r="Y100" i="13"/>
  <c r="O100" i="13"/>
  <c r="W100" i="13"/>
  <c r="S100" i="13"/>
  <c r="CY98" i="13"/>
  <c r="CX98" i="13"/>
  <c r="CW98" i="13"/>
  <c r="N98" i="13"/>
  <c r="P98" i="13"/>
  <c r="R98" i="13"/>
  <c r="T98" i="13"/>
  <c r="V98" i="13"/>
  <c r="X98" i="13"/>
  <c r="Q98" i="13"/>
  <c r="U98" i="13"/>
  <c r="Y98" i="13"/>
  <c r="O98" i="13"/>
  <c r="W98" i="13"/>
  <c r="S98" i="13"/>
  <c r="BC139" i="13"/>
  <c r="Z139" i="13"/>
  <c r="CF139" i="13"/>
  <c r="BC137" i="13"/>
  <c r="CF137" i="13"/>
  <c r="Z137" i="13"/>
  <c r="CF135" i="13"/>
  <c r="BC135" i="13"/>
  <c r="Z135" i="13"/>
  <c r="BC133" i="13"/>
  <c r="CF133" i="13"/>
  <c r="Z133" i="13"/>
  <c r="BC131" i="13"/>
  <c r="Z131" i="13"/>
  <c r="CF131" i="13"/>
  <c r="BC129" i="13"/>
  <c r="CF129" i="13"/>
  <c r="Z129" i="13"/>
  <c r="CF127" i="13"/>
  <c r="BC127" i="13"/>
  <c r="Z127" i="13"/>
  <c r="CX139" i="13"/>
  <c r="CY139" i="13"/>
  <c r="CW139" i="13"/>
  <c r="CY137" i="13"/>
  <c r="CX137" i="13"/>
  <c r="CW137" i="13"/>
  <c r="CY135" i="13"/>
  <c r="CW135" i="13"/>
  <c r="CX135" i="13"/>
  <c r="CY133" i="13"/>
  <c r="CX133" i="13"/>
  <c r="CW133" i="13"/>
  <c r="CX131" i="13"/>
  <c r="CY131" i="13"/>
  <c r="CW131" i="13"/>
  <c r="CY129" i="13"/>
  <c r="CX129" i="13"/>
  <c r="CW129" i="13"/>
  <c r="CY127" i="13"/>
  <c r="CW127" i="13"/>
  <c r="CX127" i="13"/>
  <c r="CX57" i="13"/>
  <c r="BC57" i="13"/>
  <c r="CF57" i="13"/>
  <c r="CW57" i="13"/>
  <c r="CY57" i="13"/>
  <c r="Z57" i="13"/>
  <c r="CX55" i="13"/>
  <c r="CY55" i="13"/>
  <c r="CW55" i="13"/>
  <c r="BC55" i="13"/>
  <c r="CF55" i="13"/>
  <c r="Z55" i="13"/>
  <c r="CX53" i="13"/>
  <c r="BC53" i="13"/>
  <c r="CF53" i="13"/>
  <c r="CW53" i="13"/>
  <c r="Z53" i="13"/>
  <c r="CY53" i="13"/>
  <c r="CX51" i="13"/>
  <c r="CY51" i="13"/>
  <c r="BC51" i="13"/>
  <c r="CF51" i="13"/>
  <c r="CW51" i="13"/>
  <c r="Z51" i="13"/>
  <c r="CX49" i="13"/>
  <c r="BC49" i="13"/>
  <c r="CF49" i="13"/>
  <c r="CW49" i="13"/>
  <c r="CY49" i="13"/>
  <c r="Z49" i="13"/>
  <c r="CX47" i="13"/>
  <c r="CY47" i="13"/>
  <c r="CW47" i="13"/>
  <c r="Z47" i="13"/>
  <c r="BC47" i="13"/>
  <c r="CF47" i="13"/>
  <c r="CX45" i="13"/>
  <c r="BC45" i="13"/>
  <c r="CF45" i="13"/>
  <c r="CW45" i="13"/>
  <c r="CY45" i="13"/>
  <c r="Z45" i="13"/>
  <c r="BC84" i="13"/>
  <c r="CF84" i="13"/>
  <c r="CY84" i="13"/>
  <c r="CX84" i="13"/>
  <c r="CW84" i="13"/>
  <c r="O84" i="13"/>
  <c r="Q84" i="13"/>
  <c r="S84" i="13"/>
  <c r="U84" i="13"/>
  <c r="W84" i="13"/>
  <c r="Y84" i="13"/>
  <c r="P84" i="13"/>
  <c r="R84" i="13"/>
  <c r="T84" i="13"/>
  <c r="V84" i="13"/>
  <c r="X84" i="13"/>
  <c r="Z84" i="13"/>
  <c r="CY82" i="13"/>
  <c r="CX82" i="13"/>
  <c r="CW82" i="13"/>
  <c r="O82" i="13"/>
  <c r="Q82" i="13"/>
  <c r="S82" i="13"/>
  <c r="U82" i="13"/>
  <c r="W82" i="13"/>
  <c r="Y82" i="13"/>
  <c r="BC82" i="13"/>
  <c r="CF82" i="13"/>
  <c r="P82" i="13"/>
  <c r="R82" i="13"/>
  <c r="T82" i="13"/>
  <c r="V82" i="13"/>
  <c r="X82" i="13"/>
  <c r="Z82" i="13"/>
  <c r="BC80" i="13"/>
  <c r="CF80" i="13"/>
  <c r="CY80" i="13"/>
  <c r="CX80" i="13"/>
  <c r="CW80" i="13"/>
  <c r="O80" i="13"/>
  <c r="Q80" i="13"/>
  <c r="S80" i="13"/>
  <c r="U80" i="13"/>
  <c r="W80" i="13"/>
  <c r="Y80" i="13"/>
  <c r="P80" i="13"/>
  <c r="R80" i="13"/>
  <c r="T80" i="13"/>
  <c r="V80" i="13"/>
  <c r="X80" i="13"/>
  <c r="Z80" i="13"/>
  <c r="BC78" i="13"/>
  <c r="CF78" i="13"/>
  <c r="CY78" i="13"/>
  <c r="CX78" i="13"/>
  <c r="CW78" i="13"/>
  <c r="O78" i="13"/>
  <c r="Q78" i="13"/>
  <c r="S78" i="13"/>
  <c r="U78" i="13"/>
  <c r="W78" i="13"/>
  <c r="Y78" i="13"/>
  <c r="P78" i="13"/>
  <c r="R78" i="13"/>
  <c r="T78" i="13"/>
  <c r="V78" i="13"/>
  <c r="X78" i="13"/>
  <c r="Z78" i="13"/>
  <c r="BC76" i="13"/>
  <c r="CF76" i="13"/>
  <c r="CY76" i="13"/>
  <c r="CX76" i="13"/>
  <c r="CW76" i="13"/>
  <c r="O76" i="13"/>
  <c r="Q76" i="13"/>
  <c r="S76" i="13"/>
  <c r="U76" i="13"/>
  <c r="W76" i="13"/>
  <c r="Y76" i="13"/>
  <c r="P76" i="13"/>
  <c r="R76" i="13"/>
  <c r="T76" i="13"/>
  <c r="V76" i="13"/>
  <c r="X76" i="13"/>
  <c r="Z76" i="13"/>
  <c r="CY74" i="13"/>
  <c r="CX74" i="13"/>
  <c r="CW74" i="13"/>
  <c r="BC74" i="13"/>
  <c r="CF74" i="13"/>
  <c r="O74" i="13"/>
  <c r="Q74" i="13"/>
  <c r="S74" i="13"/>
  <c r="U74" i="13"/>
  <c r="W74" i="13"/>
  <c r="Y74" i="13"/>
  <c r="P74" i="13"/>
  <c r="R74" i="13"/>
  <c r="T74" i="13"/>
  <c r="V74" i="13"/>
  <c r="X74" i="13"/>
  <c r="Z74" i="13"/>
  <c r="BC72" i="13"/>
  <c r="CF72" i="13"/>
  <c r="CY72" i="13"/>
  <c r="CX72" i="13"/>
  <c r="CW72" i="13"/>
  <c r="O72" i="13"/>
  <c r="Q72" i="13"/>
  <c r="S72" i="13"/>
  <c r="U72" i="13"/>
  <c r="W72" i="13"/>
  <c r="Y72" i="13"/>
  <c r="P72" i="13"/>
  <c r="R72" i="13"/>
  <c r="T72" i="13"/>
  <c r="V72" i="13"/>
  <c r="X72" i="13"/>
  <c r="Z72" i="13"/>
  <c r="CW111" i="13"/>
  <c r="CY111" i="13"/>
  <c r="CX111" i="13"/>
  <c r="O111" i="13"/>
  <c r="Q111" i="13"/>
  <c r="S111" i="13"/>
  <c r="U111" i="13"/>
  <c r="W111" i="13"/>
  <c r="Y111" i="13"/>
  <c r="N111" i="13"/>
  <c r="P111" i="13"/>
  <c r="R111" i="13"/>
  <c r="T111" i="13"/>
  <c r="V111" i="13"/>
  <c r="X111" i="13"/>
  <c r="CY109" i="13"/>
  <c r="CX109" i="13"/>
  <c r="O109" i="13"/>
  <c r="Q109" i="13"/>
  <c r="P109" i="13"/>
  <c r="S109" i="13"/>
  <c r="U109" i="13"/>
  <c r="W109" i="13"/>
  <c r="Y109" i="13"/>
  <c r="CW109" i="13"/>
  <c r="N109" i="13"/>
  <c r="R109" i="13"/>
  <c r="T109" i="13"/>
  <c r="V109" i="13"/>
  <c r="X109" i="13"/>
  <c r="N107" i="13"/>
  <c r="P107" i="13"/>
  <c r="R107" i="13"/>
  <c r="T107" i="13"/>
  <c r="V107" i="13"/>
  <c r="X107" i="13"/>
  <c r="CW107" i="13"/>
  <c r="Q107" i="13"/>
  <c r="U107" i="13"/>
  <c r="Y107" i="13"/>
  <c r="S107" i="13"/>
  <c r="CY107" i="13"/>
  <c r="CX107" i="13"/>
  <c r="O107" i="13"/>
  <c r="W107" i="13"/>
  <c r="N105" i="13"/>
  <c r="P105" i="13"/>
  <c r="R105" i="13"/>
  <c r="T105" i="13"/>
  <c r="V105" i="13"/>
  <c r="X105" i="13"/>
  <c r="CY105" i="13"/>
  <c r="CX105" i="13"/>
  <c r="Q105" i="13"/>
  <c r="U105" i="13"/>
  <c r="Y105" i="13"/>
  <c r="CW105" i="13"/>
  <c r="S105" i="13"/>
  <c r="O105" i="13"/>
  <c r="W105" i="13"/>
  <c r="N103" i="13"/>
  <c r="P103" i="13"/>
  <c r="R103" i="13"/>
  <c r="T103" i="13"/>
  <c r="V103" i="13"/>
  <c r="X103" i="13"/>
  <c r="CW103" i="13"/>
  <c r="Q103" i="13"/>
  <c r="U103" i="13"/>
  <c r="Y103" i="13"/>
  <c r="CY103" i="13"/>
  <c r="CX103" i="13"/>
  <c r="S103" i="13"/>
  <c r="O103" i="13"/>
  <c r="W103" i="13"/>
  <c r="CY101" i="13"/>
  <c r="N101" i="13"/>
  <c r="P101" i="13"/>
  <c r="R101" i="13"/>
  <c r="T101" i="13"/>
  <c r="V101" i="13"/>
  <c r="X101" i="13"/>
  <c r="CX101" i="13"/>
  <c r="Q101" i="13"/>
  <c r="U101" i="13"/>
  <c r="Y101" i="13"/>
  <c r="S101" i="13"/>
  <c r="CW101" i="13"/>
  <c r="O101" i="13"/>
  <c r="W101" i="13"/>
  <c r="CY99" i="13"/>
  <c r="N99" i="13"/>
  <c r="P99" i="13"/>
  <c r="R99" i="13"/>
  <c r="T99" i="13"/>
  <c r="V99" i="13"/>
  <c r="X99" i="13"/>
  <c r="CW99" i="13"/>
  <c r="Q99" i="13"/>
  <c r="U99" i="13"/>
  <c r="Y99" i="13"/>
  <c r="S99" i="13"/>
  <c r="CX99" i="13"/>
  <c r="O99" i="13"/>
  <c r="W99" i="13"/>
  <c r="BC140" i="13"/>
  <c r="CF140" i="13"/>
  <c r="Z140" i="13"/>
  <c r="BC138" i="13"/>
  <c r="CF138" i="13"/>
  <c r="Z138" i="13"/>
  <c r="BC136" i="13"/>
  <c r="CF136" i="13"/>
  <c r="Z136" i="13"/>
  <c r="BC134" i="13"/>
  <c r="CF134" i="13"/>
  <c r="Z134" i="13"/>
  <c r="BC132" i="13"/>
  <c r="CF132" i="13"/>
  <c r="Z132" i="13"/>
  <c r="BC130" i="13"/>
  <c r="CF130" i="13"/>
  <c r="Z130" i="13"/>
  <c r="BC128" i="13"/>
  <c r="CF128" i="13"/>
  <c r="Z128" i="13"/>
  <c r="BC126" i="13"/>
  <c r="CF126" i="13"/>
  <c r="Z126" i="13"/>
  <c r="CY140" i="13"/>
  <c r="CX140" i="13"/>
  <c r="CW140" i="13"/>
  <c r="CY138" i="13"/>
  <c r="CX138" i="13"/>
  <c r="CW138" i="13"/>
  <c r="CY136" i="13"/>
  <c r="CX136" i="13"/>
  <c r="CW136" i="13"/>
  <c r="CY134" i="13"/>
  <c r="CX134" i="13"/>
  <c r="CW134" i="13"/>
  <c r="CY132" i="13"/>
  <c r="CX132" i="13"/>
  <c r="CW132" i="13"/>
  <c r="CY130" i="13"/>
  <c r="CX130" i="13"/>
  <c r="CW130" i="13"/>
  <c r="CY128" i="13"/>
  <c r="CX128" i="13"/>
  <c r="CW128" i="13"/>
  <c r="CY126" i="13"/>
  <c r="CX126" i="13"/>
  <c r="CW126" i="13"/>
  <c r="CF119" i="13"/>
  <c r="CY119" i="13" s="1"/>
  <c r="BC119" i="13"/>
  <c r="Z119" i="13"/>
  <c r="CX119" i="13" s="1"/>
  <c r="BC37" i="13"/>
  <c r="CF37" i="13"/>
  <c r="Z37" i="13"/>
  <c r="CW37" i="13" s="1"/>
  <c r="BC64" i="13"/>
  <c r="CF64" i="13"/>
  <c r="P64" i="13"/>
  <c r="R64" i="13"/>
  <c r="T64" i="13"/>
  <c r="V64" i="13"/>
  <c r="X64" i="13"/>
  <c r="Q64" i="13"/>
  <c r="S64" i="13"/>
  <c r="U64" i="13"/>
  <c r="W64" i="13"/>
  <c r="Y64" i="13"/>
  <c r="O64" i="13"/>
  <c r="P91" i="13"/>
  <c r="R91" i="13"/>
  <c r="T91" i="13"/>
  <c r="V91" i="13"/>
  <c r="X91" i="13"/>
  <c r="O91" i="13"/>
  <c r="Q91" i="13"/>
  <c r="S91" i="13"/>
  <c r="U91" i="13"/>
  <c r="W91" i="13"/>
  <c r="Y91" i="13"/>
  <c r="N91" i="13"/>
  <c r="N85" i="13"/>
  <c r="N83" i="13"/>
  <c r="N81" i="13"/>
  <c r="N79" i="13"/>
  <c r="N77" i="13"/>
  <c r="N75" i="13"/>
  <c r="N73" i="13"/>
  <c r="N71" i="13"/>
  <c r="N69" i="13"/>
  <c r="N67" i="13"/>
  <c r="N65" i="13"/>
  <c r="BT112" i="13"/>
  <c r="BV112" i="13"/>
  <c r="BX112" i="13"/>
  <c r="BZ112" i="13"/>
  <c r="CB112" i="13"/>
  <c r="CD112" i="13"/>
  <c r="AQ112" i="13"/>
  <c r="AS112" i="13"/>
  <c r="BW112" i="13"/>
  <c r="CA112" i="13"/>
  <c r="CE112" i="13"/>
  <c r="AT112" i="13"/>
  <c r="AV112" i="13"/>
  <c r="AX112" i="13"/>
  <c r="AZ112" i="13"/>
  <c r="BB112" i="13"/>
  <c r="BU112" i="13"/>
  <c r="BY112" i="13"/>
  <c r="CC112" i="13"/>
  <c r="AR112" i="13"/>
  <c r="AU112" i="13"/>
  <c r="AW112" i="13"/>
  <c r="AY112" i="13"/>
  <c r="BA112" i="13"/>
  <c r="BT110" i="13"/>
  <c r="BV110" i="13"/>
  <c r="BX110" i="13"/>
  <c r="BZ110" i="13"/>
  <c r="CB110" i="13"/>
  <c r="CD110" i="13"/>
  <c r="AQ110" i="13"/>
  <c r="AS110" i="13"/>
  <c r="AU110" i="13"/>
  <c r="AW110" i="13"/>
  <c r="AY110" i="13"/>
  <c r="BA110" i="13"/>
  <c r="BW110" i="13"/>
  <c r="CA110" i="13"/>
  <c r="CE110" i="13"/>
  <c r="AT110" i="13"/>
  <c r="AX110" i="13"/>
  <c r="BB110" i="13"/>
  <c r="BU110" i="13"/>
  <c r="BY110" i="13"/>
  <c r="CC110" i="13"/>
  <c r="AR110" i="13"/>
  <c r="AV110" i="13"/>
  <c r="AZ110" i="13"/>
  <c r="BT108" i="13"/>
  <c r="BV108" i="13"/>
  <c r="BX108" i="13"/>
  <c r="BZ108" i="13"/>
  <c r="CB108" i="13"/>
  <c r="CD108" i="13"/>
  <c r="AQ108" i="13"/>
  <c r="AS108" i="13"/>
  <c r="AU108" i="13"/>
  <c r="AW108" i="13"/>
  <c r="AY108" i="13"/>
  <c r="BA108" i="13"/>
  <c r="BW108" i="13"/>
  <c r="CA108" i="13"/>
  <c r="CE108" i="13"/>
  <c r="AT108" i="13"/>
  <c r="AX108" i="13"/>
  <c r="BB108" i="13"/>
  <c r="BU108" i="13"/>
  <c r="BY108" i="13"/>
  <c r="CC108" i="13"/>
  <c r="AR108" i="13"/>
  <c r="AV108" i="13"/>
  <c r="AZ108" i="13"/>
  <c r="BT106" i="13"/>
  <c r="BV106" i="13"/>
  <c r="BX106" i="13"/>
  <c r="BZ106" i="13"/>
  <c r="CB106" i="13"/>
  <c r="CD106" i="13"/>
  <c r="AQ106" i="13"/>
  <c r="AS106" i="13"/>
  <c r="AU106" i="13"/>
  <c r="AW106" i="13"/>
  <c r="AY106" i="13"/>
  <c r="BA106" i="13"/>
  <c r="BW106" i="13"/>
  <c r="CA106" i="13"/>
  <c r="CE106" i="13"/>
  <c r="AT106" i="13"/>
  <c r="AX106" i="13"/>
  <c r="BB106" i="13"/>
  <c r="BU106" i="13"/>
  <c r="BY106" i="13"/>
  <c r="CC106" i="13"/>
  <c r="AR106" i="13"/>
  <c r="AV106" i="13"/>
  <c r="AZ106" i="13"/>
  <c r="BT104" i="13"/>
  <c r="BV104" i="13"/>
  <c r="BX104" i="13"/>
  <c r="BZ104" i="13"/>
  <c r="CB104" i="13"/>
  <c r="CD104" i="13"/>
  <c r="AQ104" i="13"/>
  <c r="AS104" i="13"/>
  <c r="AU104" i="13"/>
  <c r="AW104" i="13"/>
  <c r="AY104" i="13"/>
  <c r="BA104" i="13"/>
  <c r="BW104" i="13"/>
  <c r="CA104" i="13"/>
  <c r="CE104" i="13"/>
  <c r="AT104" i="13"/>
  <c r="AX104" i="13"/>
  <c r="BB104" i="13"/>
  <c r="BU104" i="13"/>
  <c r="BY104" i="13"/>
  <c r="CC104" i="13"/>
  <c r="AR104" i="13"/>
  <c r="AV104" i="13"/>
  <c r="AZ104" i="13"/>
  <c r="BT102" i="13"/>
  <c r="BV102" i="13"/>
  <c r="BX102" i="13"/>
  <c r="BZ102" i="13"/>
  <c r="CB102" i="13"/>
  <c r="CD102" i="13"/>
  <c r="AQ102" i="13"/>
  <c r="AS102" i="13"/>
  <c r="AU102" i="13"/>
  <c r="AW102" i="13"/>
  <c r="AY102" i="13"/>
  <c r="BA102" i="13"/>
  <c r="BW102" i="13"/>
  <c r="CA102" i="13"/>
  <c r="CE102" i="13"/>
  <c r="AT102" i="13"/>
  <c r="AX102" i="13"/>
  <c r="BB102" i="13"/>
  <c r="BU102" i="13"/>
  <c r="BY102" i="13"/>
  <c r="CC102" i="13"/>
  <c r="AR102" i="13"/>
  <c r="AV102" i="13"/>
  <c r="AZ102" i="13"/>
  <c r="BT100" i="13"/>
  <c r="BV100" i="13"/>
  <c r="BX100" i="13"/>
  <c r="BZ100" i="13"/>
  <c r="CB100" i="13"/>
  <c r="CD100" i="13"/>
  <c r="AQ100" i="13"/>
  <c r="AS100" i="13"/>
  <c r="AU100" i="13"/>
  <c r="AW100" i="13"/>
  <c r="AY100" i="13"/>
  <c r="BA100" i="13"/>
  <c r="BW100" i="13"/>
  <c r="CA100" i="13"/>
  <c r="CE100" i="13"/>
  <c r="AT100" i="13"/>
  <c r="AX100" i="13"/>
  <c r="BB100" i="13"/>
  <c r="BU100" i="13"/>
  <c r="BY100" i="13"/>
  <c r="CC100" i="13"/>
  <c r="AR100" i="13"/>
  <c r="AV100" i="13"/>
  <c r="AZ100" i="13"/>
  <c r="BT98" i="13"/>
  <c r="BV98" i="13"/>
  <c r="BX98" i="13"/>
  <c r="BZ98" i="13"/>
  <c r="CB98" i="13"/>
  <c r="CD98" i="13"/>
  <c r="AQ98" i="13"/>
  <c r="AS98" i="13"/>
  <c r="AU98" i="13"/>
  <c r="AW98" i="13"/>
  <c r="AY98" i="13"/>
  <c r="BA98" i="13"/>
  <c r="BW98" i="13"/>
  <c r="CA98" i="13"/>
  <c r="CE98" i="13"/>
  <c r="AT98" i="13"/>
  <c r="AX98" i="13"/>
  <c r="BB98" i="13"/>
  <c r="BU98" i="13"/>
  <c r="BY98" i="13"/>
  <c r="CC98" i="13"/>
  <c r="AR98" i="13"/>
  <c r="AV98" i="13"/>
  <c r="AZ98" i="13"/>
  <c r="BT96" i="13"/>
  <c r="BV96" i="13"/>
  <c r="BX96" i="13"/>
  <c r="BZ96" i="13"/>
  <c r="CB96" i="13"/>
  <c r="CD96" i="13"/>
  <c r="AQ96" i="13"/>
  <c r="AS96" i="13"/>
  <c r="AU96" i="13"/>
  <c r="AW96" i="13"/>
  <c r="AY96" i="13"/>
  <c r="BA96" i="13"/>
  <c r="BW96" i="13"/>
  <c r="CA96" i="13"/>
  <c r="CE96" i="13"/>
  <c r="AT96" i="13"/>
  <c r="AX96" i="13"/>
  <c r="BB96" i="13"/>
  <c r="BU96" i="13"/>
  <c r="BY96" i="13"/>
  <c r="CC96" i="13"/>
  <c r="AR96" i="13"/>
  <c r="AV96" i="13"/>
  <c r="AZ96" i="13"/>
  <c r="BT94" i="13"/>
  <c r="BV94" i="13"/>
  <c r="BX94" i="13"/>
  <c r="BZ94" i="13"/>
  <c r="BU94" i="13"/>
  <c r="BY94" i="13"/>
  <c r="CB94" i="13"/>
  <c r="CD94" i="13"/>
  <c r="AQ94" i="13"/>
  <c r="AS94" i="13"/>
  <c r="AU94" i="13"/>
  <c r="AW94" i="13"/>
  <c r="AY94" i="13"/>
  <c r="BA94" i="13"/>
  <c r="CA94" i="13"/>
  <c r="CE94" i="13"/>
  <c r="AT94" i="13"/>
  <c r="AX94" i="13"/>
  <c r="BB94" i="13"/>
  <c r="BW94" i="13"/>
  <c r="CC94" i="13"/>
  <c r="AR94" i="13"/>
  <c r="AV94" i="13"/>
  <c r="AZ94" i="13"/>
  <c r="BT92" i="13"/>
  <c r="BV92" i="13"/>
  <c r="BX92" i="13"/>
  <c r="BZ92" i="13"/>
  <c r="CB92" i="13"/>
  <c r="CD92" i="13"/>
  <c r="BU92" i="13"/>
  <c r="BY92" i="13"/>
  <c r="CC92" i="13"/>
  <c r="AQ92" i="13"/>
  <c r="AS92" i="13"/>
  <c r="AU92" i="13"/>
  <c r="AW92" i="13"/>
  <c r="AY92" i="13"/>
  <c r="BA92" i="13"/>
  <c r="CA92" i="13"/>
  <c r="AT92" i="13"/>
  <c r="AX92" i="13"/>
  <c r="BB92" i="13"/>
  <c r="BW92" i="13"/>
  <c r="CE92" i="13"/>
  <c r="AR92" i="13"/>
  <c r="AV92" i="13"/>
  <c r="AZ92" i="13"/>
  <c r="AQ90" i="13"/>
  <c r="AS90" i="13"/>
  <c r="AU90" i="13"/>
  <c r="AW90" i="13"/>
  <c r="AY90" i="13"/>
  <c r="BA90" i="13"/>
  <c r="AT90" i="13"/>
  <c r="AX90" i="13"/>
  <c r="BB90" i="13"/>
  <c r="AR90" i="13"/>
  <c r="AV90" i="13"/>
  <c r="AZ90" i="13"/>
  <c r="N84" i="13"/>
  <c r="N82" i="13"/>
  <c r="N80" i="13"/>
  <c r="N78" i="13"/>
  <c r="N76" i="13"/>
  <c r="N74" i="13"/>
  <c r="N72" i="13"/>
  <c r="N70" i="13"/>
  <c r="N68" i="13"/>
  <c r="N66" i="13"/>
  <c r="N64" i="13"/>
  <c r="AS88" i="13"/>
  <c r="AU88" i="13"/>
  <c r="AW88" i="13"/>
  <c r="AY88" i="13"/>
  <c r="BA88" i="13"/>
  <c r="AQ88" i="13"/>
  <c r="AR88" i="13"/>
  <c r="AT88" i="13"/>
  <c r="AV88" i="13"/>
  <c r="AX88" i="13"/>
  <c r="AZ88" i="13"/>
  <c r="BB88" i="13"/>
  <c r="BT111" i="13"/>
  <c r="BV111" i="13"/>
  <c r="BX111" i="13"/>
  <c r="BZ111" i="13"/>
  <c r="CB111" i="13"/>
  <c r="CD111" i="13"/>
  <c r="AQ111" i="13"/>
  <c r="AS111" i="13"/>
  <c r="AU111" i="13"/>
  <c r="AW111" i="13"/>
  <c r="AY111" i="13"/>
  <c r="BA111" i="13"/>
  <c r="BW111" i="13"/>
  <c r="CA111" i="13"/>
  <c r="CE111" i="13"/>
  <c r="AT111" i="13"/>
  <c r="AX111" i="13"/>
  <c r="BB111" i="13"/>
  <c r="BU111" i="13"/>
  <c r="BY111" i="13"/>
  <c r="CC111" i="13"/>
  <c r="AR111" i="13"/>
  <c r="AV111" i="13"/>
  <c r="AZ111" i="13"/>
  <c r="BT109" i="13"/>
  <c r="BV109" i="13"/>
  <c r="BX109" i="13"/>
  <c r="BZ109" i="13"/>
  <c r="CB109" i="13"/>
  <c r="CD109" i="13"/>
  <c r="AQ109" i="13"/>
  <c r="AS109" i="13"/>
  <c r="AU109" i="13"/>
  <c r="AW109" i="13"/>
  <c r="AY109" i="13"/>
  <c r="BA109" i="13"/>
  <c r="BW109" i="13"/>
  <c r="CA109" i="13"/>
  <c r="CE109" i="13"/>
  <c r="AT109" i="13"/>
  <c r="AX109" i="13"/>
  <c r="BB109" i="13"/>
  <c r="BU109" i="13"/>
  <c r="BY109" i="13"/>
  <c r="CC109" i="13"/>
  <c r="AR109" i="13"/>
  <c r="AV109" i="13"/>
  <c r="AZ109" i="13"/>
  <c r="BT107" i="13"/>
  <c r="BV107" i="13"/>
  <c r="BX107" i="13"/>
  <c r="BZ107" i="13"/>
  <c r="CB107" i="13"/>
  <c r="CD107" i="13"/>
  <c r="AQ107" i="13"/>
  <c r="AS107" i="13"/>
  <c r="AU107" i="13"/>
  <c r="AW107" i="13"/>
  <c r="AY107" i="13"/>
  <c r="BA107" i="13"/>
  <c r="BW107" i="13"/>
  <c r="CA107" i="13"/>
  <c r="CE107" i="13"/>
  <c r="AT107" i="13"/>
  <c r="AX107" i="13"/>
  <c r="BB107" i="13"/>
  <c r="BU107" i="13"/>
  <c r="BY107" i="13"/>
  <c r="CC107" i="13"/>
  <c r="AR107" i="13"/>
  <c r="AV107" i="13"/>
  <c r="AZ107" i="13"/>
  <c r="BT105" i="13"/>
  <c r="BV105" i="13"/>
  <c r="BX105" i="13"/>
  <c r="BZ105" i="13"/>
  <c r="CB105" i="13"/>
  <c r="CD105" i="13"/>
  <c r="AQ105" i="13"/>
  <c r="AS105" i="13"/>
  <c r="AU105" i="13"/>
  <c r="AW105" i="13"/>
  <c r="AY105" i="13"/>
  <c r="BA105" i="13"/>
  <c r="BW105" i="13"/>
  <c r="CA105" i="13"/>
  <c r="CE105" i="13"/>
  <c r="AT105" i="13"/>
  <c r="AX105" i="13"/>
  <c r="BB105" i="13"/>
  <c r="BU105" i="13"/>
  <c r="BY105" i="13"/>
  <c r="CC105" i="13"/>
  <c r="AR105" i="13"/>
  <c r="AV105" i="13"/>
  <c r="AZ105" i="13"/>
  <c r="BT103" i="13"/>
  <c r="BV103" i="13"/>
  <c r="BX103" i="13"/>
  <c r="BZ103" i="13"/>
  <c r="CB103" i="13"/>
  <c r="CD103" i="13"/>
  <c r="AQ103" i="13"/>
  <c r="AS103" i="13"/>
  <c r="AU103" i="13"/>
  <c r="AW103" i="13"/>
  <c r="AY103" i="13"/>
  <c r="BA103" i="13"/>
  <c r="BW103" i="13"/>
  <c r="CA103" i="13"/>
  <c r="CE103" i="13"/>
  <c r="AT103" i="13"/>
  <c r="AX103" i="13"/>
  <c r="BB103" i="13"/>
  <c r="BU103" i="13"/>
  <c r="BY103" i="13"/>
  <c r="CC103" i="13"/>
  <c r="AR103" i="13"/>
  <c r="AV103" i="13"/>
  <c r="AZ103" i="13"/>
  <c r="BT101" i="13"/>
  <c r="BV101" i="13"/>
  <c r="BX101" i="13"/>
  <c r="BZ101" i="13"/>
  <c r="CB101" i="13"/>
  <c r="CD101" i="13"/>
  <c r="AQ101" i="13"/>
  <c r="AS101" i="13"/>
  <c r="AU101" i="13"/>
  <c r="AW101" i="13"/>
  <c r="AY101" i="13"/>
  <c r="BA101" i="13"/>
  <c r="BW101" i="13"/>
  <c r="CA101" i="13"/>
  <c r="CE101" i="13"/>
  <c r="AT101" i="13"/>
  <c r="AX101" i="13"/>
  <c r="BB101" i="13"/>
  <c r="BU101" i="13"/>
  <c r="BY101" i="13"/>
  <c r="CC101" i="13"/>
  <c r="AR101" i="13"/>
  <c r="AV101" i="13"/>
  <c r="AZ101" i="13"/>
  <c r="BT99" i="13"/>
  <c r="BV99" i="13"/>
  <c r="BX99" i="13"/>
  <c r="BZ99" i="13"/>
  <c r="CB99" i="13"/>
  <c r="CD99" i="13"/>
  <c r="AQ99" i="13"/>
  <c r="AS99" i="13"/>
  <c r="AU99" i="13"/>
  <c r="AW99" i="13"/>
  <c r="AY99" i="13"/>
  <c r="BA99" i="13"/>
  <c r="BW99" i="13"/>
  <c r="CA99" i="13"/>
  <c r="CE99" i="13"/>
  <c r="AT99" i="13"/>
  <c r="AX99" i="13"/>
  <c r="BB99" i="13"/>
  <c r="BU99" i="13"/>
  <c r="BY99" i="13"/>
  <c r="CC99" i="13"/>
  <c r="AR99" i="13"/>
  <c r="AV99" i="13"/>
  <c r="AZ99" i="13"/>
  <c r="BT97" i="13"/>
  <c r="BV97" i="13"/>
  <c r="BX97" i="13"/>
  <c r="BZ97" i="13"/>
  <c r="CB97" i="13"/>
  <c r="CD97" i="13"/>
  <c r="AQ97" i="13"/>
  <c r="AS97" i="13"/>
  <c r="AU97" i="13"/>
  <c r="AW97" i="13"/>
  <c r="AY97" i="13"/>
  <c r="BA97" i="13"/>
  <c r="BW97" i="13"/>
  <c r="CA97" i="13"/>
  <c r="CE97" i="13"/>
  <c r="AT97" i="13"/>
  <c r="AX97" i="13"/>
  <c r="BB97" i="13"/>
  <c r="BU97" i="13"/>
  <c r="BY97" i="13"/>
  <c r="CC97" i="13"/>
  <c r="AR97" i="13"/>
  <c r="AV97" i="13"/>
  <c r="AZ97" i="13"/>
  <c r="BT95" i="13"/>
  <c r="BV95" i="13"/>
  <c r="BX95" i="13"/>
  <c r="BZ95" i="13"/>
  <c r="CB95" i="13"/>
  <c r="CD95" i="13"/>
  <c r="AQ95" i="13"/>
  <c r="AS95" i="13"/>
  <c r="AU95" i="13"/>
  <c r="AW95" i="13"/>
  <c r="AY95" i="13"/>
  <c r="BA95" i="13"/>
  <c r="BW95" i="13"/>
  <c r="CA95" i="13"/>
  <c r="CE95" i="13"/>
  <c r="AT95" i="13"/>
  <c r="AX95" i="13"/>
  <c r="BB95" i="13"/>
  <c r="BU95" i="13"/>
  <c r="BY95" i="13"/>
  <c r="CC95" i="13"/>
  <c r="AR95" i="13"/>
  <c r="AV95" i="13"/>
  <c r="AZ95" i="13"/>
  <c r="BT93" i="13"/>
  <c r="BV93" i="13"/>
  <c r="BX93" i="13"/>
  <c r="BZ93" i="13"/>
  <c r="CB93" i="13"/>
  <c r="CD93" i="13"/>
  <c r="BU93" i="13"/>
  <c r="BY93" i="13"/>
  <c r="CC93" i="13"/>
  <c r="AQ93" i="13"/>
  <c r="AS93" i="13"/>
  <c r="AU93" i="13"/>
  <c r="AW93" i="13"/>
  <c r="AY93" i="13"/>
  <c r="BA93" i="13"/>
  <c r="BW93" i="13"/>
  <c r="CE93" i="13"/>
  <c r="AT93" i="13"/>
  <c r="AX93" i="13"/>
  <c r="BB93" i="13"/>
  <c r="CA93" i="13"/>
  <c r="AR93" i="13"/>
  <c r="AV93" i="13"/>
  <c r="AZ93" i="13"/>
  <c r="BT91" i="13"/>
  <c r="BV91" i="13"/>
  <c r="BX91" i="13"/>
  <c r="BZ91" i="13"/>
  <c r="CB91" i="13"/>
  <c r="CD91" i="13"/>
  <c r="BU91" i="13"/>
  <c r="BY91" i="13"/>
  <c r="CC91" i="13"/>
  <c r="AQ91" i="13"/>
  <c r="AS91" i="13"/>
  <c r="AU91" i="13"/>
  <c r="AW91" i="13"/>
  <c r="AY91" i="13"/>
  <c r="BA91" i="13"/>
  <c r="BW91" i="13"/>
  <c r="CE91" i="13"/>
  <c r="AT91" i="13"/>
  <c r="AX91" i="13"/>
  <c r="BB91" i="13"/>
  <c r="CA91" i="13"/>
  <c r="AR91" i="13"/>
  <c r="AV91" i="13"/>
  <c r="AZ91" i="13"/>
  <c r="AQ89" i="13"/>
  <c r="AS89" i="13"/>
  <c r="AU89" i="13"/>
  <c r="AW89" i="13"/>
  <c r="AY89" i="13"/>
  <c r="BA89" i="13"/>
  <c r="AT89" i="13"/>
  <c r="AX89" i="13"/>
  <c r="BB89" i="13"/>
  <c r="AR89" i="13"/>
  <c r="AV89" i="13"/>
  <c r="AZ89" i="13"/>
  <c r="AR6" i="13"/>
  <c r="AS6" i="13" s="1"/>
  <c r="AT6" i="13" s="1"/>
  <c r="AU6" i="13" s="1"/>
  <c r="AV6" i="13" s="1"/>
  <c r="AW6" i="13" s="1"/>
  <c r="AX6" i="13" s="1"/>
  <c r="AY6" i="13" s="1"/>
  <c r="AZ6" i="13" s="1"/>
  <c r="BA6" i="13" s="1"/>
  <c r="BB6" i="13" s="1"/>
  <c r="BT6" i="13" s="1"/>
  <c r="BF6" i="13"/>
  <c r="BG6" i="13" s="1"/>
  <c r="BH6" i="13" s="1"/>
  <c r="BI6" i="13" s="1"/>
  <c r="BJ6" i="13" s="1"/>
  <c r="BK6" i="13" s="1"/>
  <c r="BL6" i="13" s="1"/>
  <c r="BM6" i="13" s="1"/>
  <c r="BN6" i="13" s="1"/>
  <c r="BO6" i="13" s="1"/>
  <c r="BP6" i="13" s="1"/>
  <c r="BQ6" i="13" s="1"/>
  <c r="E183" i="13"/>
  <c r="AS222" i="13"/>
  <c r="C183" i="13"/>
  <c r="A183" i="13"/>
  <c r="C182" i="13"/>
  <c r="E182" i="13"/>
  <c r="A182" i="13"/>
  <c r="AS221" i="13"/>
  <c r="A181" i="13"/>
  <c r="C181" i="13"/>
  <c r="AS220" i="13"/>
  <c r="E181" i="13"/>
  <c r="A180" i="13"/>
  <c r="AS219" i="13"/>
  <c r="E180" i="13"/>
  <c r="C180" i="13"/>
  <c r="A191" i="13"/>
  <c r="AS230" i="13"/>
  <c r="E191" i="13"/>
  <c r="C191" i="13"/>
  <c r="AS218" i="13"/>
  <c r="A179" i="13"/>
  <c r="E179" i="13"/>
  <c r="C179" i="13"/>
  <c r="AS229" i="13"/>
  <c r="E190" i="13"/>
  <c r="C190" i="13"/>
  <c r="A190" i="13"/>
  <c r="E178" i="13"/>
  <c r="AS217" i="13"/>
  <c r="C178" i="13"/>
  <c r="A178" i="13"/>
  <c r="E177" i="13"/>
  <c r="C177" i="13"/>
  <c r="A177" i="13"/>
  <c r="AS228" i="13"/>
  <c r="E189" i="13"/>
  <c r="C189" i="13"/>
  <c r="A189" i="13"/>
  <c r="E176" i="13"/>
  <c r="C176" i="13"/>
  <c r="A176" i="13"/>
  <c r="AS227" i="13"/>
  <c r="E188" i="13"/>
  <c r="C188" i="13"/>
  <c r="A188" i="13"/>
  <c r="AS226" i="13"/>
  <c r="C187" i="13"/>
  <c r="E187" i="13"/>
  <c r="A187" i="13"/>
  <c r="E174" i="13"/>
  <c r="C174" i="13"/>
  <c r="A174" i="13"/>
  <c r="A175" i="13"/>
  <c r="E175" i="13"/>
  <c r="C175" i="13"/>
  <c r="E186" i="13"/>
  <c r="C186" i="13"/>
  <c r="A186" i="13"/>
  <c r="AS225" i="13"/>
  <c r="E185" i="13"/>
  <c r="C185" i="13"/>
  <c r="A185" i="13"/>
  <c r="AS224" i="13"/>
  <c r="E173" i="13"/>
  <c r="C173" i="13"/>
  <c r="A173" i="13"/>
  <c r="E184" i="13"/>
  <c r="C184" i="13"/>
  <c r="A184" i="13"/>
  <c r="AS223" i="13"/>
  <c r="E172" i="13"/>
  <c r="C172" i="13"/>
  <c r="A172" i="13"/>
  <c r="E170" i="13"/>
  <c r="C170" i="13"/>
  <c r="A170" i="13"/>
  <c r="E171" i="13"/>
  <c r="C171" i="13"/>
  <c r="A171" i="13"/>
  <c r="C194" i="13"/>
  <c r="AS233" i="13"/>
  <c r="A194" i="13"/>
  <c r="E194" i="13"/>
  <c r="A193" i="13"/>
  <c r="C193" i="13"/>
  <c r="AS232" i="13"/>
  <c r="E193" i="13"/>
  <c r="A192" i="13"/>
  <c r="AS231" i="13"/>
  <c r="E192" i="13"/>
  <c r="C192" i="13"/>
  <c r="CF105" i="13"/>
  <c r="BC105" i="13"/>
  <c r="Z105" i="13"/>
  <c r="CE182" i="13"/>
  <c r="BW182" i="13"/>
  <c r="CD182" i="13"/>
  <c r="BV182" i="13"/>
  <c r="CC182" i="13"/>
  <c r="BU182" i="13"/>
  <c r="CB182" i="13"/>
  <c r="BT182" i="13"/>
  <c r="CA182" i="13"/>
  <c r="BZ182" i="13"/>
  <c r="AU182" i="13"/>
  <c r="R182" i="13"/>
  <c r="BY182" i="13"/>
  <c r="BB182" i="13"/>
  <c r="AT182" i="13"/>
  <c r="S182" i="13"/>
  <c r="BX182" i="13"/>
  <c r="BA182" i="13"/>
  <c r="AS182" i="13"/>
  <c r="T182" i="13"/>
  <c r="AZ182" i="13"/>
  <c r="AR182" i="13"/>
  <c r="U182" i="13"/>
  <c r="AY182" i="13"/>
  <c r="AQ182" i="13"/>
  <c r="N182" i="13"/>
  <c r="V182" i="13"/>
  <c r="AX182" i="13"/>
  <c r="O182" i="13"/>
  <c r="W182" i="13"/>
  <c r="AV182" i="13"/>
  <c r="Q182" i="13"/>
  <c r="Y182" i="13"/>
  <c r="AW182" i="13"/>
  <c r="P182" i="13"/>
  <c r="X182" i="13"/>
  <c r="BC182" i="13"/>
  <c r="CF182" i="13"/>
  <c r="Z182" i="13"/>
  <c r="CY160" i="13"/>
  <c r="CX160" i="13"/>
  <c r="CW160" i="13"/>
  <c r="CY180" i="13"/>
  <c r="CX180" i="13"/>
  <c r="CW180" i="13"/>
  <c r="BC106" i="13"/>
  <c r="Z106" i="13"/>
  <c r="CF106" i="13"/>
  <c r="BC98" i="13"/>
  <c r="Z98" i="13"/>
  <c r="CF98" i="13"/>
  <c r="BX163" i="13"/>
  <c r="AY163" i="13"/>
  <c r="AQ163" i="13"/>
  <c r="CE163" i="13"/>
  <c r="BW163" i="13"/>
  <c r="AX163" i="13"/>
  <c r="CD163" i="13"/>
  <c r="BV163" i="13"/>
  <c r="AW163" i="13"/>
  <c r="CC163" i="13"/>
  <c r="BU163" i="13"/>
  <c r="AV163" i="13"/>
  <c r="CB163" i="13"/>
  <c r="BT163" i="13"/>
  <c r="AU163" i="13"/>
  <c r="CA163" i="13"/>
  <c r="BB163" i="13"/>
  <c r="AT163" i="13"/>
  <c r="BY163" i="13"/>
  <c r="AZ163" i="13"/>
  <c r="AR163" i="13"/>
  <c r="BZ163" i="13"/>
  <c r="R163" i="13"/>
  <c r="S163" i="13"/>
  <c r="T163" i="13"/>
  <c r="U163" i="13"/>
  <c r="N163" i="13"/>
  <c r="V163" i="13"/>
  <c r="BA163" i="13"/>
  <c r="O163" i="13"/>
  <c r="W163" i="13"/>
  <c r="Q163" i="13"/>
  <c r="Y163" i="13"/>
  <c r="P163" i="13"/>
  <c r="BC163" i="13"/>
  <c r="X163" i="13"/>
  <c r="AS163" i="13"/>
  <c r="CF163" i="13"/>
  <c r="Z163" i="13"/>
  <c r="BX155" i="13"/>
  <c r="AY155" i="13"/>
  <c r="AQ155" i="13"/>
  <c r="CE155" i="13"/>
  <c r="BW155" i="13"/>
  <c r="AX155" i="13"/>
  <c r="CD155" i="13"/>
  <c r="BV155" i="13"/>
  <c r="AW155" i="13"/>
  <c r="CC155" i="13"/>
  <c r="BU155" i="13"/>
  <c r="AV155" i="13"/>
  <c r="CB155" i="13"/>
  <c r="BT155" i="13"/>
  <c r="AU155" i="13"/>
  <c r="CA155" i="13"/>
  <c r="BB155" i="13"/>
  <c r="AT155" i="13"/>
  <c r="BY155" i="13"/>
  <c r="AZ155" i="13"/>
  <c r="AR155" i="13"/>
  <c r="R155" i="13"/>
  <c r="BA155" i="13"/>
  <c r="S155" i="13"/>
  <c r="AS155" i="13"/>
  <c r="T155" i="13"/>
  <c r="U155" i="13"/>
  <c r="BZ155" i="13"/>
  <c r="N155" i="13"/>
  <c r="V155" i="13"/>
  <c r="O155" i="13"/>
  <c r="W155" i="13"/>
  <c r="Q155" i="13"/>
  <c r="Y155" i="13"/>
  <c r="BC155" i="13"/>
  <c r="CF155" i="13"/>
  <c r="X155" i="13"/>
  <c r="P155" i="13"/>
  <c r="Z155" i="13"/>
  <c r="BX147" i="13"/>
  <c r="AY147" i="13"/>
  <c r="AQ147" i="13"/>
  <c r="CE147" i="13"/>
  <c r="BW147" i="13"/>
  <c r="AX147" i="13"/>
  <c r="CD147" i="13"/>
  <c r="BV147" i="13"/>
  <c r="AW147" i="13"/>
  <c r="CC147" i="13"/>
  <c r="BU147" i="13"/>
  <c r="CB147" i="13"/>
  <c r="BT147" i="13"/>
  <c r="CA147" i="13"/>
  <c r="BB147" i="13"/>
  <c r="AT147" i="13"/>
  <c r="BY147" i="13"/>
  <c r="AZ147" i="13"/>
  <c r="AR147" i="13"/>
  <c r="BZ147" i="13"/>
  <c r="R147" i="13"/>
  <c r="BA147" i="13"/>
  <c r="S147" i="13"/>
  <c r="AV147" i="13"/>
  <c r="T147" i="13"/>
  <c r="AU147" i="13"/>
  <c r="U147" i="13"/>
  <c r="AS147" i="13"/>
  <c r="N147" i="13"/>
  <c r="V147" i="13"/>
  <c r="O147" i="13"/>
  <c r="W147" i="13"/>
  <c r="Q147" i="13"/>
  <c r="Y147" i="13"/>
  <c r="P147" i="13"/>
  <c r="BC147" i="13"/>
  <c r="X147" i="13"/>
  <c r="CF147" i="13"/>
  <c r="Z147" i="13"/>
  <c r="CC191" i="13"/>
  <c r="BU191" i="13"/>
  <c r="CB191" i="13"/>
  <c r="BT191" i="13"/>
  <c r="CA191" i="13"/>
  <c r="BZ191" i="13"/>
  <c r="BY191" i="13"/>
  <c r="BX191" i="13"/>
  <c r="CE191" i="13"/>
  <c r="BW191" i="13"/>
  <c r="AY191" i="13"/>
  <c r="AQ191" i="13"/>
  <c r="N191" i="13"/>
  <c r="V191" i="13"/>
  <c r="AX191" i="13"/>
  <c r="O191" i="13"/>
  <c r="W191" i="13"/>
  <c r="AW191" i="13"/>
  <c r="P191" i="13"/>
  <c r="X191" i="13"/>
  <c r="AV191" i="13"/>
  <c r="Q191" i="13"/>
  <c r="Y191" i="13"/>
  <c r="CD191" i="13"/>
  <c r="AU191" i="13"/>
  <c r="R191" i="13"/>
  <c r="BV191" i="13"/>
  <c r="BB191" i="13"/>
  <c r="AT191" i="13"/>
  <c r="S191" i="13"/>
  <c r="AZ191" i="13"/>
  <c r="AR191" i="13"/>
  <c r="T191" i="13"/>
  <c r="U191" i="13"/>
  <c r="BA191" i="13"/>
  <c r="AS191" i="13"/>
  <c r="Z191" i="13"/>
  <c r="BC191" i="13"/>
  <c r="CF191" i="13"/>
  <c r="CA183" i="13"/>
  <c r="BZ183" i="13"/>
  <c r="BY183" i="13"/>
  <c r="BX183" i="13"/>
  <c r="CE183" i="13"/>
  <c r="BW183" i="13"/>
  <c r="AY183" i="13"/>
  <c r="AQ183" i="13"/>
  <c r="N183" i="13"/>
  <c r="V183" i="13"/>
  <c r="AX183" i="13"/>
  <c r="O183" i="13"/>
  <c r="W183" i="13"/>
  <c r="CD183" i="13"/>
  <c r="AW183" i="13"/>
  <c r="P183" i="13"/>
  <c r="X183" i="13"/>
  <c r="CC183" i="13"/>
  <c r="AV183" i="13"/>
  <c r="Q183" i="13"/>
  <c r="Y183" i="13"/>
  <c r="CB183" i="13"/>
  <c r="AU183" i="13"/>
  <c r="R183" i="13"/>
  <c r="BV183" i="13"/>
  <c r="BB183" i="13"/>
  <c r="AT183" i="13"/>
  <c r="S183" i="13"/>
  <c r="BT183" i="13"/>
  <c r="AZ183" i="13"/>
  <c r="AR183" i="13"/>
  <c r="U183" i="13"/>
  <c r="BA183" i="13"/>
  <c r="AS183" i="13"/>
  <c r="T183" i="13"/>
  <c r="BU183" i="13"/>
  <c r="Z183" i="13"/>
  <c r="BC183" i="13"/>
  <c r="CF183" i="13"/>
  <c r="CE175" i="13"/>
  <c r="CB175" i="13"/>
  <c r="BT175" i="13"/>
  <c r="AY175" i="13"/>
  <c r="AQ175" i="13"/>
  <c r="N175" i="13"/>
  <c r="V175" i="13"/>
  <c r="CA175" i="13"/>
  <c r="AX175" i="13"/>
  <c r="O175" i="13"/>
  <c r="W175" i="13"/>
  <c r="BZ175" i="13"/>
  <c r="AW175" i="13"/>
  <c r="P175" i="13"/>
  <c r="X175" i="13"/>
  <c r="BY175" i="13"/>
  <c r="AV175" i="13"/>
  <c r="Q175" i="13"/>
  <c r="Y175" i="13"/>
  <c r="BX175" i="13"/>
  <c r="AU175" i="13"/>
  <c r="R175" i="13"/>
  <c r="BW175" i="13"/>
  <c r="BB175" i="13"/>
  <c r="AT175" i="13"/>
  <c r="S175" i="13"/>
  <c r="CC175" i="13"/>
  <c r="BU175" i="13"/>
  <c r="AZ175" i="13"/>
  <c r="AR175" i="13"/>
  <c r="U175" i="13"/>
  <c r="T175" i="13"/>
  <c r="CD175" i="13"/>
  <c r="BV175" i="13"/>
  <c r="BA175" i="13"/>
  <c r="AS175" i="13"/>
  <c r="Z175" i="13"/>
  <c r="BC175" i="13"/>
  <c r="CF175" i="13"/>
  <c r="CY161" i="13"/>
  <c r="CX161" i="13"/>
  <c r="CW161" i="13"/>
  <c r="CY153" i="13"/>
  <c r="CX153" i="13"/>
  <c r="CW153" i="13"/>
  <c r="CY189" i="13"/>
  <c r="CX189" i="13"/>
  <c r="CW189" i="13"/>
  <c r="CY181" i="13"/>
  <c r="CX181" i="13"/>
  <c r="CW181" i="13"/>
  <c r="BY190" i="13"/>
  <c r="BX190" i="13"/>
  <c r="CE190" i="13"/>
  <c r="BW190" i="13"/>
  <c r="CD190" i="13"/>
  <c r="BV190" i="13"/>
  <c r="CC190" i="13"/>
  <c r="BU190" i="13"/>
  <c r="CB190" i="13"/>
  <c r="BT190" i="13"/>
  <c r="CA190" i="13"/>
  <c r="AU190" i="13"/>
  <c r="R190" i="13"/>
  <c r="BB190" i="13"/>
  <c r="AT190" i="13"/>
  <c r="S190" i="13"/>
  <c r="BA190" i="13"/>
  <c r="AS190" i="13"/>
  <c r="T190" i="13"/>
  <c r="AZ190" i="13"/>
  <c r="AR190" i="13"/>
  <c r="U190" i="13"/>
  <c r="AY190" i="13"/>
  <c r="AQ190" i="13"/>
  <c r="N190" i="13"/>
  <c r="V190" i="13"/>
  <c r="AX190" i="13"/>
  <c r="O190" i="13"/>
  <c r="W190" i="13"/>
  <c r="AV190" i="13"/>
  <c r="Y190" i="13"/>
  <c r="BZ190" i="13"/>
  <c r="P190" i="13"/>
  <c r="X190" i="13"/>
  <c r="AW190" i="13"/>
  <c r="Q190" i="13"/>
  <c r="BC190" i="13"/>
  <c r="CF190" i="13"/>
  <c r="Z190" i="13"/>
  <c r="CF104" i="13"/>
  <c r="Z104" i="13"/>
  <c r="BC104" i="13"/>
  <c r="CF96" i="13"/>
  <c r="Z96" i="13"/>
  <c r="BC96" i="13"/>
  <c r="BX161" i="13"/>
  <c r="AY161" i="13"/>
  <c r="AQ161" i="13"/>
  <c r="CE161" i="13"/>
  <c r="BW161" i="13"/>
  <c r="AX161" i="13"/>
  <c r="CD161" i="13"/>
  <c r="BV161" i="13"/>
  <c r="AW161" i="13"/>
  <c r="CC161" i="13"/>
  <c r="BU161" i="13"/>
  <c r="AV161" i="13"/>
  <c r="CB161" i="13"/>
  <c r="BT161" i="13"/>
  <c r="AU161" i="13"/>
  <c r="CA161" i="13"/>
  <c r="BB161" i="13"/>
  <c r="AT161" i="13"/>
  <c r="BY161" i="13"/>
  <c r="AZ161" i="13"/>
  <c r="AR161" i="13"/>
  <c r="BA161" i="13"/>
  <c r="R161" i="13"/>
  <c r="AS161" i="13"/>
  <c r="S161" i="13"/>
  <c r="T161" i="13"/>
  <c r="BZ161" i="13"/>
  <c r="U161" i="13"/>
  <c r="N161" i="13"/>
  <c r="V161" i="13"/>
  <c r="O161" i="13"/>
  <c r="W161" i="13"/>
  <c r="Q161" i="13"/>
  <c r="Y161" i="13"/>
  <c r="BC161" i="13"/>
  <c r="Z161" i="13"/>
  <c r="P161" i="13"/>
  <c r="CF161" i="13"/>
  <c r="X161" i="13"/>
  <c r="BX153" i="13"/>
  <c r="AY153" i="13"/>
  <c r="AQ153" i="13"/>
  <c r="CE153" i="13"/>
  <c r="BW153" i="13"/>
  <c r="AX153" i="13"/>
  <c r="CD153" i="13"/>
  <c r="BV153" i="13"/>
  <c r="AW153" i="13"/>
  <c r="CC153" i="13"/>
  <c r="BU153" i="13"/>
  <c r="AV153" i="13"/>
  <c r="CB153" i="13"/>
  <c r="BT153" i="13"/>
  <c r="AU153" i="13"/>
  <c r="CA153" i="13"/>
  <c r="BB153" i="13"/>
  <c r="AT153" i="13"/>
  <c r="BY153" i="13"/>
  <c r="AZ153" i="13"/>
  <c r="AR153" i="13"/>
  <c r="R153" i="13"/>
  <c r="S153" i="13"/>
  <c r="T153" i="13"/>
  <c r="U153" i="13"/>
  <c r="BA153" i="13"/>
  <c r="N153" i="13"/>
  <c r="V153" i="13"/>
  <c r="AS153" i="13"/>
  <c r="O153" i="13"/>
  <c r="W153" i="13"/>
  <c r="BZ153" i="13"/>
  <c r="Q153" i="13"/>
  <c r="Y153" i="13"/>
  <c r="P153" i="13"/>
  <c r="X153" i="13"/>
  <c r="BC153" i="13"/>
  <c r="CF153" i="13"/>
  <c r="Z153" i="13"/>
  <c r="BX145" i="13"/>
  <c r="AY145" i="13"/>
  <c r="AY172" i="13" s="1"/>
  <c r="AQ145" i="13"/>
  <c r="AQ172" i="13" s="1"/>
  <c r="CE145" i="13"/>
  <c r="BW145" i="13"/>
  <c r="AX145" i="13"/>
  <c r="AX172" i="13" s="1"/>
  <c r="CD145" i="13"/>
  <c r="BV145" i="13"/>
  <c r="AW145" i="13"/>
  <c r="AW172" i="13" s="1"/>
  <c r="CC145" i="13"/>
  <c r="BU145" i="13"/>
  <c r="CB145" i="13"/>
  <c r="BT145" i="13"/>
  <c r="CA145" i="13"/>
  <c r="BB145" i="13"/>
  <c r="BB172" i="13" s="1"/>
  <c r="AT145" i="13"/>
  <c r="AT172" i="13" s="1"/>
  <c r="BY145" i="13"/>
  <c r="AR145" i="13"/>
  <c r="AR172" i="13" s="1"/>
  <c r="R145" i="13"/>
  <c r="S145" i="13"/>
  <c r="T145" i="13"/>
  <c r="BZ145" i="13"/>
  <c r="BA145" i="13"/>
  <c r="BA172" i="13" s="1"/>
  <c r="U145" i="13"/>
  <c r="U172" i="13" s="1"/>
  <c r="AZ145" i="13"/>
  <c r="AZ172" i="13" s="1"/>
  <c r="N145" i="13"/>
  <c r="N172" i="13" s="1"/>
  <c r="V145" i="13"/>
  <c r="V172" i="13" s="1"/>
  <c r="AV145" i="13"/>
  <c r="AV172" i="13" s="1"/>
  <c r="O145" i="13"/>
  <c r="O172" i="13" s="1"/>
  <c r="W145" i="13"/>
  <c r="W172" i="13" s="1"/>
  <c r="AS145" i="13"/>
  <c r="AS172" i="13" s="1"/>
  <c r="Q145" i="13"/>
  <c r="Q172" i="13" s="1"/>
  <c r="Y145" i="13"/>
  <c r="Y172" i="13" s="1"/>
  <c r="AU145" i="13"/>
  <c r="AU172" i="13" s="1"/>
  <c r="P145" i="13"/>
  <c r="P172" i="13" s="1"/>
  <c r="X145" i="13"/>
  <c r="X172" i="13" s="1"/>
  <c r="CC189" i="13"/>
  <c r="BU189" i="13"/>
  <c r="CB189" i="13"/>
  <c r="BT189" i="13"/>
  <c r="CA189" i="13"/>
  <c r="BZ189" i="13"/>
  <c r="BY189" i="13"/>
  <c r="BX189" i="13"/>
  <c r="CE189" i="13"/>
  <c r="BW189" i="13"/>
  <c r="BV189" i="13"/>
  <c r="AY189" i="13"/>
  <c r="AQ189" i="13"/>
  <c r="N189" i="13"/>
  <c r="V189" i="13"/>
  <c r="AX189" i="13"/>
  <c r="O189" i="13"/>
  <c r="W189" i="13"/>
  <c r="AW189" i="13"/>
  <c r="P189" i="13"/>
  <c r="X189" i="13"/>
  <c r="AV189" i="13"/>
  <c r="Q189" i="13"/>
  <c r="Y189" i="13"/>
  <c r="AU189" i="13"/>
  <c r="R189" i="13"/>
  <c r="BB189" i="13"/>
  <c r="AT189" i="13"/>
  <c r="S189" i="13"/>
  <c r="CD189" i="13"/>
  <c r="AZ189" i="13"/>
  <c r="AR189" i="13"/>
  <c r="AS189" i="13"/>
  <c r="T189" i="13"/>
  <c r="U189" i="13"/>
  <c r="BA189" i="13"/>
  <c r="BC189" i="13"/>
  <c r="CF189" i="13"/>
  <c r="Z189" i="13"/>
  <c r="CA181" i="13"/>
  <c r="BZ181" i="13"/>
  <c r="BY181" i="13"/>
  <c r="BX181" i="13"/>
  <c r="CE181" i="13"/>
  <c r="BW181" i="13"/>
  <c r="BT181" i="13"/>
  <c r="AY181" i="13"/>
  <c r="AQ181" i="13"/>
  <c r="N181" i="13"/>
  <c r="V181" i="13"/>
  <c r="AX181" i="13"/>
  <c r="O181" i="13"/>
  <c r="W181" i="13"/>
  <c r="AW181" i="13"/>
  <c r="P181" i="13"/>
  <c r="X181" i="13"/>
  <c r="CD181" i="13"/>
  <c r="AV181" i="13"/>
  <c r="Q181" i="13"/>
  <c r="Y181" i="13"/>
  <c r="CC181" i="13"/>
  <c r="AU181" i="13"/>
  <c r="R181" i="13"/>
  <c r="CB181" i="13"/>
  <c r="BB181" i="13"/>
  <c r="AT181" i="13"/>
  <c r="S181" i="13"/>
  <c r="BU181" i="13"/>
  <c r="AZ181" i="13"/>
  <c r="AR181" i="13"/>
  <c r="U181" i="13"/>
  <c r="BV181" i="13"/>
  <c r="T181" i="13"/>
  <c r="BA181" i="13"/>
  <c r="AS181" i="13"/>
  <c r="BC181" i="13"/>
  <c r="CF181" i="13"/>
  <c r="Z181" i="13"/>
  <c r="CY167" i="13"/>
  <c r="CX167" i="13"/>
  <c r="CW167" i="13"/>
  <c r="CY159" i="13"/>
  <c r="CX159" i="13"/>
  <c r="CW159" i="13"/>
  <c r="CY151" i="13"/>
  <c r="CX151" i="13"/>
  <c r="CW151" i="13"/>
  <c r="CY187" i="13"/>
  <c r="CX187" i="13"/>
  <c r="CW187" i="13"/>
  <c r="CY179" i="13"/>
  <c r="CX179" i="13"/>
  <c r="CW179" i="13"/>
  <c r="Z89" i="13"/>
  <c r="CB154" i="13"/>
  <c r="BT154" i="13"/>
  <c r="AU154" i="13"/>
  <c r="CA154" i="13"/>
  <c r="BB154" i="13"/>
  <c r="AT154" i="13"/>
  <c r="BZ154" i="13"/>
  <c r="BA154" i="13"/>
  <c r="AS154" i="13"/>
  <c r="BY154" i="13"/>
  <c r="AZ154" i="13"/>
  <c r="AR154" i="13"/>
  <c r="BX154" i="13"/>
  <c r="AY154" i="13"/>
  <c r="AQ154" i="13"/>
  <c r="CE154" i="13"/>
  <c r="BW154" i="13"/>
  <c r="AX154" i="13"/>
  <c r="CC154" i="13"/>
  <c r="BU154" i="13"/>
  <c r="AV154" i="13"/>
  <c r="N154" i="13"/>
  <c r="V154" i="13"/>
  <c r="O154" i="13"/>
  <c r="W154" i="13"/>
  <c r="P154" i="13"/>
  <c r="X154" i="13"/>
  <c r="AW154" i="13"/>
  <c r="Q154" i="13"/>
  <c r="Y154" i="13"/>
  <c r="R154" i="13"/>
  <c r="CD154" i="13"/>
  <c r="S154" i="13"/>
  <c r="U154" i="13"/>
  <c r="BV154" i="13"/>
  <c r="BC154" i="13"/>
  <c r="T154" i="13"/>
  <c r="CF154" i="13"/>
  <c r="Z154" i="13"/>
  <c r="CF111" i="13"/>
  <c r="Z111" i="13"/>
  <c r="BC111" i="13"/>
  <c r="CF103" i="13"/>
  <c r="Z103" i="13"/>
  <c r="BC103" i="13"/>
  <c r="CF95" i="13"/>
  <c r="Z95" i="13"/>
  <c r="BC95" i="13"/>
  <c r="BX143" i="13"/>
  <c r="CE143" i="13"/>
  <c r="BW143" i="13"/>
  <c r="CD143" i="13"/>
  <c r="BV143" i="13"/>
  <c r="CC143" i="13"/>
  <c r="BU143" i="13"/>
  <c r="CB143" i="13"/>
  <c r="BT143" i="13"/>
  <c r="CA143" i="13"/>
  <c r="BY143" i="13"/>
  <c r="AX143" i="13"/>
  <c r="AX170" i="13" s="1"/>
  <c r="O143" i="13"/>
  <c r="O170" i="13" s="1"/>
  <c r="W143" i="13"/>
  <c r="W170" i="13" s="1"/>
  <c r="AW143" i="13"/>
  <c r="AW170" i="13" s="1"/>
  <c r="P143" i="13"/>
  <c r="P170" i="13" s="1"/>
  <c r="X143" i="13"/>
  <c r="X170" i="13" s="1"/>
  <c r="AV143" i="13"/>
  <c r="AV170" i="13" s="1"/>
  <c r="Q143" i="13"/>
  <c r="Q170" i="13" s="1"/>
  <c r="Y143" i="13"/>
  <c r="Y170" i="13" s="1"/>
  <c r="AU143" i="13"/>
  <c r="AU170" i="13" s="1"/>
  <c r="R143" i="13"/>
  <c r="R170" i="13" s="1"/>
  <c r="N143" i="13"/>
  <c r="N170" i="13" s="1"/>
  <c r="BB143" i="13"/>
  <c r="BB170" i="13" s="1"/>
  <c r="AT143" i="13"/>
  <c r="AT170" i="13" s="1"/>
  <c r="S143" i="13"/>
  <c r="S170" i="13" s="1"/>
  <c r="BA143" i="13"/>
  <c r="BA170" i="13" s="1"/>
  <c r="AS143" i="13"/>
  <c r="AS170" i="13" s="1"/>
  <c r="T143" i="13"/>
  <c r="T170" i="13" s="1"/>
  <c r="AY143" i="13"/>
  <c r="AY170" i="13" s="1"/>
  <c r="AQ143" i="13"/>
  <c r="AQ170" i="13" s="1"/>
  <c r="V143" i="13"/>
  <c r="V170" i="13" s="1"/>
  <c r="U143" i="13"/>
  <c r="U170" i="13" s="1"/>
  <c r="BZ143" i="13"/>
  <c r="AZ143" i="13"/>
  <c r="AZ170" i="13" s="1"/>
  <c r="AR143" i="13"/>
  <c r="AR170" i="13" s="1"/>
  <c r="CB160" i="13"/>
  <c r="BT160" i="13"/>
  <c r="AU160" i="13"/>
  <c r="CA160" i="13"/>
  <c r="BB160" i="13"/>
  <c r="AT160" i="13"/>
  <c r="BZ160" i="13"/>
  <c r="BA160" i="13"/>
  <c r="AS160" i="13"/>
  <c r="BY160" i="13"/>
  <c r="AZ160" i="13"/>
  <c r="AR160" i="13"/>
  <c r="BX160" i="13"/>
  <c r="AY160" i="13"/>
  <c r="AQ160" i="13"/>
  <c r="CE160" i="13"/>
  <c r="BW160" i="13"/>
  <c r="AX160" i="13"/>
  <c r="CC160" i="13"/>
  <c r="BU160" i="13"/>
  <c r="AV160" i="13"/>
  <c r="N160" i="13"/>
  <c r="V160" i="13"/>
  <c r="O160" i="13"/>
  <c r="W160" i="13"/>
  <c r="AW160" i="13"/>
  <c r="P160" i="13"/>
  <c r="X160" i="13"/>
  <c r="Q160" i="13"/>
  <c r="Y160" i="13"/>
  <c r="CD160" i="13"/>
  <c r="R160" i="13"/>
  <c r="BV160" i="13"/>
  <c r="S160" i="13"/>
  <c r="U160" i="13"/>
  <c r="Z160" i="13"/>
  <c r="BC160" i="13"/>
  <c r="T160" i="13"/>
  <c r="CF160" i="13"/>
  <c r="CB152" i="13"/>
  <c r="BT152" i="13"/>
  <c r="AU152" i="13"/>
  <c r="CA152" i="13"/>
  <c r="BB152" i="13"/>
  <c r="AT152" i="13"/>
  <c r="BZ152" i="13"/>
  <c r="BA152" i="13"/>
  <c r="AS152" i="13"/>
  <c r="BY152" i="13"/>
  <c r="AZ152" i="13"/>
  <c r="AR152" i="13"/>
  <c r="BX152" i="13"/>
  <c r="AY152" i="13"/>
  <c r="AQ152" i="13"/>
  <c r="CE152" i="13"/>
  <c r="BW152" i="13"/>
  <c r="AX152" i="13"/>
  <c r="CC152" i="13"/>
  <c r="BU152" i="13"/>
  <c r="AV152" i="13"/>
  <c r="CD152" i="13"/>
  <c r="N152" i="13"/>
  <c r="V152" i="13"/>
  <c r="BV152" i="13"/>
  <c r="O152" i="13"/>
  <c r="W152" i="13"/>
  <c r="P152" i="13"/>
  <c r="X152" i="13"/>
  <c r="Q152" i="13"/>
  <c r="Y152" i="13"/>
  <c r="R152" i="13"/>
  <c r="S152" i="13"/>
  <c r="U152" i="13"/>
  <c r="T152" i="13"/>
  <c r="AW152" i="13"/>
  <c r="Z152" i="13"/>
  <c r="BC152" i="13"/>
  <c r="CF152" i="13"/>
  <c r="CB144" i="13"/>
  <c r="BT144" i="13"/>
  <c r="CA144" i="13"/>
  <c r="BZ144" i="13"/>
  <c r="BA144" i="13"/>
  <c r="BA171" i="13" s="1"/>
  <c r="BY144" i="13"/>
  <c r="BX144" i="13"/>
  <c r="CE144" i="13"/>
  <c r="BW144" i="13"/>
  <c r="CC144" i="13"/>
  <c r="BU144" i="13"/>
  <c r="AT144" i="13"/>
  <c r="AT171" i="13" s="1"/>
  <c r="N144" i="13"/>
  <c r="N171" i="13" s="1"/>
  <c r="V144" i="13"/>
  <c r="V171" i="13" s="1"/>
  <c r="BB144" i="13"/>
  <c r="BB171" i="13" s="1"/>
  <c r="AS144" i="13"/>
  <c r="AS171" i="13" s="1"/>
  <c r="O144" i="13"/>
  <c r="O171" i="13" s="1"/>
  <c r="W144" i="13"/>
  <c r="W171" i="13" s="1"/>
  <c r="AZ144" i="13"/>
  <c r="AZ171" i="13" s="1"/>
  <c r="AR144" i="13"/>
  <c r="AR171" i="13" s="1"/>
  <c r="P144" i="13"/>
  <c r="P171" i="13" s="1"/>
  <c r="X144" i="13"/>
  <c r="X171" i="13" s="1"/>
  <c r="AY144" i="13"/>
  <c r="AY171" i="13" s="1"/>
  <c r="AQ144" i="13"/>
  <c r="AQ171" i="13" s="1"/>
  <c r="Q144" i="13"/>
  <c r="Q171" i="13" s="1"/>
  <c r="Y144" i="13"/>
  <c r="Y171" i="13" s="1"/>
  <c r="CD144" i="13"/>
  <c r="AX144" i="13"/>
  <c r="AX171" i="13" s="1"/>
  <c r="R144" i="13"/>
  <c r="R171" i="13" s="1"/>
  <c r="BV144" i="13"/>
  <c r="AW144" i="13"/>
  <c r="AW171" i="13" s="1"/>
  <c r="S144" i="13"/>
  <c r="S171" i="13" s="1"/>
  <c r="AU144" i="13"/>
  <c r="AU171" i="13" s="1"/>
  <c r="U144" i="13"/>
  <c r="U171" i="13" s="1"/>
  <c r="AV144" i="13"/>
  <c r="AV171" i="13" s="1"/>
  <c r="T144" i="13"/>
  <c r="T171" i="13" s="1"/>
  <c r="BY188" i="13"/>
  <c r="BX188" i="13"/>
  <c r="CE188" i="13"/>
  <c r="BW188" i="13"/>
  <c r="CD188" i="13"/>
  <c r="BV188" i="13"/>
  <c r="CC188" i="13"/>
  <c r="BU188" i="13"/>
  <c r="CB188" i="13"/>
  <c r="BT188" i="13"/>
  <c r="CA188" i="13"/>
  <c r="AU188" i="13"/>
  <c r="R188" i="13"/>
  <c r="BZ188" i="13"/>
  <c r="BB188" i="13"/>
  <c r="AT188" i="13"/>
  <c r="S188" i="13"/>
  <c r="BA188" i="13"/>
  <c r="AS188" i="13"/>
  <c r="T188" i="13"/>
  <c r="AZ188" i="13"/>
  <c r="AR188" i="13"/>
  <c r="U188" i="13"/>
  <c r="AY188" i="13"/>
  <c r="AQ188" i="13"/>
  <c r="N188" i="13"/>
  <c r="V188" i="13"/>
  <c r="AX188" i="13"/>
  <c r="O188" i="13"/>
  <c r="W188" i="13"/>
  <c r="AV188" i="13"/>
  <c r="Q188" i="13"/>
  <c r="AW188" i="13"/>
  <c r="X188" i="13"/>
  <c r="Y188" i="13"/>
  <c r="P188" i="13"/>
  <c r="CF188" i="13"/>
  <c r="BC188" i="13"/>
  <c r="Z188" i="13"/>
  <c r="CE180" i="13"/>
  <c r="BW180" i="13"/>
  <c r="CD180" i="13"/>
  <c r="BV180" i="13"/>
  <c r="CC180" i="13"/>
  <c r="BU180" i="13"/>
  <c r="CB180" i="13"/>
  <c r="BT180" i="13"/>
  <c r="CA180" i="13"/>
  <c r="AU180" i="13"/>
  <c r="R180" i="13"/>
  <c r="BZ180" i="13"/>
  <c r="BB180" i="13"/>
  <c r="AT180" i="13"/>
  <c r="S180" i="13"/>
  <c r="BY180" i="13"/>
  <c r="BA180" i="13"/>
  <c r="AS180" i="13"/>
  <c r="T180" i="13"/>
  <c r="BX180" i="13"/>
  <c r="AZ180" i="13"/>
  <c r="AR180" i="13"/>
  <c r="U180" i="13"/>
  <c r="AY180" i="13"/>
  <c r="AQ180" i="13"/>
  <c r="N180" i="13"/>
  <c r="V180" i="13"/>
  <c r="AX180" i="13"/>
  <c r="O180" i="13"/>
  <c r="W180" i="13"/>
  <c r="AV180" i="13"/>
  <c r="Q180" i="13"/>
  <c r="Y180" i="13"/>
  <c r="X180" i="13"/>
  <c r="AW180" i="13"/>
  <c r="P180" i="13"/>
  <c r="CF180" i="13"/>
  <c r="BC180" i="13"/>
  <c r="Z180" i="13"/>
  <c r="R172" i="13"/>
  <c r="S172" i="13"/>
  <c r="T172" i="13"/>
  <c r="CY166" i="13"/>
  <c r="CX166" i="13"/>
  <c r="CW166" i="13"/>
  <c r="CY158" i="13"/>
  <c r="CX158" i="13"/>
  <c r="CW158" i="13"/>
  <c r="CY150" i="13"/>
  <c r="CX150" i="13"/>
  <c r="CW150" i="13"/>
  <c r="CX194" i="13"/>
  <c r="CW194" i="13"/>
  <c r="CY194" i="13"/>
  <c r="CX186" i="13"/>
  <c r="CW186" i="13"/>
  <c r="CY186" i="13"/>
  <c r="CX178" i="13"/>
  <c r="CW178" i="13"/>
  <c r="CY178" i="13"/>
  <c r="CF97" i="13"/>
  <c r="BC97" i="13"/>
  <c r="Z97" i="13"/>
  <c r="CB146" i="13"/>
  <c r="CB173" i="13" s="1"/>
  <c r="BT146" i="13"/>
  <c r="BT173" i="13" s="1"/>
  <c r="AU146" i="13"/>
  <c r="AU173" i="13" s="1"/>
  <c r="CA146" i="13"/>
  <c r="CA173" i="13" s="1"/>
  <c r="BB146" i="13"/>
  <c r="BB173" i="13" s="1"/>
  <c r="AT146" i="13"/>
  <c r="AT173" i="13" s="1"/>
  <c r="BZ146" i="13"/>
  <c r="BZ173" i="13" s="1"/>
  <c r="BA146" i="13"/>
  <c r="BA173" i="13" s="1"/>
  <c r="AS146" i="13"/>
  <c r="AS173" i="13" s="1"/>
  <c r="BY146" i="13"/>
  <c r="BY173" i="13" s="1"/>
  <c r="BX146" i="13"/>
  <c r="BX173" i="13" s="1"/>
  <c r="CE146" i="13"/>
  <c r="CE173" i="13" s="1"/>
  <c r="BW146" i="13"/>
  <c r="BW173" i="13" s="1"/>
  <c r="AX146" i="13"/>
  <c r="AX173" i="13" s="1"/>
  <c r="CC146" i="13"/>
  <c r="CC173" i="13" s="1"/>
  <c r="BU146" i="13"/>
  <c r="BU173" i="13" s="1"/>
  <c r="AV146" i="13"/>
  <c r="AV173" i="13" s="1"/>
  <c r="N146" i="13"/>
  <c r="N173" i="13" s="1"/>
  <c r="V146" i="13"/>
  <c r="V173" i="13" s="1"/>
  <c r="CD146" i="13"/>
  <c r="CD173" i="13" s="1"/>
  <c r="AR146" i="13"/>
  <c r="AR173" i="13" s="1"/>
  <c r="O146" i="13"/>
  <c r="O173" i="13" s="1"/>
  <c r="W146" i="13"/>
  <c r="W173" i="13" s="1"/>
  <c r="BV146" i="13"/>
  <c r="BV173" i="13" s="1"/>
  <c r="AQ146" i="13"/>
  <c r="AQ173" i="13" s="1"/>
  <c r="P146" i="13"/>
  <c r="P173" i="13" s="1"/>
  <c r="X146" i="13"/>
  <c r="X173" i="13" s="1"/>
  <c r="Q146" i="13"/>
  <c r="Q173" i="13" s="1"/>
  <c r="Y146" i="13"/>
  <c r="Y173" i="13" s="1"/>
  <c r="R146" i="13"/>
  <c r="R173" i="13" s="1"/>
  <c r="AZ146" i="13"/>
  <c r="AZ173" i="13" s="1"/>
  <c r="S146" i="13"/>
  <c r="S173" i="13" s="1"/>
  <c r="AW146" i="13"/>
  <c r="AW173" i="13" s="1"/>
  <c r="U146" i="13"/>
  <c r="U173" i="13" s="1"/>
  <c r="AY146" i="13"/>
  <c r="AY173" i="13" s="1"/>
  <c r="T146" i="13"/>
  <c r="T173" i="13" s="1"/>
  <c r="Z110" i="13"/>
  <c r="CF110" i="13"/>
  <c r="BC110" i="13"/>
  <c r="Z102" i="13"/>
  <c r="CF102" i="13"/>
  <c r="BC102" i="13"/>
  <c r="Z94" i="13"/>
  <c r="CF94" i="13"/>
  <c r="BC94" i="13"/>
  <c r="CA167" i="13"/>
  <c r="CE167" i="13"/>
  <c r="BX167" i="13"/>
  <c r="AY167" i="13"/>
  <c r="AQ167" i="13"/>
  <c r="BW167" i="13"/>
  <c r="AX167" i="13"/>
  <c r="BV167" i="13"/>
  <c r="AW167" i="13"/>
  <c r="CD167" i="13"/>
  <c r="BU167" i="13"/>
  <c r="AV167" i="13"/>
  <c r="CC167" i="13"/>
  <c r="BT167" i="13"/>
  <c r="AU167" i="13"/>
  <c r="CB167" i="13"/>
  <c r="BB167" i="13"/>
  <c r="AT167" i="13"/>
  <c r="BY167" i="13"/>
  <c r="AZ167" i="13"/>
  <c r="AR167" i="13"/>
  <c r="AS167" i="13"/>
  <c r="R167" i="13"/>
  <c r="S167" i="13"/>
  <c r="BZ167" i="13"/>
  <c r="T167" i="13"/>
  <c r="U167" i="13"/>
  <c r="N167" i="13"/>
  <c r="V167" i="13"/>
  <c r="O167" i="13"/>
  <c r="W167" i="13"/>
  <c r="BA167" i="13"/>
  <c r="Q167" i="13"/>
  <c r="Y167" i="13"/>
  <c r="X167" i="13"/>
  <c r="CF167" i="13"/>
  <c r="Z167" i="13"/>
  <c r="BC167" i="13"/>
  <c r="P167" i="13"/>
  <c r="BX159" i="13"/>
  <c r="AY159" i="13"/>
  <c r="AQ159" i="13"/>
  <c r="CE159" i="13"/>
  <c r="BW159" i="13"/>
  <c r="AX159" i="13"/>
  <c r="CD159" i="13"/>
  <c r="BV159" i="13"/>
  <c r="AW159" i="13"/>
  <c r="CC159" i="13"/>
  <c r="BU159" i="13"/>
  <c r="AV159" i="13"/>
  <c r="CB159" i="13"/>
  <c r="BT159" i="13"/>
  <c r="AU159" i="13"/>
  <c r="CA159" i="13"/>
  <c r="BB159" i="13"/>
  <c r="AT159" i="13"/>
  <c r="BY159" i="13"/>
  <c r="AZ159" i="13"/>
  <c r="AR159" i="13"/>
  <c r="R159" i="13"/>
  <c r="S159" i="13"/>
  <c r="T159" i="13"/>
  <c r="BA159" i="13"/>
  <c r="U159" i="13"/>
  <c r="AS159" i="13"/>
  <c r="N159" i="13"/>
  <c r="V159" i="13"/>
  <c r="O159" i="13"/>
  <c r="W159" i="13"/>
  <c r="Q159" i="13"/>
  <c r="Y159" i="13"/>
  <c r="BZ159" i="13"/>
  <c r="CF159" i="13"/>
  <c r="Z159" i="13"/>
  <c r="P159" i="13"/>
  <c r="X159" i="13"/>
  <c r="BC159" i="13"/>
  <c r="BX151" i="13"/>
  <c r="AY151" i="13"/>
  <c r="AQ151" i="13"/>
  <c r="CE151" i="13"/>
  <c r="BW151" i="13"/>
  <c r="AX151" i="13"/>
  <c r="CD151" i="13"/>
  <c r="BV151" i="13"/>
  <c r="AW151" i="13"/>
  <c r="CC151" i="13"/>
  <c r="BU151" i="13"/>
  <c r="AV151" i="13"/>
  <c r="CB151" i="13"/>
  <c r="BT151" i="13"/>
  <c r="AU151" i="13"/>
  <c r="CA151" i="13"/>
  <c r="BB151" i="13"/>
  <c r="AT151" i="13"/>
  <c r="BY151" i="13"/>
  <c r="AZ151" i="13"/>
  <c r="AR151" i="13"/>
  <c r="AS151" i="13"/>
  <c r="R151" i="13"/>
  <c r="S151" i="13"/>
  <c r="BZ151" i="13"/>
  <c r="T151" i="13"/>
  <c r="U151" i="13"/>
  <c r="N151" i="13"/>
  <c r="V151" i="13"/>
  <c r="O151" i="13"/>
  <c r="W151" i="13"/>
  <c r="BA151" i="13"/>
  <c r="Q151" i="13"/>
  <c r="Y151" i="13"/>
  <c r="X151" i="13"/>
  <c r="CF151" i="13"/>
  <c r="Z151" i="13"/>
  <c r="BC151" i="13"/>
  <c r="P151" i="13"/>
  <c r="CC187" i="13"/>
  <c r="BU187" i="13"/>
  <c r="CB187" i="13"/>
  <c r="BT187" i="13"/>
  <c r="CA187" i="13"/>
  <c r="BZ187" i="13"/>
  <c r="BY187" i="13"/>
  <c r="BX187" i="13"/>
  <c r="CE187" i="13"/>
  <c r="BW187" i="13"/>
  <c r="AY187" i="13"/>
  <c r="AQ187" i="13"/>
  <c r="N187" i="13"/>
  <c r="V187" i="13"/>
  <c r="AX187" i="13"/>
  <c r="O187" i="13"/>
  <c r="W187" i="13"/>
  <c r="CD187" i="13"/>
  <c r="AW187" i="13"/>
  <c r="P187" i="13"/>
  <c r="X187" i="13"/>
  <c r="BV187" i="13"/>
  <c r="AV187" i="13"/>
  <c r="Q187" i="13"/>
  <c r="Y187" i="13"/>
  <c r="AU187" i="13"/>
  <c r="R187" i="13"/>
  <c r="BB187" i="13"/>
  <c r="AT187" i="13"/>
  <c r="S187" i="13"/>
  <c r="AZ187" i="13"/>
  <c r="AR187" i="13"/>
  <c r="BA187" i="13"/>
  <c r="AS187" i="13"/>
  <c r="T187" i="13"/>
  <c r="CF187" i="13"/>
  <c r="BC187" i="13"/>
  <c r="Z187" i="13"/>
  <c r="U187" i="13"/>
  <c r="CA179" i="13"/>
  <c r="BZ179" i="13"/>
  <c r="BY179" i="13"/>
  <c r="BX179" i="13"/>
  <c r="CE179" i="13"/>
  <c r="BW179" i="13"/>
  <c r="BU179" i="13"/>
  <c r="AY179" i="13"/>
  <c r="AQ179" i="13"/>
  <c r="N179" i="13"/>
  <c r="V179" i="13"/>
  <c r="BT179" i="13"/>
  <c r="AX179" i="13"/>
  <c r="O179" i="13"/>
  <c r="W179" i="13"/>
  <c r="AW179" i="13"/>
  <c r="P179" i="13"/>
  <c r="X179" i="13"/>
  <c r="AV179" i="13"/>
  <c r="Q179" i="13"/>
  <c r="Y179" i="13"/>
  <c r="CD179" i="13"/>
  <c r="AU179" i="13"/>
  <c r="R179" i="13"/>
  <c r="CC179" i="13"/>
  <c r="BB179" i="13"/>
  <c r="AT179" i="13"/>
  <c r="S179" i="13"/>
  <c r="BV179" i="13"/>
  <c r="AZ179" i="13"/>
  <c r="AR179" i="13"/>
  <c r="U179" i="13"/>
  <c r="CB179" i="13"/>
  <c r="AS179" i="13"/>
  <c r="BA179" i="13"/>
  <c r="T179" i="13"/>
  <c r="CF179" i="13"/>
  <c r="BC179" i="13"/>
  <c r="Z179" i="13"/>
  <c r="CY165" i="13"/>
  <c r="CX165" i="13"/>
  <c r="CW165" i="13"/>
  <c r="CY157" i="13"/>
  <c r="CX157" i="13"/>
  <c r="CW157" i="13"/>
  <c r="CY149" i="13"/>
  <c r="CX149" i="13"/>
  <c r="CW149" i="13"/>
  <c r="CW193" i="13"/>
  <c r="CY193" i="13"/>
  <c r="CX193" i="13"/>
  <c r="CW185" i="13"/>
  <c r="CY185" i="13"/>
  <c r="CX185" i="13"/>
  <c r="CW177" i="13"/>
  <c r="CY177" i="13"/>
  <c r="CX177" i="13"/>
  <c r="BX174" i="13"/>
  <c r="AU174" i="13"/>
  <c r="R174" i="13"/>
  <c r="CE174" i="13"/>
  <c r="BW174" i="13"/>
  <c r="BB174" i="13"/>
  <c r="AT174" i="13"/>
  <c r="S174" i="13"/>
  <c r="CD174" i="13"/>
  <c r="BV174" i="13"/>
  <c r="BA174" i="13"/>
  <c r="AS174" i="13"/>
  <c r="T174" i="13"/>
  <c r="CC174" i="13"/>
  <c r="BU174" i="13"/>
  <c r="AZ174" i="13"/>
  <c r="AR174" i="13"/>
  <c r="U174" i="13"/>
  <c r="CB174" i="13"/>
  <c r="BT174" i="13"/>
  <c r="AY174" i="13"/>
  <c r="AQ174" i="13"/>
  <c r="N174" i="13"/>
  <c r="V174" i="13"/>
  <c r="CA174" i="13"/>
  <c r="AX174" i="13"/>
  <c r="O174" i="13"/>
  <c r="W174" i="13"/>
  <c r="BY174" i="13"/>
  <c r="AV174" i="13"/>
  <c r="Q174" i="13"/>
  <c r="Y174" i="13"/>
  <c r="BZ174" i="13"/>
  <c r="X174" i="13"/>
  <c r="AW174" i="13"/>
  <c r="P174" i="13"/>
  <c r="CF174" i="13"/>
  <c r="BC174" i="13"/>
  <c r="Z174" i="13"/>
  <c r="CY152" i="13"/>
  <c r="CX152" i="13"/>
  <c r="CW152" i="13"/>
  <c r="BC109" i="13"/>
  <c r="Z109" i="13"/>
  <c r="CF109" i="13"/>
  <c r="BC101" i="13"/>
  <c r="Z101" i="13"/>
  <c r="CF101" i="13"/>
  <c r="BC93" i="13"/>
  <c r="Z93" i="13"/>
  <c r="CF93" i="13"/>
  <c r="CB166" i="13"/>
  <c r="BT166" i="13"/>
  <c r="AU166" i="13"/>
  <c r="CA166" i="13"/>
  <c r="BB166" i="13"/>
  <c r="AT166" i="13"/>
  <c r="BZ166" i="13"/>
  <c r="BA166" i="13"/>
  <c r="AS166" i="13"/>
  <c r="BY166" i="13"/>
  <c r="AZ166" i="13"/>
  <c r="AR166" i="13"/>
  <c r="BX166" i="13"/>
  <c r="AY166" i="13"/>
  <c r="AQ166" i="13"/>
  <c r="CE166" i="13"/>
  <c r="BW166" i="13"/>
  <c r="AX166" i="13"/>
  <c r="CC166" i="13"/>
  <c r="BU166" i="13"/>
  <c r="AV166" i="13"/>
  <c r="N166" i="13"/>
  <c r="V166" i="13"/>
  <c r="AW166" i="13"/>
  <c r="O166" i="13"/>
  <c r="W166" i="13"/>
  <c r="P166" i="13"/>
  <c r="X166" i="13"/>
  <c r="CD166" i="13"/>
  <c r="Q166" i="13"/>
  <c r="Y166" i="13"/>
  <c r="BV166" i="13"/>
  <c r="R166" i="13"/>
  <c r="S166" i="13"/>
  <c r="U166" i="13"/>
  <c r="CF166" i="13"/>
  <c r="Z166" i="13"/>
  <c r="T166" i="13"/>
  <c r="BC166" i="13"/>
  <c r="CB158" i="13"/>
  <c r="BT158" i="13"/>
  <c r="AU158" i="13"/>
  <c r="CA158" i="13"/>
  <c r="BB158" i="13"/>
  <c r="AT158" i="13"/>
  <c r="BZ158" i="13"/>
  <c r="BA158" i="13"/>
  <c r="AS158" i="13"/>
  <c r="BY158" i="13"/>
  <c r="AZ158" i="13"/>
  <c r="AR158" i="13"/>
  <c r="BX158" i="13"/>
  <c r="AY158" i="13"/>
  <c r="AQ158" i="13"/>
  <c r="CE158" i="13"/>
  <c r="BW158" i="13"/>
  <c r="AX158" i="13"/>
  <c r="CC158" i="13"/>
  <c r="BU158" i="13"/>
  <c r="AV158" i="13"/>
  <c r="BV158" i="13"/>
  <c r="N158" i="13"/>
  <c r="V158" i="13"/>
  <c r="O158" i="13"/>
  <c r="W158" i="13"/>
  <c r="P158" i="13"/>
  <c r="X158" i="13"/>
  <c r="Q158" i="13"/>
  <c r="Y158" i="13"/>
  <c r="R158" i="13"/>
  <c r="AW158" i="13"/>
  <c r="S158" i="13"/>
  <c r="CD158" i="13"/>
  <c r="U158" i="13"/>
  <c r="CF158" i="13"/>
  <c r="Z158" i="13"/>
  <c r="T158" i="13"/>
  <c r="BC158" i="13"/>
  <c r="CB150" i="13"/>
  <c r="BT150" i="13"/>
  <c r="AU150" i="13"/>
  <c r="CA150" i="13"/>
  <c r="BB150" i="13"/>
  <c r="AT150" i="13"/>
  <c r="BZ150" i="13"/>
  <c r="BA150" i="13"/>
  <c r="AS150" i="13"/>
  <c r="BY150" i="13"/>
  <c r="AZ150" i="13"/>
  <c r="AR150" i="13"/>
  <c r="BX150" i="13"/>
  <c r="AY150" i="13"/>
  <c r="AQ150" i="13"/>
  <c r="CE150" i="13"/>
  <c r="BW150" i="13"/>
  <c r="AX150" i="13"/>
  <c r="CC150" i="13"/>
  <c r="BU150" i="13"/>
  <c r="AV150" i="13"/>
  <c r="N150" i="13"/>
  <c r="V150" i="13"/>
  <c r="AW150" i="13"/>
  <c r="O150" i="13"/>
  <c r="W150" i="13"/>
  <c r="P150" i="13"/>
  <c r="X150" i="13"/>
  <c r="CD150" i="13"/>
  <c r="Q150" i="13"/>
  <c r="Y150" i="13"/>
  <c r="BV150" i="13"/>
  <c r="R150" i="13"/>
  <c r="S150" i="13"/>
  <c r="U150" i="13"/>
  <c r="CF150" i="13"/>
  <c r="Z150" i="13"/>
  <c r="T150" i="13"/>
  <c r="BC150" i="13"/>
  <c r="BY194" i="13"/>
  <c r="BX194" i="13"/>
  <c r="CE194" i="13"/>
  <c r="BW194" i="13"/>
  <c r="CD194" i="13"/>
  <c r="BV194" i="13"/>
  <c r="CC194" i="13"/>
  <c r="BU194" i="13"/>
  <c r="CB194" i="13"/>
  <c r="BT194" i="13"/>
  <c r="CA194" i="13"/>
  <c r="BZ194" i="13"/>
  <c r="AU194" i="13"/>
  <c r="R194" i="13"/>
  <c r="BB194" i="13"/>
  <c r="AT194" i="13"/>
  <c r="S194" i="13"/>
  <c r="BA194" i="13"/>
  <c r="AS194" i="13"/>
  <c r="T194" i="13"/>
  <c r="AZ194" i="13"/>
  <c r="AR194" i="13"/>
  <c r="AY194" i="13"/>
  <c r="AQ194" i="13"/>
  <c r="N194" i="13"/>
  <c r="V194" i="13"/>
  <c r="AX194" i="13"/>
  <c r="O194" i="13"/>
  <c r="W194" i="13"/>
  <c r="AV194" i="13"/>
  <c r="AW194" i="13"/>
  <c r="P194" i="13"/>
  <c r="Q194" i="13"/>
  <c r="U194" i="13"/>
  <c r="X194" i="13"/>
  <c r="Y194" i="13"/>
  <c r="CF194" i="13"/>
  <c r="Z194" i="13"/>
  <c r="BC194" i="13"/>
  <c r="BY186" i="13"/>
  <c r="BX186" i="13"/>
  <c r="CE186" i="13"/>
  <c r="BW186" i="13"/>
  <c r="CD186" i="13"/>
  <c r="BV186" i="13"/>
  <c r="CC186" i="13"/>
  <c r="BU186" i="13"/>
  <c r="CB186" i="13"/>
  <c r="BT186" i="13"/>
  <c r="CA186" i="13"/>
  <c r="AU186" i="13"/>
  <c r="R186" i="13"/>
  <c r="BB186" i="13"/>
  <c r="AT186" i="13"/>
  <c r="S186" i="13"/>
  <c r="BA186" i="13"/>
  <c r="AS186" i="13"/>
  <c r="T186" i="13"/>
  <c r="AZ186" i="13"/>
  <c r="AR186" i="13"/>
  <c r="U186" i="13"/>
  <c r="BZ186" i="13"/>
  <c r="AY186" i="13"/>
  <c r="AQ186" i="13"/>
  <c r="N186" i="13"/>
  <c r="V186" i="13"/>
  <c r="AX186" i="13"/>
  <c r="O186" i="13"/>
  <c r="W186" i="13"/>
  <c r="AV186" i="13"/>
  <c r="P186" i="13"/>
  <c r="Q186" i="13"/>
  <c r="X186" i="13"/>
  <c r="AW186" i="13"/>
  <c r="Y186" i="13"/>
  <c r="CF186" i="13"/>
  <c r="Z186" i="13"/>
  <c r="BC186" i="13"/>
  <c r="CE178" i="13"/>
  <c r="BW178" i="13"/>
  <c r="CD178" i="13"/>
  <c r="BV178" i="13"/>
  <c r="CC178" i="13"/>
  <c r="BU178" i="13"/>
  <c r="CB178" i="13"/>
  <c r="BT178" i="13"/>
  <c r="CA178" i="13"/>
  <c r="AU178" i="13"/>
  <c r="R178" i="13"/>
  <c r="BB178" i="13"/>
  <c r="AT178" i="13"/>
  <c r="S178" i="13"/>
  <c r="BZ178" i="13"/>
  <c r="BA178" i="13"/>
  <c r="AS178" i="13"/>
  <c r="T178" i="13"/>
  <c r="BY178" i="13"/>
  <c r="AZ178" i="13"/>
  <c r="AR178" i="13"/>
  <c r="U178" i="13"/>
  <c r="BX178" i="13"/>
  <c r="AY178" i="13"/>
  <c r="AQ178" i="13"/>
  <c r="N178" i="13"/>
  <c r="V178" i="13"/>
  <c r="AX178" i="13"/>
  <c r="O178" i="13"/>
  <c r="W178" i="13"/>
  <c r="AV178" i="13"/>
  <c r="Q178" i="13"/>
  <c r="Y178" i="13"/>
  <c r="AW178" i="13"/>
  <c r="P178" i="13"/>
  <c r="X178" i="13"/>
  <c r="CF178" i="13"/>
  <c r="Z178" i="13"/>
  <c r="BC178" i="13"/>
  <c r="CX164" i="13"/>
  <c r="CW164" i="13"/>
  <c r="CY164" i="13"/>
  <c r="CX156" i="13"/>
  <c r="CW156" i="13"/>
  <c r="CY156" i="13"/>
  <c r="CX148" i="13"/>
  <c r="CW148" i="13"/>
  <c r="CY148" i="13"/>
  <c r="CY192" i="13"/>
  <c r="CX192" i="13"/>
  <c r="CW192" i="13"/>
  <c r="CY184" i="13"/>
  <c r="CX184" i="13"/>
  <c r="CW184" i="13"/>
  <c r="CY176" i="13"/>
  <c r="CX176" i="13"/>
  <c r="CW176" i="13"/>
  <c r="CB162" i="13"/>
  <c r="BT162" i="13"/>
  <c r="AU162" i="13"/>
  <c r="CA162" i="13"/>
  <c r="BB162" i="13"/>
  <c r="AT162" i="13"/>
  <c r="BZ162" i="13"/>
  <c r="BA162" i="13"/>
  <c r="AS162" i="13"/>
  <c r="BY162" i="13"/>
  <c r="AZ162" i="13"/>
  <c r="AR162" i="13"/>
  <c r="BX162" i="13"/>
  <c r="AY162" i="13"/>
  <c r="AQ162" i="13"/>
  <c r="CE162" i="13"/>
  <c r="BW162" i="13"/>
  <c r="AX162" i="13"/>
  <c r="CC162" i="13"/>
  <c r="BU162" i="13"/>
  <c r="AV162" i="13"/>
  <c r="N162" i="13"/>
  <c r="V162" i="13"/>
  <c r="CD162" i="13"/>
  <c r="O162" i="13"/>
  <c r="W162" i="13"/>
  <c r="BV162" i="13"/>
  <c r="P162" i="13"/>
  <c r="X162" i="13"/>
  <c r="Q162" i="13"/>
  <c r="Y162" i="13"/>
  <c r="R162" i="13"/>
  <c r="S162" i="13"/>
  <c r="AW162" i="13"/>
  <c r="U162" i="13"/>
  <c r="T162" i="13"/>
  <c r="BC162" i="13"/>
  <c r="CF162" i="13"/>
  <c r="Z162" i="13"/>
  <c r="CY188" i="13"/>
  <c r="CX188" i="13"/>
  <c r="CW188" i="13"/>
  <c r="BC108" i="13"/>
  <c r="CF108" i="13"/>
  <c r="Z108" i="13"/>
  <c r="BC100" i="13"/>
  <c r="CF100" i="13"/>
  <c r="Z100" i="13"/>
  <c r="BC92" i="13"/>
  <c r="CF92" i="13"/>
  <c r="Z92" i="13"/>
  <c r="BX165" i="13"/>
  <c r="AY165" i="13"/>
  <c r="AQ165" i="13"/>
  <c r="CE165" i="13"/>
  <c r="BW165" i="13"/>
  <c r="AX165" i="13"/>
  <c r="CD165" i="13"/>
  <c r="BV165" i="13"/>
  <c r="AW165" i="13"/>
  <c r="CC165" i="13"/>
  <c r="BU165" i="13"/>
  <c r="AV165" i="13"/>
  <c r="CB165" i="13"/>
  <c r="BT165" i="13"/>
  <c r="AU165" i="13"/>
  <c r="CA165" i="13"/>
  <c r="BB165" i="13"/>
  <c r="AT165" i="13"/>
  <c r="BY165" i="13"/>
  <c r="AZ165" i="13"/>
  <c r="AR165" i="13"/>
  <c r="R165" i="13"/>
  <c r="S165" i="13"/>
  <c r="BA165" i="13"/>
  <c r="T165" i="13"/>
  <c r="AS165" i="13"/>
  <c r="U165" i="13"/>
  <c r="N165" i="13"/>
  <c r="V165" i="13"/>
  <c r="BZ165" i="13"/>
  <c r="O165" i="13"/>
  <c r="W165" i="13"/>
  <c r="Q165" i="13"/>
  <c r="Y165" i="13"/>
  <c r="Z165" i="13"/>
  <c r="CF165" i="13"/>
  <c r="P165" i="13"/>
  <c r="X165" i="13"/>
  <c r="BC165" i="13"/>
  <c r="BX157" i="13"/>
  <c r="AY157" i="13"/>
  <c r="AQ157" i="13"/>
  <c r="CE157" i="13"/>
  <c r="BW157" i="13"/>
  <c r="AX157" i="13"/>
  <c r="CD157" i="13"/>
  <c r="BV157" i="13"/>
  <c r="AW157" i="13"/>
  <c r="CC157" i="13"/>
  <c r="BU157" i="13"/>
  <c r="AV157" i="13"/>
  <c r="CB157" i="13"/>
  <c r="BT157" i="13"/>
  <c r="AU157" i="13"/>
  <c r="CA157" i="13"/>
  <c r="BB157" i="13"/>
  <c r="AT157" i="13"/>
  <c r="BY157" i="13"/>
  <c r="AZ157" i="13"/>
  <c r="AR157" i="13"/>
  <c r="R157" i="13"/>
  <c r="BZ157" i="13"/>
  <c r="S157" i="13"/>
  <c r="T157" i="13"/>
  <c r="U157" i="13"/>
  <c r="N157" i="13"/>
  <c r="V157" i="13"/>
  <c r="O157" i="13"/>
  <c r="W157" i="13"/>
  <c r="AS157" i="13"/>
  <c r="Q157" i="13"/>
  <c r="Y157" i="13"/>
  <c r="P157" i="13"/>
  <c r="Z157" i="13"/>
  <c r="X157" i="13"/>
  <c r="CF157" i="13"/>
  <c r="BA157" i="13"/>
  <c r="BC157" i="13"/>
  <c r="BX149" i="13"/>
  <c r="AY149" i="13"/>
  <c r="AQ149" i="13"/>
  <c r="CE149" i="13"/>
  <c r="BW149" i="13"/>
  <c r="AX149" i="13"/>
  <c r="CD149" i="13"/>
  <c r="BV149" i="13"/>
  <c r="AW149" i="13"/>
  <c r="CC149" i="13"/>
  <c r="BU149" i="13"/>
  <c r="AV149" i="13"/>
  <c r="CB149" i="13"/>
  <c r="BT149" i="13"/>
  <c r="AU149" i="13"/>
  <c r="CA149" i="13"/>
  <c r="BB149" i="13"/>
  <c r="AT149" i="13"/>
  <c r="BY149" i="13"/>
  <c r="AZ149" i="13"/>
  <c r="AR149" i="13"/>
  <c r="R149" i="13"/>
  <c r="S149" i="13"/>
  <c r="BA149" i="13"/>
  <c r="T149" i="13"/>
  <c r="AS149" i="13"/>
  <c r="U149" i="13"/>
  <c r="N149" i="13"/>
  <c r="V149" i="13"/>
  <c r="BZ149" i="13"/>
  <c r="O149" i="13"/>
  <c r="W149" i="13"/>
  <c r="Q149" i="13"/>
  <c r="Y149" i="13"/>
  <c r="Z149" i="13"/>
  <c r="CF149" i="13"/>
  <c r="P149" i="13"/>
  <c r="X149" i="13"/>
  <c r="BC149" i="13"/>
  <c r="CC193" i="13"/>
  <c r="BU193" i="13"/>
  <c r="CB193" i="13"/>
  <c r="BT193" i="13"/>
  <c r="CA193" i="13"/>
  <c r="BZ193" i="13"/>
  <c r="BY193" i="13"/>
  <c r="BX193" i="13"/>
  <c r="CE193" i="13"/>
  <c r="BW193" i="13"/>
  <c r="AY193" i="13"/>
  <c r="AQ193" i="13"/>
  <c r="N193" i="13"/>
  <c r="V193" i="13"/>
  <c r="CD193" i="13"/>
  <c r="AX193" i="13"/>
  <c r="O193" i="13"/>
  <c r="W193" i="13"/>
  <c r="BV193" i="13"/>
  <c r="AW193" i="13"/>
  <c r="P193" i="13"/>
  <c r="X193" i="13"/>
  <c r="AV193" i="13"/>
  <c r="Q193" i="13"/>
  <c r="AU193" i="13"/>
  <c r="R193" i="13"/>
  <c r="BB193" i="13"/>
  <c r="AT193" i="13"/>
  <c r="S193" i="13"/>
  <c r="AZ193" i="13"/>
  <c r="AR193" i="13"/>
  <c r="U193" i="13"/>
  <c r="BA193" i="13"/>
  <c r="Y193" i="13"/>
  <c r="AS193" i="13"/>
  <c r="T193" i="13"/>
  <c r="BC193" i="13"/>
  <c r="Z193" i="13"/>
  <c r="CF193" i="13"/>
  <c r="CC185" i="13"/>
  <c r="BU185" i="13"/>
  <c r="CB185" i="13"/>
  <c r="BT185" i="13"/>
  <c r="CA185" i="13"/>
  <c r="BZ185" i="13"/>
  <c r="BY185" i="13"/>
  <c r="BX185" i="13"/>
  <c r="CE185" i="13"/>
  <c r="BW185" i="13"/>
  <c r="AY185" i="13"/>
  <c r="AQ185" i="13"/>
  <c r="N185" i="13"/>
  <c r="V185" i="13"/>
  <c r="AX185" i="13"/>
  <c r="O185" i="13"/>
  <c r="W185" i="13"/>
  <c r="AW185" i="13"/>
  <c r="P185" i="13"/>
  <c r="X185" i="13"/>
  <c r="AV185" i="13"/>
  <c r="Q185" i="13"/>
  <c r="Y185" i="13"/>
  <c r="AU185" i="13"/>
  <c r="R185" i="13"/>
  <c r="CD185" i="13"/>
  <c r="BB185" i="13"/>
  <c r="AT185" i="13"/>
  <c r="S185" i="13"/>
  <c r="AZ185" i="13"/>
  <c r="AR185" i="13"/>
  <c r="U185" i="13"/>
  <c r="BA185" i="13"/>
  <c r="T185" i="13"/>
  <c r="AS185" i="13"/>
  <c r="BV185" i="13"/>
  <c r="BC185" i="13"/>
  <c r="Z185" i="13"/>
  <c r="CF185" i="13"/>
  <c r="CA177" i="13"/>
  <c r="BZ177" i="13"/>
  <c r="BY177" i="13"/>
  <c r="BX177" i="13"/>
  <c r="CE177" i="13"/>
  <c r="BW177" i="13"/>
  <c r="BV177" i="13"/>
  <c r="AY177" i="13"/>
  <c r="AQ177" i="13"/>
  <c r="N177" i="13"/>
  <c r="V177" i="13"/>
  <c r="BU177" i="13"/>
  <c r="AX177" i="13"/>
  <c r="O177" i="13"/>
  <c r="W177" i="13"/>
  <c r="BT177" i="13"/>
  <c r="AW177" i="13"/>
  <c r="P177" i="13"/>
  <c r="X177" i="13"/>
  <c r="AV177" i="13"/>
  <c r="Q177" i="13"/>
  <c r="Y177" i="13"/>
  <c r="AU177" i="13"/>
  <c r="R177" i="13"/>
  <c r="CD177" i="13"/>
  <c r="BB177" i="13"/>
  <c r="AT177" i="13"/>
  <c r="S177" i="13"/>
  <c r="CB177" i="13"/>
  <c r="AZ177" i="13"/>
  <c r="AR177" i="13"/>
  <c r="U177" i="13"/>
  <c r="BA177" i="13"/>
  <c r="CC177" i="13"/>
  <c r="AS177" i="13"/>
  <c r="T177" i="13"/>
  <c r="BC177" i="13"/>
  <c r="Z177" i="13"/>
  <c r="CF177" i="13"/>
  <c r="CW163" i="13"/>
  <c r="CY163" i="13"/>
  <c r="CX163" i="13"/>
  <c r="CW155" i="13"/>
  <c r="CY155" i="13"/>
  <c r="CX155" i="13"/>
  <c r="CW147" i="13"/>
  <c r="CY147" i="13"/>
  <c r="CX147" i="13"/>
  <c r="CY191" i="13"/>
  <c r="CX191" i="13"/>
  <c r="CW191" i="13"/>
  <c r="CY183" i="13"/>
  <c r="CX183" i="13"/>
  <c r="CW183" i="13"/>
  <c r="CY175" i="13"/>
  <c r="CX175" i="13"/>
  <c r="CW175" i="13"/>
  <c r="CF107" i="13"/>
  <c r="BC107" i="13"/>
  <c r="Z107" i="13"/>
  <c r="BC99" i="13"/>
  <c r="CF99" i="13"/>
  <c r="Z99" i="13"/>
  <c r="CB164" i="13"/>
  <c r="BT164" i="13"/>
  <c r="AU164" i="13"/>
  <c r="CA164" i="13"/>
  <c r="BB164" i="13"/>
  <c r="AT164" i="13"/>
  <c r="BZ164" i="13"/>
  <c r="BA164" i="13"/>
  <c r="AS164" i="13"/>
  <c r="BY164" i="13"/>
  <c r="AZ164" i="13"/>
  <c r="AR164" i="13"/>
  <c r="BX164" i="13"/>
  <c r="AY164" i="13"/>
  <c r="AQ164" i="13"/>
  <c r="CE164" i="13"/>
  <c r="BW164" i="13"/>
  <c r="AX164" i="13"/>
  <c r="CC164" i="13"/>
  <c r="BU164" i="13"/>
  <c r="AV164" i="13"/>
  <c r="N164" i="13"/>
  <c r="V164" i="13"/>
  <c r="O164" i="13"/>
  <c r="W164" i="13"/>
  <c r="P164" i="13"/>
  <c r="X164" i="13"/>
  <c r="Q164" i="13"/>
  <c r="Y164" i="13"/>
  <c r="AW164" i="13"/>
  <c r="R164" i="13"/>
  <c r="S164" i="13"/>
  <c r="BV164" i="13"/>
  <c r="U164" i="13"/>
  <c r="BC164" i="13"/>
  <c r="T164" i="13"/>
  <c r="CF164" i="13"/>
  <c r="CD164" i="13"/>
  <c r="Z164" i="13"/>
  <c r="CB156" i="13"/>
  <c r="BT156" i="13"/>
  <c r="AU156" i="13"/>
  <c r="CA156" i="13"/>
  <c r="BB156" i="13"/>
  <c r="AT156" i="13"/>
  <c r="BZ156" i="13"/>
  <c r="BA156" i="13"/>
  <c r="AS156" i="13"/>
  <c r="BY156" i="13"/>
  <c r="AZ156" i="13"/>
  <c r="AR156" i="13"/>
  <c r="BX156" i="13"/>
  <c r="AY156" i="13"/>
  <c r="AQ156" i="13"/>
  <c r="CE156" i="13"/>
  <c r="BW156" i="13"/>
  <c r="AX156" i="13"/>
  <c r="CC156" i="13"/>
  <c r="BU156" i="13"/>
  <c r="AV156" i="13"/>
  <c r="AW156" i="13"/>
  <c r="N156" i="13"/>
  <c r="V156" i="13"/>
  <c r="O156" i="13"/>
  <c r="W156" i="13"/>
  <c r="CD156" i="13"/>
  <c r="P156" i="13"/>
  <c r="X156" i="13"/>
  <c r="BV156" i="13"/>
  <c r="Q156" i="13"/>
  <c r="Y156" i="13"/>
  <c r="R156" i="13"/>
  <c r="S156" i="13"/>
  <c r="U156" i="13"/>
  <c r="BC156" i="13"/>
  <c r="CF156" i="13"/>
  <c r="T156" i="13"/>
  <c r="Z156" i="13"/>
  <c r="CB148" i="13"/>
  <c r="BT148" i="13"/>
  <c r="AU148" i="13"/>
  <c r="CA148" i="13"/>
  <c r="BB148" i="13"/>
  <c r="AT148" i="13"/>
  <c r="BZ148" i="13"/>
  <c r="BA148" i="13"/>
  <c r="AS148" i="13"/>
  <c r="BY148" i="13"/>
  <c r="BX148" i="13"/>
  <c r="CE148" i="13"/>
  <c r="BW148" i="13"/>
  <c r="AX148" i="13"/>
  <c r="CC148" i="13"/>
  <c r="BU148" i="13"/>
  <c r="AV148" i="13"/>
  <c r="AQ148" i="13"/>
  <c r="N148" i="13"/>
  <c r="V148" i="13"/>
  <c r="O148" i="13"/>
  <c r="W148" i="13"/>
  <c r="P148" i="13"/>
  <c r="X148" i="13"/>
  <c r="Q148" i="13"/>
  <c r="Y148" i="13"/>
  <c r="AZ148" i="13"/>
  <c r="R148" i="13"/>
  <c r="AY148" i="13"/>
  <c r="S148" i="13"/>
  <c r="BV148" i="13"/>
  <c r="AR148" i="13"/>
  <c r="U148" i="13"/>
  <c r="BC148" i="13"/>
  <c r="CD148" i="13"/>
  <c r="T148" i="13"/>
  <c r="CF148" i="13"/>
  <c r="AW148" i="13"/>
  <c r="Z148" i="13"/>
  <c r="BY192" i="13"/>
  <c r="BX192" i="13"/>
  <c r="CE192" i="13"/>
  <c r="BW192" i="13"/>
  <c r="CD192" i="13"/>
  <c r="BV192" i="13"/>
  <c r="CC192" i="13"/>
  <c r="BU192" i="13"/>
  <c r="CB192" i="13"/>
  <c r="BT192" i="13"/>
  <c r="CA192" i="13"/>
  <c r="AU192" i="13"/>
  <c r="R192" i="13"/>
  <c r="BB192" i="13"/>
  <c r="AT192" i="13"/>
  <c r="S192" i="13"/>
  <c r="BA192" i="13"/>
  <c r="AS192" i="13"/>
  <c r="T192" i="13"/>
  <c r="BZ192" i="13"/>
  <c r="AZ192" i="13"/>
  <c r="AR192" i="13"/>
  <c r="U192" i="13"/>
  <c r="AY192" i="13"/>
  <c r="AQ192" i="13"/>
  <c r="N192" i="13"/>
  <c r="V192" i="13"/>
  <c r="AX192" i="13"/>
  <c r="O192" i="13"/>
  <c r="W192" i="13"/>
  <c r="AV192" i="13"/>
  <c r="AW192" i="13"/>
  <c r="P192" i="13"/>
  <c r="Q192" i="13"/>
  <c r="X192" i="13"/>
  <c r="Y192" i="13"/>
  <c r="BC192" i="13"/>
  <c r="Z192" i="13"/>
  <c r="CF192" i="13"/>
  <c r="CE184" i="13"/>
  <c r="BW184" i="13"/>
  <c r="CD184" i="13"/>
  <c r="BV184" i="13"/>
  <c r="CC184" i="13"/>
  <c r="BU184" i="13"/>
  <c r="CB184" i="13"/>
  <c r="BT184" i="13"/>
  <c r="CA184" i="13"/>
  <c r="BY184" i="13"/>
  <c r="AU184" i="13"/>
  <c r="R184" i="13"/>
  <c r="BX184" i="13"/>
  <c r="BB184" i="13"/>
  <c r="AT184" i="13"/>
  <c r="S184" i="13"/>
  <c r="BA184" i="13"/>
  <c r="AS184" i="13"/>
  <c r="T184" i="13"/>
  <c r="AZ184" i="13"/>
  <c r="AR184" i="13"/>
  <c r="U184" i="13"/>
  <c r="AY184" i="13"/>
  <c r="AQ184" i="13"/>
  <c r="N184" i="13"/>
  <c r="V184" i="13"/>
  <c r="AX184" i="13"/>
  <c r="O184" i="13"/>
  <c r="W184" i="13"/>
  <c r="BZ184" i="13"/>
  <c r="AV184" i="13"/>
  <c r="Q184" i="13"/>
  <c r="Y184" i="13"/>
  <c r="P184" i="13"/>
  <c r="AW184" i="13"/>
  <c r="X184" i="13"/>
  <c r="BC184" i="13"/>
  <c r="Z184" i="13"/>
  <c r="CF184" i="13"/>
  <c r="CE176" i="13"/>
  <c r="BW176" i="13"/>
  <c r="CD176" i="13"/>
  <c r="BV176" i="13"/>
  <c r="CC176" i="13"/>
  <c r="BU176" i="13"/>
  <c r="CB176" i="13"/>
  <c r="BT176" i="13"/>
  <c r="CA176" i="13"/>
  <c r="AU176" i="13"/>
  <c r="R176" i="13"/>
  <c r="BB176" i="13"/>
  <c r="AT176" i="13"/>
  <c r="S176" i="13"/>
  <c r="BA176" i="13"/>
  <c r="AS176" i="13"/>
  <c r="T176" i="13"/>
  <c r="BZ176" i="13"/>
  <c r="AZ176" i="13"/>
  <c r="AR176" i="13"/>
  <c r="U176" i="13"/>
  <c r="BY176" i="13"/>
  <c r="AY176" i="13"/>
  <c r="AQ176" i="13"/>
  <c r="N176" i="13"/>
  <c r="V176" i="13"/>
  <c r="BX176" i="13"/>
  <c r="AX176" i="13"/>
  <c r="O176" i="13"/>
  <c r="W176" i="13"/>
  <c r="AV176" i="13"/>
  <c r="Q176" i="13"/>
  <c r="Y176" i="13"/>
  <c r="P176" i="13"/>
  <c r="X176" i="13"/>
  <c r="AW176" i="13"/>
  <c r="BC176" i="13"/>
  <c r="Z176" i="13"/>
  <c r="CF176" i="13"/>
  <c r="CY162" i="13"/>
  <c r="CX162" i="13"/>
  <c r="CW162" i="13"/>
  <c r="CY154" i="13"/>
  <c r="CX154" i="13"/>
  <c r="CW154" i="13"/>
  <c r="CY190" i="13"/>
  <c r="CX190" i="13"/>
  <c r="CW190" i="13"/>
  <c r="CY182" i="13"/>
  <c r="CX182" i="13"/>
  <c r="CW182" i="13"/>
  <c r="CY174" i="13"/>
  <c r="CX174" i="13"/>
  <c r="CW174" i="13"/>
  <c r="AR195" i="15"/>
  <c r="AW195" i="15" s="1"/>
  <c r="AW170" i="15"/>
  <c r="AU195" i="15"/>
  <c r="P113" i="13"/>
  <c r="S113" i="13"/>
  <c r="N113" i="13"/>
  <c r="R113" i="13"/>
  <c r="Q113" i="13"/>
  <c r="O113" i="13"/>
  <c r="CY37" i="13" l="1"/>
  <c r="CW119" i="13"/>
  <c r="Z91" i="13"/>
  <c r="Z64" i="13"/>
  <c r="CW64" i="13" s="1"/>
  <c r="BC146" i="13"/>
  <c r="CY64" i="13"/>
  <c r="CX37" i="13"/>
  <c r="Z146" i="13"/>
  <c r="CX146" i="13" s="1"/>
  <c r="BC91" i="13"/>
  <c r="CW91" i="13" s="1"/>
  <c r="CX64" i="13"/>
  <c r="CF91" i="13"/>
  <c r="Z173" i="13"/>
  <c r="CX173" i="13" s="1"/>
  <c r="BC173" i="13"/>
  <c r="D173" i="13" s="1"/>
  <c r="CF173" i="13"/>
  <c r="F173" i="13" s="1"/>
  <c r="CF146" i="13"/>
  <c r="AR195" i="13"/>
  <c r="V195" i="13"/>
  <c r="AY195" i="13"/>
  <c r="AS195" i="13"/>
  <c r="S195" i="13"/>
  <c r="BB195" i="13"/>
  <c r="R195" i="13"/>
  <c r="Y195" i="13"/>
  <c r="AV195" i="13"/>
  <c r="P195" i="13"/>
  <c r="W195" i="13"/>
  <c r="AX195" i="13"/>
  <c r="BB113" i="13"/>
  <c r="AX113" i="13"/>
  <c r="AT113" i="13"/>
  <c r="BA113" i="13"/>
  <c r="AW113" i="13"/>
  <c r="AS113" i="13"/>
  <c r="AZ195" i="13"/>
  <c r="U195" i="13"/>
  <c r="AQ195" i="13"/>
  <c r="T195" i="13"/>
  <c r="BA195" i="13"/>
  <c r="AT195" i="13"/>
  <c r="N195" i="13"/>
  <c r="AU195" i="13"/>
  <c r="Q195" i="13"/>
  <c r="X195" i="13"/>
  <c r="AW195" i="13"/>
  <c r="O195" i="13"/>
  <c r="AZ113" i="13"/>
  <c r="AV113" i="13"/>
  <c r="AR113" i="13"/>
  <c r="AQ113" i="13"/>
  <c r="AY113" i="13"/>
  <c r="AU113" i="13"/>
  <c r="BU6" i="13"/>
  <c r="BV6" i="13" s="1"/>
  <c r="BW6" i="13" s="1"/>
  <c r="BX6" i="13" s="1"/>
  <c r="BY6" i="13" s="1"/>
  <c r="BZ6" i="13" s="1"/>
  <c r="CA6" i="13" s="1"/>
  <c r="CB6" i="13" s="1"/>
  <c r="CC6" i="13" s="1"/>
  <c r="CD6" i="13" s="1"/>
  <c r="CE6" i="13" s="1"/>
  <c r="CI6" i="13"/>
  <c r="CJ6" i="13" s="1"/>
  <c r="CK6" i="13" s="1"/>
  <c r="CL6" i="13" s="1"/>
  <c r="CM6" i="13" s="1"/>
  <c r="CN6" i="13" s="1"/>
  <c r="CO6" i="13" s="1"/>
  <c r="CP6" i="13" s="1"/>
  <c r="CQ6" i="13" s="1"/>
  <c r="CR6" i="13" s="1"/>
  <c r="CS6" i="13" s="1"/>
  <c r="CT6" i="13" s="1"/>
  <c r="AU224" i="13"/>
  <c r="D185" i="13"/>
  <c r="F193" i="13"/>
  <c r="AV232" i="13"/>
  <c r="AU233" i="13"/>
  <c r="D194" i="13"/>
  <c r="AU223" i="13"/>
  <c r="D184" i="13"/>
  <c r="B193" i="13"/>
  <c r="AT232" i="13"/>
  <c r="B194" i="13"/>
  <c r="AT233" i="13"/>
  <c r="AT219" i="13"/>
  <c r="B180" i="13"/>
  <c r="B181" i="13"/>
  <c r="AT220" i="13"/>
  <c r="F190" i="13"/>
  <c r="AV229" i="13"/>
  <c r="AU222" i="13"/>
  <c r="D183" i="13"/>
  <c r="F192" i="13"/>
  <c r="AV231" i="13"/>
  <c r="D193" i="13"/>
  <c r="AU232" i="13"/>
  <c r="F194" i="13"/>
  <c r="AV233" i="13"/>
  <c r="D180" i="13"/>
  <c r="AU219" i="13"/>
  <c r="F181" i="13"/>
  <c r="AV220" i="13"/>
  <c r="D190" i="13"/>
  <c r="AU229" i="13"/>
  <c r="AT222" i="13"/>
  <c r="B183" i="13"/>
  <c r="AT224" i="13"/>
  <c r="B185" i="13"/>
  <c r="D174" i="13"/>
  <c r="B192" i="13"/>
  <c r="AT231" i="13"/>
  <c r="AV219" i="13"/>
  <c r="F180" i="13"/>
  <c r="AU220" i="13"/>
  <c r="D181" i="13"/>
  <c r="F191" i="13"/>
  <c r="AV230" i="13"/>
  <c r="B182" i="13"/>
  <c r="AT221" i="13"/>
  <c r="B179" i="13"/>
  <c r="AT218" i="13"/>
  <c r="AU218" i="13"/>
  <c r="D179" i="13"/>
  <c r="AU227" i="13"/>
  <c r="D188" i="13"/>
  <c r="AV228" i="13"/>
  <c r="F189" i="13"/>
  <c r="B191" i="13"/>
  <c r="AT230" i="13"/>
  <c r="D182" i="13"/>
  <c r="AU221" i="13"/>
  <c r="D192" i="13"/>
  <c r="AU231" i="13"/>
  <c r="F177" i="13"/>
  <c r="F179" i="13"/>
  <c r="AV218" i="13"/>
  <c r="AV227" i="13"/>
  <c r="F188" i="13"/>
  <c r="CF143" i="13"/>
  <c r="AU228" i="13"/>
  <c r="D189" i="13"/>
  <c r="CF145" i="13"/>
  <c r="AV221" i="13"/>
  <c r="F182" i="13"/>
  <c r="D178" i="13"/>
  <c r="AU217" i="13"/>
  <c r="B177" i="13"/>
  <c r="B178" i="13"/>
  <c r="AT217" i="13"/>
  <c r="D191" i="13"/>
  <c r="AU230" i="13"/>
  <c r="F176" i="13"/>
  <c r="D177" i="13"/>
  <c r="AV217" i="13"/>
  <c r="F178" i="13"/>
  <c r="AT226" i="13"/>
  <c r="B187" i="13"/>
  <c r="CF144" i="13"/>
  <c r="B188" i="13"/>
  <c r="AT227" i="13"/>
  <c r="B176" i="13"/>
  <c r="F185" i="13"/>
  <c r="AV224" i="13"/>
  <c r="AU225" i="13"/>
  <c r="D186" i="13"/>
  <c r="B174" i="13"/>
  <c r="AU226" i="13"/>
  <c r="D187" i="13"/>
  <c r="F175" i="13"/>
  <c r="AV226" i="13"/>
  <c r="F187" i="13"/>
  <c r="D175" i="13"/>
  <c r="AT225" i="13"/>
  <c r="B186" i="13"/>
  <c r="AV225" i="13"/>
  <c r="F186" i="13"/>
  <c r="F174" i="13"/>
  <c r="Z144" i="13"/>
  <c r="CX144" i="13" s="1"/>
  <c r="B175" i="13"/>
  <c r="B189" i="13"/>
  <c r="AT228" i="13"/>
  <c r="D176" i="13"/>
  <c r="AV223" i="13"/>
  <c r="F184" i="13"/>
  <c r="AT223" i="13"/>
  <c r="B184" i="13"/>
  <c r="AT229" i="13"/>
  <c r="B190" i="13"/>
  <c r="AV222" i="13"/>
  <c r="F183" i="13"/>
  <c r="Z143" i="13"/>
  <c r="CX143" i="13" s="1"/>
  <c r="Z145" i="13"/>
  <c r="CX145" i="13" s="1"/>
  <c r="BC144" i="13"/>
  <c r="BC143" i="13"/>
  <c r="BC145" i="13"/>
  <c r="Z171" i="13"/>
  <c r="CW146" i="13" l="1"/>
  <c r="CY146" i="13"/>
  <c r="CX91" i="13"/>
  <c r="CY91" i="13"/>
  <c r="B173" i="13"/>
  <c r="CY173" i="13"/>
  <c r="CW173" i="13"/>
  <c r="CW145" i="13"/>
  <c r="CX171" i="13"/>
  <c r="B171" i="13"/>
  <c r="CW144" i="13"/>
  <c r="CY145" i="13"/>
  <c r="CW143" i="13"/>
  <c r="CY144" i="13"/>
  <c r="CY143" i="13"/>
  <c r="T113" i="13"/>
  <c r="U113" i="13" l="1"/>
  <c r="V113" i="13" l="1"/>
  <c r="W113" i="13" l="1"/>
  <c r="X113" i="13" l="1"/>
  <c r="Z90" i="13"/>
  <c r="Z172" i="13"/>
  <c r="Z88" i="13"/>
  <c r="Z170" i="13"/>
  <c r="Z195" i="13" l="1"/>
  <c r="CX195" i="13" s="1"/>
  <c r="CX172" i="13"/>
  <c r="B172" i="13"/>
  <c r="CX170" i="13"/>
  <c r="B170" i="13"/>
  <c r="Y113" i="13"/>
  <c r="Z113" i="13"/>
  <c r="G170" i="13" l="1" a="1"/>
  <c r="CH9" i="13" l="1"/>
  <c r="CH7" i="13"/>
  <c r="CH8" i="13"/>
  <c r="BE9" i="13"/>
  <c r="BE8" i="13"/>
  <c r="BE7" i="13"/>
  <c r="AB9" i="13"/>
  <c r="AB8" i="13"/>
  <c r="AB7" i="13"/>
  <c r="G170" i="13"/>
  <c r="AB21" i="13"/>
  <c r="AB11" i="13"/>
  <c r="AB23" i="13"/>
  <c r="AB12" i="13"/>
  <c r="AB24" i="13"/>
  <c r="AB15" i="13"/>
  <c r="AB28" i="13"/>
  <c r="AB29" i="13"/>
  <c r="AB18" i="13"/>
  <c r="AB10" i="13"/>
  <c r="AB13" i="13"/>
  <c r="AB25" i="13"/>
  <c r="AB30" i="13"/>
  <c r="AB31" i="13"/>
  <c r="AB22" i="13"/>
  <c r="AB14" i="13"/>
  <c r="AB26" i="13"/>
  <c r="AB27" i="13"/>
  <c r="AB16" i="13"/>
  <c r="AB17" i="13"/>
  <c r="AB19" i="13"/>
  <c r="AB20" i="13"/>
  <c r="CH62" i="13" l="1"/>
  <c r="CH89" i="13"/>
  <c r="CH63" i="13"/>
  <c r="CH90" i="13"/>
  <c r="CH88" i="13"/>
  <c r="CH61" i="13"/>
  <c r="BE88" i="13"/>
  <c r="BL7" i="13"/>
  <c r="BJ7" i="13"/>
  <c r="BQ7" i="13"/>
  <c r="BF7" i="13"/>
  <c r="BG7" i="13"/>
  <c r="BH7" i="13"/>
  <c r="BI7" i="13"/>
  <c r="BK7" i="13"/>
  <c r="BM7" i="13"/>
  <c r="BN7" i="13"/>
  <c r="BO7" i="13"/>
  <c r="BP7" i="13"/>
  <c r="BE61" i="13"/>
  <c r="BE90" i="13"/>
  <c r="BQ9" i="13"/>
  <c r="BH9" i="13"/>
  <c r="BF9" i="13"/>
  <c r="BG9" i="13"/>
  <c r="BI9" i="13"/>
  <c r="BJ9" i="13"/>
  <c r="BK9" i="13"/>
  <c r="BN9" i="13"/>
  <c r="BL9" i="13"/>
  <c r="BM9" i="13"/>
  <c r="BO9" i="13"/>
  <c r="BP9" i="13"/>
  <c r="BE63" i="13"/>
  <c r="BE89" i="13"/>
  <c r="BQ8" i="13"/>
  <c r="BI8" i="13"/>
  <c r="BF8" i="13"/>
  <c r="BE62" i="13"/>
  <c r="BG8" i="13"/>
  <c r="BH8" i="13"/>
  <c r="BJ8" i="13"/>
  <c r="BL8" i="13"/>
  <c r="BO8" i="13"/>
  <c r="BP8" i="13"/>
  <c r="BK8" i="13"/>
  <c r="BN8" i="13"/>
  <c r="BM8" i="13"/>
  <c r="AL7" i="13"/>
  <c r="AJ7" i="13"/>
  <c r="AK7" i="13"/>
  <c r="AG7" i="13"/>
  <c r="AH7" i="13"/>
  <c r="AB88" i="13"/>
  <c r="AC7" i="13"/>
  <c r="AB61" i="13"/>
  <c r="AD7" i="13"/>
  <c r="AE7" i="13"/>
  <c r="AF7" i="13"/>
  <c r="AI7" i="13"/>
  <c r="AM7" i="13"/>
  <c r="AN7" i="13"/>
  <c r="AD8" i="13"/>
  <c r="AB62" i="13"/>
  <c r="AF8" i="13"/>
  <c r="AG8" i="13"/>
  <c r="AJ8" i="13"/>
  <c r="AK8" i="13"/>
  <c r="AB89" i="13"/>
  <c r="AH8" i="13"/>
  <c r="AN8" i="13"/>
  <c r="AE8" i="13"/>
  <c r="AI8" i="13"/>
  <c r="AL8" i="13"/>
  <c r="AM8" i="13"/>
  <c r="AC8" i="13"/>
  <c r="AD9" i="13"/>
  <c r="AF9" i="13"/>
  <c r="AB63" i="13"/>
  <c r="AG9" i="13"/>
  <c r="AH9" i="13"/>
  <c r="AJ9" i="13"/>
  <c r="AK9" i="13"/>
  <c r="AL9" i="13"/>
  <c r="AB90" i="13"/>
  <c r="AM9" i="13"/>
  <c r="AI9" i="13"/>
  <c r="AN9" i="13"/>
  <c r="AC9" i="13"/>
  <c r="AE9" i="13"/>
  <c r="CT63" i="13" l="1"/>
  <c r="CJ63" i="13"/>
  <c r="CK63" i="13"/>
  <c r="CL63" i="13"/>
  <c r="CM63" i="13"/>
  <c r="CS63" i="13"/>
  <c r="CN63" i="13"/>
  <c r="CP63" i="13"/>
  <c r="CQ63" i="13"/>
  <c r="CI63" i="13"/>
  <c r="CO63" i="13"/>
  <c r="CR63" i="13"/>
  <c r="CR62" i="13"/>
  <c r="CT62" i="13"/>
  <c r="CJ62" i="13"/>
  <c r="CK62" i="13"/>
  <c r="CM62" i="13"/>
  <c r="CL62" i="13"/>
  <c r="CQ62" i="13"/>
  <c r="CI62" i="13"/>
  <c r="CN62" i="13"/>
  <c r="CS62" i="13"/>
  <c r="CO62" i="13"/>
  <c r="CP62" i="13"/>
  <c r="CT61" i="13"/>
  <c r="CI61" i="13"/>
  <c r="CK61" i="13"/>
  <c r="CL61" i="13"/>
  <c r="CM61" i="13"/>
  <c r="CN61" i="13"/>
  <c r="CR61" i="13"/>
  <c r="CO61" i="13"/>
  <c r="CS61" i="13"/>
  <c r="CP61" i="13"/>
  <c r="CQ61" i="13"/>
  <c r="CJ61" i="13"/>
  <c r="CH171" i="13"/>
  <c r="CH170" i="13"/>
  <c r="CH172" i="13"/>
  <c r="BP62" i="13"/>
  <c r="BQ62" i="13"/>
  <c r="BF62" i="13"/>
  <c r="BG62" i="13"/>
  <c r="BH62" i="13"/>
  <c r="BI62" i="13"/>
  <c r="BJ62" i="13"/>
  <c r="BK62" i="13"/>
  <c r="BO62" i="13"/>
  <c r="BL62" i="13"/>
  <c r="BM62" i="13"/>
  <c r="BN62" i="13"/>
  <c r="BE171" i="13"/>
  <c r="BH89" i="13"/>
  <c r="BF89" i="13"/>
  <c r="BG89" i="13"/>
  <c r="BQ63" i="13"/>
  <c r="BH63" i="13"/>
  <c r="BP63" i="13"/>
  <c r="BL63" i="13"/>
  <c r="BF63" i="13"/>
  <c r="BG63" i="13"/>
  <c r="BI63" i="13"/>
  <c r="BJ63" i="13"/>
  <c r="BN63" i="13"/>
  <c r="BK63" i="13"/>
  <c r="BM63" i="13"/>
  <c r="BO63" i="13"/>
  <c r="BE172" i="13"/>
  <c r="BF90" i="13"/>
  <c r="BG90" i="13"/>
  <c r="BH90" i="13"/>
  <c r="BF61" i="13"/>
  <c r="BI61" i="13"/>
  <c r="BP61" i="13"/>
  <c r="BG61" i="13"/>
  <c r="BH61" i="13"/>
  <c r="BJ61" i="13"/>
  <c r="BQ61" i="13"/>
  <c r="BK61" i="13"/>
  <c r="BL61" i="13"/>
  <c r="BO61" i="13"/>
  <c r="BM61" i="13"/>
  <c r="BN61" i="13"/>
  <c r="BE170" i="13"/>
  <c r="BH88" i="13"/>
  <c r="BI88" i="13"/>
  <c r="BF88" i="13"/>
  <c r="BG88" i="13"/>
  <c r="AG90" i="13"/>
  <c r="AI90" i="13"/>
  <c r="AJ90" i="13"/>
  <c r="AN90" i="13"/>
  <c r="AK90" i="13"/>
  <c r="AB172" i="13"/>
  <c r="AD90" i="13"/>
  <c r="AE90" i="13"/>
  <c r="AL90" i="13"/>
  <c r="AM90" i="13"/>
  <c r="AC90" i="13"/>
  <c r="AH90" i="13"/>
  <c r="AF90" i="13"/>
  <c r="AM62" i="13"/>
  <c r="AC62" i="13"/>
  <c r="AD62" i="13"/>
  <c r="AH62" i="13"/>
  <c r="AE62" i="13"/>
  <c r="AI62" i="13"/>
  <c r="AJ62" i="13"/>
  <c r="AF62" i="13"/>
  <c r="AG62" i="13"/>
  <c r="AK62" i="13"/>
  <c r="AL62" i="13"/>
  <c r="AN62" i="13"/>
  <c r="AN61" i="13"/>
  <c r="AD61" i="13"/>
  <c r="AE61" i="13"/>
  <c r="AH61" i="13"/>
  <c r="AF61" i="13"/>
  <c r="AI61" i="13"/>
  <c r="AL61" i="13"/>
  <c r="AG61" i="13"/>
  <c r="AJ61" i="13"/>
  <c r="AK61" i="13"/>
  <c r="AC61" i="13"/>
  <c r="AM61" i="13"/>
  <c r="AG89" i="13"/>
  <c r="AI89" i="13"/>
  <c r="AJ89" i="13"/>
  <c r="AM89" i="13"/>
  <c r="AH89" i="13"/>
  <c r="AK89" i="13"/>
  <c r="AN89" i="13"/>
  <c r="AC89" i="13"/>
  <c r="AB171" i="13"/>
  <c r="AL89" i="13"/>
  <c r="AD89" i="13"/>
  <c r="AE89" i="13"/>
  <c r="AF89" i="13"/>
  <c r="AM63" i="13"/>
  <c r="AC63" i="13"/>
  <c r="AD63" i="13"/>
  <c r="AI63" i="13"/>
  <c r="AJ63" i="13"/>
  <c r="AN63" i="13"/>
  <c r="AE63" i="13"/>
  <c r="AG63" i="13"/>
  <c r="AF63" i="13"/>
  <c r="AH63" i="13"/>
  <c r="AK63" i="13"/>
  <c r="AL63" i="13"/>
  <c r="AH88" i="13"/>
  <c r="AJ88" i="13"/>
  <c r="AK88" i="13"/>
  <c r="AB170" i="13"/>
  <c r="AD88" i="13"/>
  <c r="AL88" i="13"/>
  <c r="AM88" i="13"/>
  <c r="AN88" i="13"/>
  <c r="AC88" i="13"/>
  <c r="AE88" i="13"/>
  <c r="AF88" i="13"/>
  <c r="AG88" i="13"/>
  <c r="AI88" i="13"/>
  <c r="BI90" i="13"/>
  <c r="BI89" i="13"/>
  <c r="BJ88" i="13"/>
  <c r="BJ90" i="13"/>
  <c r="BQ170" i="13" l="1"/>
  <c r="BP170" i="13"/>
  <c r="BF170" i="13"/>
  <c r="BG170" i="13"/>
  <c r="BH170" i="13"/>
  <c r="BI170" i="13"/>
  <c r="BJ170" i="13"/>
  <c r="BK170" i="13"/>
  <c r="BL170" i="13"/>
  <c r="BM170" i="13"/>
  <c r="BO170" i="13"/>
  <c r="BN170" i="13"/>
  <c r="BP172" i="13"/>
  <c r="BH172" i="13"/>
  <c r="BQ172" i="13"/>
  <c r="BF172" i="13"/>
  <c r="BG172" i="13"/>
  <c r="BO172" i="13"/>
  <c r="BI172" i="13"/>
  <c r="BJ172" i="13"/>
  <c r="BK172" i="13"/>
  <c r="BL172" i="13"/>
  <c r="BM172" i="13"/>
  <c r="BN172" i="13"/>
  <c r="BP171" i="13"/>
  <c r="BG171" i="13"/>
  <c r="BQ171" i="13"/>
  <c r="BF171" i="13"/>
  <c r="BH171" i="13"/>
  <c r="BI171" i="13"/>
  <c r="BN171" i="13"/>
  <c r="BO171" i="13"/>
  <c r="BJ171" i="13"/>
  <c r="BK171" i="13"/>
  <c r="BL171" i="13"/>
  <c r="BM171" i="13"/>
  <c r="AJ171" i="13"/>
  <c r="AL171" i="13"/>
  <c r="AM171" i="13"/>
  <c r="AE171" i="13"/>
  <c r="AN171" i="13"/>
  <c r="AF171" i="13"/>
  <c r="AG171" i="13"/>
  <c r="AC171" i="13"/>
  <c r="AD171" i="13"/>
  <c r="AH171" i="13"/>
  <c r="AI171" i="13"/>
  <c r="AK171" i="13"/>
  <c r="AK170" i="13"/>
  <c r="AM170" i="13"/>
  <c r="AN170" i="13"/>
  <c r="AC170" i="13"/>
  <c r="AH170" i="13"/>
  <c r="AD170" i="13"/>
  <c r="AE170" i="13"/>
  <c r="AF170" i="13"/>
  <c r="AG170" i="13"/>
  <c r="AI170" i="13"/>
  <c r="AJ170" i="13"/>
  <c r="AL170" i="13"/>
  <c r="AJ172" i="13"/>
  <c r="AL172" i="13"/>
  <c r="AM172" i="13"/>
  <c r="AD172" i="13"/>
  <c r="AF172" i="13"/>
  <c r="AH172" i="13"/>
  <c r="AN172" i="13"/>
  <c r="AE172" i="13"/>
  <c r="AK172" i="13"/>
  <c r="AC172" i="13"/>
  <c r="AG172" i="13"/>
  <c r="AI172" i="13"/>
  <c r="BK88" i="13"/>
  <c r="BK90" i="13"/>
  <c r="BJ89" i="13"/>
  <c r="BL88" i="13" l="1"/>
  <c r="BL90" i="13"/>
  <c r="BK89" i="13" l="1"/>
  <c r="BM90" i="13"/>
  <c r="BM88" i="13"/>
  <c r="BL89" i="13" l="1"/>
  <c r="BN90" i="13"/>
  <c r="BN88" i="13"/>
  <c r="BM89" i="13" l="1"/>
  <c r="BO90" i="13"/>
  <c r="BO88" i="13"/>
  <c r="BN89" i="13" l="1"/>
  <c r="BP90" i="13"/>
  <c r="BP88" i="13"/>
  <c r="BO89" i="13" l="1"/>
  <c r="BC171" i="13"/>
  <c r="BC170" i="13"/>
  <c r="BC88" i="13" l="1"/>
  <c r="BQ90" i="13"/>
  <c r="BC89" i="13"/>
  <c r="CW89" i="13" s="1"/>
  <c r="BQ88" i="13"/>
  <c r="BP89" i="13"/>
  <c r="CW170" i="13"/>
  <c r="D170" i="13"/>
  <c r="CW171" i="13"/>
  <c r="D171" i="13"/>
  <c r="BC172" i="13"/>
  <c r="CW172" i="13" s="1"/>
  <c r="BC195" i="13" l="1"/>
  <c r="CW195" i="13" s="1"/>
  <c r="BC90" i="13"/>
  <c r="BQ89" i="13"/>
  <c r="D172" i="13"/>
  <c r="I170" i="13" s="1" a="1"/>
  <c r="I170" i="13" s="1"/>
  <c r="BC113" i="13" l="1"/>
  <c r="CW113" i="13" s="1"/>
  <c r="CW90" i="13"/>
  <c r="CE7" i="13"/>
  <c r="CD7" i="13"/>
  <c r="BX9" i="13"/>
  <c r="CA7" i="13"/>
  <c r="BZ8" i="13"/>
  <c r="BU7" i="13"/>
  <c r="CB8" i="13"/>
  <c r="CE9" i="13"/>
  <c r="BW7" i="13"/>
  <c r="BW9" i="13"/>
  <c r="CA8" i="13"/>
  <c r="CC8" i="13"/>
  <c r="BU9" i="13"/>
  <c r="BY9" i="13"/>
  <c r="CA9" i="13"/>
  <c r="CB9" i="13"/>
  <c r="CC9" i="13"/>
  <c r="CD9" i="13"/>
  <c r="CE8" i="13"/>
  <c r="BY8" i="13"/>
  <c r="CB7" i="13"/>
  <c r="BX7" i="13"/>
  <c r="BV7" i="13"/>
  <c r="BT8" i="13"/>
  <c r="BT9" i="13"/>
  <c r="BX8" i="13"/>
  <c r="BZ9" i="13"/>
  <c r="BU8" i="13"/>
  <c r="BV8" i="13"/>
  <c r="BW8" i="13"/>
  <c r="CD8" i="13"/>
  <c r="BV9" i="13"/>
  <c r="CC7" i="13"/>
  <c r="BY7" i="13"/>
  <c r="BZ7" i="13"/>
  <c r="BT7" i="13"/>
  <c r="BZ88" i="13" l="1"/>
  <c r="CO9" i="13"/>
  <c r="CC170" i="13"/>
  <c r="CC88" i="13"/>
  <c r="CR9" i="13"/>
  <c r="CD171" i="13"/>
  <c r="CS170" i="13" s="1"/>
  <c r="CD89" i="13"/>
  <c r="CS88" i="13" s="1"/>
  <c r="CS7" i="13"/>
  <c r="BV171" i="13"/>
  <c r="CK170" i="13" s="1"/>
  <c r="BV89" i="13"/>
  <c r="CK88" i="13" s="1"/>
  <c r="CK7" i="13"/>
  <c r="BZ172" i="13"/>
  <c r="CO171" i="13" s="1"/>
  <c r="BZ90" i="13"/>
  <c r="CO89" i="13" s="1"/>
  <c r="CO8" i="13"/>
  <c r="BT90" i="13"/>
  <c r="CI89" i="13" s="1"/>
  <c r="CI8" i="13"/>
  <c r="BT89" i="13"/>
  <c r="CI88" i="13" s="1"/>
  <c r="CI7" i="13"/>
  <c r="BX170" i="13"/>
  <c r="BX88" i="13"/>
  <c r="CM9" i="13"/>
  <c r="BY89" i="13"/>
  <c r="CN88" i="13" s="1"/>
  <c r="CN7" i="13"/>
  <c r="CD90" i="13"/>
  <c r="CS89" i="13" s="1"/>
  <c r="CS8" i="13"/>
  <c r="CB90" i="13"/>
  <c r="CQ89" i="13" s="1"/>
  <c r="CQ8" i="13"/>
  <c r="BY90" i="13"/>
  <c r="CN89" i="13" s="1"/>
  <c r="CN8" i="13"/>
  <c r="CC89" i="13"/>
  <c r="CR88" i="13" s="1"/>
  <c r="CR7" i="13"/>
  <c r="CE90" i="13"/>
  <c r="CT89" i="13" s="1"/>
  <c r="CT8" i="13"/>
  <c r="BU88" i="13"/>
  <c r="CJ9" i="13"/>
  <c r="CA88" i="13"/>
  <c r="CP9" i="13"/>
  <c r="CD88" i="13"/>
  <c r="CS9" i="13"/>
  <c r="BT170" i="13"/>
  <c r="BT88" i="13"/>
  <c r="CI9" i="13"/>
  <c r="BY170" i="13"/>
  <c r="BY88" i="13"/>
  <c r="CN9" i="13"/>
  <c r="BV172" i="13"/>
  <c r="CK171" i="13" s="1"/>
  <c r="BV90" i="13"/>
  <c r="CK89" i="13" s="1"/>
  <c r="CK8" i="13"/>
  <c r="BW171" i="13"/>
  <c r="CL170" i="13" s="1"/>
  <c r="BW89" i="13"/>
  <c r="CL88" i="13" s="1"/>
  <c r="CL7" i="13"/>
  <c r="BU171" i="13"/>
  <c r="CJ170" i="13" s="1"/>
  <c r="BU89" i="13"/>
  <c r="CJ88" i="13" s="1"/>
  <c r="CJ7" i="13"/>
  <c r="BX171" i="13"/>
  <c r="CM170" i="13" s="1"/>
  <c r="BX89" i="13"/>
  <c r="CM88" i="13" s="1"/>
  <c r="CM7" i="13"/>
  <c r="BV170" i="13"/>
  <c r="BV88" i="13"/>
  <c r="CK9" i="13"/>
  <c r="CB170" i="13"/>
  <c r="CB88" i="13"/>
  <c r="CQ9" i="13"/>
  <c r="CE89" i="13"/>
  <c r="CT88" i="13" s="1"/>
  <c r="CT7" i="13"/>
  <c r="CC90" i="13"/>
  <c r="CR89" i="13" s="1"/>
  <c r="CR8" i="13"/>
  <c r="CA90" i="13"/>
  <c r="CP89" i="13" s="1"/>
  <c r="CP8" i="13"/>
  <c r="BU172" i="13"/>
  <c r="CJ171" i="13" s="1"/>
  <c r="BU90" i="13"/>
  <c r="CJ89" i="13" s="1"/>
  <c r="CJ8" i="13"/>
  <c r="CA171" i="13"/>
  <c r="CP170" i="13" s="1"/>
  <c r="CA89" i="13"/>
  <c r="CP88" i="13" s="1"/>
  <c r="CP7" i="13"/>
  <c r="BW172" i="13"/>
  <c r="CL171" i="13" s="1"/>
  <c r="BW90" i="13"/>
  <c r="CL89" i="13" s="1"/>
  <c r="CL8" i="13"/>
  <c r="BW88" i="13"/>
  <c r="CL9" i="13"/>
  <c r="CB171" i="13"/>
  <c r="CQ170" i="13" s="1"/>
  <c r="CB89" i="13"/>
  <c r="CQ88" i="13" s="1"/>
  <c r="CQ7" i="13"/>
  <c r="BZ89" i="13"/>
  <c r="CO88" i="13" s="1"/>
  <c r="CO7" i="13"/>
  <c r="BX90" i="13"/>
  <c r="CM89" i="13" s="1"/>
  <c r="CM8" i="13"/>
  <c r="CE170" i="13"/>
  <c r="CE88" i="13"/>
  <c r="CT9" i="13"/>
  <c r="CC172" i="13"/>
  <c r="CR171" i="13" s="1"/>
  <c r="CB172" i="13"/>
  <c r="CQ171" i="13" s="1"/>
  <c r="CD170" i="13"/>
  <c r="BZ171" i="13"/>
  <c r="CO170" i="13" s="1"/>
  <c r="CD172" i="13"/>
  <c r="CS171" i="13" s="1"/>
  <c r="BT171" i="13"/>
  <c r="CI170" i="13" s="1"/>
  <c r="BT172" i="13"/>
  <c r="CI171" i="13" s="1"/>
  <c r="BW170" i="13"/>
  <c r="CA170" i="13"/>
  <c r="BY172" i="13"/>
  <c r="CN171" i="13" s="1"/>
  <c r="CE172" i="13"/>
  <c r="CT171" i="13" s="1"/>
  <c r="BY171" i="13"/>
  <c r="CN170" i="13" s="1"/>
  <c r="CE171" i="13"/>
  <c r="CT170" i="13" s="1"/>
  <c r="BX172" i="13"/>
  <c r="CM171" i="13" s="1"/>
  <c r="CA172" i="13"/>
  <c r="CP171" i="13" s="1"/>
  <c r="BZ170" i="13"/>
  <c r="CC171" i="13"/>
  <c r="CR170" i="13" s="1"/>
  <c r="BU170" i="13"/>
  <c r="CF9" i="13"/>
  <c r="CF7" i="13"/>
  <c r="CF8" i="13"/>
  <c r="CX7" i="13" l="1"/>
  <c r="CY7" i="13"/>
  <c r="CY8" i="13"/>
  <c r="CX8" i="13"/>
  <c r="CX9" i="13"/>
  <c r="CY9" i="13"/>
  <c r="BU195" i="13"/>
  <c r="CJ172" i="13"/>
  <c r="BW195" i="13"/>
  <c r="CL172" i="13"/>
  <c r="CE195" i="13"/>
  <c r="CT172" i="13"/>
  <c r="CB113" i="13"/>
  <c r="CQ90" i="13"/>
  <c r="BV195" i="13"/>
  <c r="CK172" i="13"/>
  <c r="BY113" i="13"/>
  <c r="CN90" i="13"/>
  <c r="BT195" i="13"/>
  <c r="CI172" i="13"/>
  <c r="CD113" i="13"/>
  <c r="CS90" i="13"/>
  <c r="CA113" i="13"/>
  <c r="CP90" i="13"/>
  <c r="BU113" i="13"/>
  <c r="CJ90" i="13"/>
  <c r="BX113" i="13"/>
  <c r="CM90" i="13"/>
  <c r="CC113" i="13"/>
  <c r="CR90" i="13"/>
  <c r="BZ195" i="13"/>
  <c r="CO172" i="13"/>
  <c r="CA195" i="13"/>
  <c r="CP172" i="13"/>
  <c r="CD195" i="13"/>
  <c r="CS172" i="13"/>
  <c r="CE113" i="13"/>
  <c r="CT90" i="13"/>
  <c r="BW113" i="13"/>
  <c r="CL90" i="13"/>
  <c r="CB195" i="13"/>
  <c r="CQ172" i="13"/>
  <c r="BV113" i="13"/>
  <c r="CK90" i="13"/>
  <c r="BY195" i="13"/>
  <c r="CN172" i="13"/>
  <c r="BT113" i="13"/>
  <c r="CI90" i="13"/>
  <c r="BX195" i="13"/>
  <c r="CM172" i="13"/>
  <c r="CC195" i="13"/>
  <c r="CR172" i="13"/>
  <c r="BZ113" i="13"/>
  <c r="CO90" i="13"/>
  <c r="CF171" i="13"/>
  <c r="CF172" i="13"/>
  <c r="CF88" i="13"/>
  <c r="CF89" i="13"/>
  <c r="CF170" i="13"/>
  <c r="CF90" i="13"/>
  <c r="CF195" i="13" l="1"/>
  <c r="CY195" i="13" s="1"/>
  <c r="CY90" i="13"/>
  <c r="CX90" i="13"/>
  <c r="CX89" i="13"/>
  <c r="CY89" i="13"/>
  <c r="CF113" i="13"/>
  <c r="CY88" i="13"/>
  <c r="CX88" i="13"/>
  <c r="CY171" i="13"/>
  <c r="F171" i="13"/>
  <c r="CY170" i="13"/>
  <c r="F170" i="13"/>
  <c r="K170" i="13" s="1" a="1"/>
  <c r="K170" i="13" s="1"/>
  <c r="CY172" i="13"/>
  <c r="F172" i="13"/>
  <c r="CX113" i="13" l="1"/>
  <c r="CY113" i="13"/>
  <c r="L194" i="13"/>
  <c r="K194" i="13"/>
  <c r="L193" i="13"/>
  <c r="K193" i="13"/>
  <c r="L192" i="13"/>
  <c r="K192" i="13"/>
  <c r="L191" i="13"/>
  <c r="K191" i="13"/>
  <c r="L190" i="13"/>
  <c r="K190" i="13"/>
  <c r="L189" i="13"/>
  <c r="K189" i="13"/>
  <c r="L188" i="13"/>
  <c r="K188" i="13"/>
  <c r="L187" i="13"/>
  <c r="K187" i="13"/>
  <c r="L186" i="13"/>
  <c r="K186" i="13"/>
  <c r="L185" i="13"/>
  <c r="K185" i="13"/>
  <c r="L184" i="13"/>
  <c r="K184" i="13"/>
  <c r="L183" i="13"/>
  <c r="K183" i="13"/>
  <c r="L182" i="13"/>
  <c r="K182" i="13"/>
  <c r="L181" i="13"/>
  <c r="K181" i="13"/>
  <c r="L180" i="13"/>
  <c r="K180" i="13"/>
  <c r="L179" i="13"/>
  <c r="K179" i="13"/>
  <c r="L178" i="13"/>
  <c r="K178" i="13"/>
  <c r="L177" i="13"/>
  <c r="K177" i="13"/>
  <c r="L176" i="13"/>
  <c r="K176" i="13"/>
  <c r="L175" i="13"/>
  <c r="K175" i="13"/>
  <c r="L174" i="13"/>
  <c r="K174" i="13"/>
  <c r="L173" i="13"/>
  <c r="K173" i="13"/>
  <c r="L172" i="13"/>
  <c r="K172" i="13"/>
  <c r="L171" i="13"/>
  <c r="K171" i="13"/>
  <c r="L170" i="13"/>
  <c r="J194" i="13"/>
  <c r="I194" i="13"/>
  <c r="J193" i="13"/>
  <c r="I193" i="13"/>
  <c r="J192" i="13"/>
  <c r="I192" i="13"/>
  <c r="J191" i="13"/>
  <c r="I191" i="13"/>
  <c r="J190" i="13"/>
  <c r="I190" i="13"/>
  <c r="J189" i="13"/>
  <c r="I189" i="13"/>
  <c r="J188" i="13"/>
  <c r="I188" i="13"/>
  <c r="J187" i="13"/>
  <c r="I187" i="13"/>
  <c r="J186" i="13"/>
  <c r="I186" i="13"/>
  <c r="J185" i="13"/>
  <c r="I185" i="13"/>
  <c r="J184" i="13"/>
  <c r="I184" i="13"/>
  <c r="J183" i="13"/>
  <c r="I183" i="13"/>
  <c r="J182" i="13"/>
  <c r="I182" i="13"/>
  <c r="J181" i="13"/>
  <c r="I181" i="13"/>
  <c r="J180" i="13"/>
  <c r="I180" i="13"/>
  <c r="J179" i="13"/>
  <c r="I179" i="13"/>
  <c r="J178" i="13"/>
  <c r="I178" i="13"/>
  <c r="J177" i="13"/>
  <c r="I177" i="13"/>
  <c r="J176" i="13"/>
  <c r="I176" i="13"/>
  <c r="J175" i="13"/>
  <c r="I175" i="13"/>
  <c r="J174" i="13"/>
  <c r="I174" i="13"/>
  <c r="J173" i="13"/>
  <c r="I173" i="13"/>
  <c r="J172" i="13"/>
  <c r="I172" i="13"/>
  <c r="J171" i="13"/>
  <c r="I171" i="13"/>
  <c r="J170" i="13"/>
  <c r="H194" i="13"/>
  <c r="G194" i="13"/>
  <c r="H193" i="13"/>
  <c r="G193" i="13"/>
  <c r="H192" i="13"/>
  <c r="G192" i="13"/>
  <c r="H191" i="13"/>
  <c r="G191" i="13"/>
  <c r="H190" i="13"/>
  <c r="G190" i="13"/>
  <c r="H189" i="13"/>
  <c r="G189" i="13"/>
  <c r="H188" i="13"/>
  <c r="G188" i="13"/>
  <c r="H187" i="13"/>
  <c r="G187" i="13"/>
  <c r="H186" i="13"/>
  <c r="G186" i="13"/>
  <c r="H185" i="13"/>
  <c r="G185" i="13"/>
  <c r="H184" i="13"/>
  <c r="G184" i="13"/>
  <c r="H183" i="13"/>
  <c r="G183" i="13"/>
  <c r="H182" i="13"/>
  <c r="G182" i="13"/>
  <c r="H181" i="13"/>
  <c r="G181" i="13"/>
  <c r="H180" i="13"/>
  <c r="G180" i="13"/>
  <c r="H179" i="13"/>
  <c r="G179" i="13"/>
  <c r="H178" i="13"/>
  <c r="G178" i="13"/>
  <c r="H177" i="13"/>
  <c r="G177" i="13"/>
  <c r="H176" i="13"/>
  <c r="G176" i="13"/>
  <c r="H175" i="13"/>
  <c r="G175" i="13"/>
  <c r="H174" i="13"/>
  <c r="G174" i="13"/>
  <c r="H173" i="13"/>
  <c r="G173" i="13"/>
  <c r="H172" i="13"/>
  <c r="G172" i="13"/>
  <c r="H171" i="13"/>
  <c r="G171" i="13"/>
  <c r="H170" i="1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<sst xmlns="http://schemas.openxmlformats.org/spreadsheetml/2006/main" count="284" uniqueCount="102">
  <si>
    <t>Navigation</t>
  </si>
  <si>
    <t>Title</t>
  </si>
  <si>
    <t>Content</t>
  </si>
  <si>
    <t>Customization difficulty (1-3)</t>
  </si>
  <si>
    <t>Explanation of sheets</t>
  </si>
  <si>
    <t>How to customize</t>
  </si>
  <si>
    <t>1)</t>
  </si>
  <si>
    <t>2)</t>
  </si>
  <si>
    <t>3)</t>
  </si>
  <si>
    <t>To view the headings in Excel (Columns: A, B, C… and Rows: 1, 2, 3…) go to the View ribbon and check the "Headings" box.</t>
  </si>
  <si>
    <t>"Company Name"</t>
  </si>
  <si>
    <t>Dashboard Template</t>
  </si>
  <si>
    <t>Settings</t>
  </si>
  <si>
    <t>Dashboard</t>
  </si>
  <si>
    <t>Dashboard - Summary View</t>
  </si>
  <si>
    <t>Lists</t>
  </si>
  <si>
    <t>Introduction</t>
  </si>
  <si>
    <t>The place where you'll be able to customize the sheet to your company's needs.</t>
  </si>
  <si>
    <t xml:space="preserve">(Please follow these steps in the order they're laid out. </t>
  </si>
  <si>
    <t xml:space="preserve">It is important to note that if you make a change to the shifts currently being displayed you need to reselect the number of employees from the drop down menu. </t>
  </si>
  <si>
    <t>**</t>
  </si>
  <si>
    <t>Total Gross Profit</t>
  </si>
  <si>
    <t>Difference</t>
  </si>
  <si>
    <t>Gross Profit</t>
  </si>
  <si>
    <t>(Revenue - COGS or Margin Per Unit * Units Sold)</t>
  </si>
  <si>
    <t>Margin Per Unit</t>
  </si>
  <si>
    <t>Avg Margin</t>
  </si>
  <si>
    <t>(Unit Price - Unit COGS)</t>
  </si>
  <si>
    <t>Unit COGS</t>
  </si>
  <si>
    <t>Avg COGS</t>
  </si>
  <si>
    <t>Total Revenue</t>
  </si>
  <si>
    <t>Revenue</t>
  </si>
  <si>
    <t>(Units Sold * Unit Price)</t>
  </si>
  <si>
    <t>Sales Growth Rate</t>
  </si>
  <si>
    <t>Avg Growth Rate</t>
  </si>
  <si>
    <t>Unit Price</t>
  </si>
  <si>
    <t>Avg Unit Price</t>
  </si>
  <si>
    <t>% Change</t>
  </si>
  <si>
    <t>Units Sold</t>
  </si>
  <si>
    <t>Total Units Sold</t>
  </si>
  <si>
    <t>Yr 3 vs Yr 2</t>
  </si>
  <si>
    <t>Yr 2 vs Yr 1</t>
  </si>
  <si>
    <t>Year 3</t>
  </si>
  <si>
    <t>Year 2</t>
  </si>
  <si>
    <t>Year 1</t>
  </si>
  <si>
    <t>Year-to-Year Comparison</t>
  </si>
  <si>
    <t>Sales Forecast Year 3</t>
  </si>
  <si>
    <t>Sales Forecast Year 2</t>
  </si>
  <si>
    <t>Forecast Start Date</t>
  </si>
  <si>
    <t>Sales Forecast Template</t>
  </si>
  <si>
    <t>Total Number of Products</t>
  </si>
  <si>
    <t>Projections</t>
  </si>
  <si>
    <t>"Company Name" Sales Forecast</t>
  </si>
  <si>
    <t>Yr 3 vs Yr 1</t>
  </si>
  <si>
    <t>Product 1</t>
  </si>
  <si>
    <t>Product 2</t>
  </si>
  <si>
    <t>Product 3</t>
  </si>
  <si>
    <t>Sales Forecast</t>
  </si>
  <si>
    <t>Total # of Products</t>
  </si>
  <si>
    <t xml:space="preserve"> Lists</t>
  </si>
  <si>
    <t xml:space="preserve">This workbook is intended to help you forcast sales of your products and services. </t>
  </si>
  <si>
    <t>Year Selection</t>
  </si>
  <si>
    <t># of Years</t>
  </si>
  <si>
    <t>Projected Sales Growth Rate</t>
  </si>
  <si>
    <t>Calculated Sales Growth Rate</t>
  </si>
  <si>
    <t>Select Number</t>
  </si>
  <si>
    <t xml:space="preserve">Detailed product sales projections for up to 3 years. Enter your product information on the left under the </t>
  </si>
  <si>
    <t xml:space="preserve">Overview of the top performing products. Shows units sold, revenue, gross profit, and growth rate. </t>
  </si>
  <si>
    <t xml:space="preserve">Shows the top peforming products </t>
  </si>
  <si>
    <t xml:space="preserve">Allows for ease of comparison between products over extended timelines. </t>
  </si>
  <si>
    <t xml:space="preserve">Select the number of products you'd like to forecast sales. </t>
  </si>
  <si>
    <t>Select the number of years you'd like to forecast the sales into the future.</t>
  </si>
  <si>
    <t>The place where you'll enter your company's sales data.</t>
  </si>
  <si>
    <t xml:space="preserve">Enter the first year's unit price for each product in the 'Unit Price' table. </t>
  </si>
  <si>
    <t xml:space="preserve">Enter the first year's sales growth rate for each product in the 'Sales Growth Rate' table. </t>
  </si>
  <si>
    <t xml:space="preserve">Lastly, enter the first year's COGS for each product in the 'Unit COGS' table. </t>
  </si>
  <si>
    <t>Enter the first year's sales data for each product in the 'Units Sold' table.</t>
  </si>
  <si>
    <t>4)</t>
  </si>
  <si>
    <t xml:space="preserve"> </t>
  </si>
  <si>
    <t>sort year 1</t>
  </si>
  <si>
    <t>sort year 2</t>
  </si>
  <si>
    <t>sort year 3</t>
  </si>
  <si>
    <t>(Please enter data into cells with the color of this cell. All cells that are white or grey are automated and do not need manual input. )</t>
  </si>
  <si>
    <t>5)</t>
  </si>
  <si>
    <t>For the second and third year projections, you'll need to enter the 'Unit Price', 'Projected Sales Growth Percentage', and 'Unit COGS' for each product</t>
  </si>
  <si>
    <t>Sample data has been entered to serve as example and can easily be changed</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</si>
  <si>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</si>
  <si>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</si>
  <si>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</si>
  <si>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</si>
  <si>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</si>
  <si>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</si>
  <si>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</si>
  <si>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</si>
  <si>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</si>
  <si>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</si>
  <si>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</si>
  <si>
    <t>All content is Copyright material of Simple Sheets LLC.</t>
  </si>
  <si>
    <t>http://www.simplesheets.co</t>
  </si>
  <si>
    <t>© 2020 Simple Sheets LLC</t>
  </si>
  <si>
    <t>All rights reserved.  The contents of this publication, including but not limited to all written material, content layout, images, formulas, and code, are protected under international copyright and trademark laws. </t>
  </si>
  <si>
    <t>No part of this publication may be modified, manipulated, reproduced, distributed, or transmitted without prior written permission of the publisher, except in the case of certain noncommercial uses permitted by copyright law.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</si>
</sst>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6" formatCode="&quot;$&quot;#,##0_);[Red]\(&quot;$&quot;#,##0\)"/>
    <numFmt numFmtId="8" formatCode="&quot;$&quot;#,##0.00_);[Red]\(&quot;$&quot;#,##0.00\)"/>
    <numFmt numFmtId="164" formatCode="[$-409]mmm\-yy;@"/>
    <numFmt numFmtId="165" formatCode="0.0%"/>
    <numFmt numFmtId="166" formatCode="0;\-0;;@"/>
    <numFmt numFmtId="167" formatCode="&quot;$&quot;#,##0"/>
  </numFmts>
  <fonts count="35" x14ac:knownFonts="1">
    <font>
      <sz val="11"/>
      <color theme="1"/>
      <name val="Tw Cen MT"/>
      <family val="2"/>
      <scheme val="minor"/>
    </font>
    <font>
      <u/>
      <sz val="11"/>
      <color theme="10"/>
      <name val="Tw Cen MT"/>
      <family val="2"/>
      <scheme val="minor"/>
    </font>
    <font>
      <b/>
      <sz val="10"/>
      <color theme="1"/>
      <name val="Arial"/>
      <family val="2"/>
    </font>
    <font>
      <sz val="10"/>
      <color theme="0"/>
      <name val="Arial"/>
      <family val="2"/>
    </font>
    <font>
      <sz val="10"/>
      <color theme="1"/>
      <name val="Arial"/>
      <family val="2"/>
    </font>
    <font>
      <b/>
      <sz val="10"/>
      <color theme="0"/>
      <name val="Arial"/>
      <family val="2"/>
    </font>
    <font>
      <u/>
      <sz val="10"/>
      <color theme="10"/>
      <name val="Arial"/>
      <family val="2"/>
    </font>
    <font>
      <b/>
      <i/>
      <sz val="10"/>
      <color theme="0"/>
      <name val="Arial"/>
      <family val="2"/>
    </font>
    <font>
      <sz val="11"/>
      <color theme="1"/>
      <name val="Arial"/>
      <family val="2"/>
    </font>
    <font>
      <sz val="9"/>
      <color theme="1"/>
      <name val="Arial"/>
      <family val="2"/>
    </font>
    <font>
      <sz val="8"/>
      <color theme="1"/>
      <name val="Arial"/>
      <family val="2"/>
    </font>
    <font>
      <sz val="12"/>
      <color theme="1"/>
      <name val="Arial"/>
      <family val="2"/>
    </font>
    <font>
      <sz val="14"/>
      <color theme="1"/>
      <name val="Arial"/>
      <family val="2"/>
    </font>
    <font>
      <sz val="8"/>
      <name val="Tw Cen MT"/>
      <family val="2"/>
      <scheme val="minor"/>
    </font>
    <font>
      <b/>
      <u/>
      <sz val="11"/>
      <color theme="0"/>
      <name val="Tw Cen MT"/>
      <family val="2"/>
      <scheme val="minor"/>
    </font>
    <font>
      <i/>
      <sz val="10"/>
      <color theme="1"/>
      <name val="Arial"/>
      <family val="2"/>
    </font>
    <font>
      <sz val="10"/>
      <color theme="9" tint="-0.249977111117893"/>
      <name val="Arial"/>
      <family val="2"/>
    </font>
    <font>
      <b/>
      <sz val="10"/>
      <color theme="3"/>
      <name val="Arial"/>
      <family val="2"/>
    </font>
    <font>
      <sz val="8"/>
      <name val="Arial"/>
      <family val="2"/>
    </font>
    <font>
      <b/>
      <sz val="12"/>
      <name val="Arial"/>
      <family val="2"/>
    </font>
    <font>
      <b/>
      <sz val="8"/>
      <name val="Arial"/>
      <family val="2"/>
    </font>
    <font>
      <b/>
      <sz val="8"/>
      <color theme="3"/>
      <name val="Arial"/>
      <family val="2"/>
    </font>
    <font>
      <b/>
      <sz val="8"/>
      <color theme="1"/>
      <name val="Arial"/>
      <family val="2"/>
    </font>
    <font>
      <i/>
      <sz val="8"/>
      <color theme="1"/>
      <name val="Arial"/>
      <family val="2"/>
    </font>
    <font>
      <b/>
      <sz val="11"/>
      <color theme="1"/>
      <name val="Arial"/>
      <family val="2"/>
    </font>
    <font>
      <b/>
      <sz val="12"/>
      <color theme="1"/>
      <name val="Arial"/>
      <family val="2"/>
    </font>
    <font>
      <u/>
      <sz val="11"/>
      <color rgb="FF3333FF"/>
      <name val="Arial"/>
      <family val="2"/>
    </font>
    <font>
      <sz val="10"/>
      <name val="Arial"/>
      <family val="2"/>
    </font>
    <font>
      <b/>
      <sz val="9"/>
      <name val="Arial"/>
      <family val="2"/>
    </font>
    <font>
      <b/>
      <u/>
      <sz val="14"/>
      <color theme="0"/>
      <name val="Tw Cen MT"/>
      <family val="2"/>
      <scheme val="minor"/>
    </font>
    <font>
      <sz val="14"/>
      <color theme="0"/>
      <name val="Arial"/>
      <family val="2"/>
    </font>
    <font>
      <b/>
      <sz val="14"/>
      <color theme="0"/>
      <name val="Arial"/>
      <family val="2"/>
    </font>
    <font>
      <b/>
      <u/>
      <sz val="11"/>
      <color theme="0"/>
      <name val="Arial"/>
      <family val="2"/>
    </font>
    <font>
      <b/>
      <u/>
      <sz val="10"/>
      <color theme="0"/>
      <name val="Arial"/>
      <family val="2"/>
    </font>
    <font>
      <i/>
      <sz val="10"/>
      <name val="Arial"/>
      <family val="2"/>
    </font>
  </fonts>
  <fills count="8">
    <fill>
      <patternFill patternType="none"/>
    </fill>
    <fill>
      <patternFill patternType="gray125"/>
    </fill>
    <fill>
      <patternFill patternType="solid">
        <fgColor rgb="FF8FCFAD"/>
        <bgColor indexed="64"/>
      </patternFill>
    </fill>
    <fill>
      <patternFill patternType="solid">
        <fgColor rgb="FF50B47F"/>
        <bgColor indexed="64"/>
      </patternFill>
    </fill>
    <fill>
      <patternFill patternType="solid">
        <fgColor rgb="FFFFEFEF"/>
        <bgColor indexed="64"/>
      </patternFill>
    </fill>
    <fill>
      <patternFill patternType="solid">
        <fgColor theme="0"/>
        <bgColor indexed="64"/>
      </patternFill>
    </fill>
    <fill>
      <patternFill patternType="solid">
        <fgColor theme="0" tint="-4.9989318521683403E-2"/>
        <bgColor indexed="64"/>
      </patternFill>
    </fill>
    <fill>
      <patternFill patternType="solid">
        <fgColor rgb="FFFFD5D5"/>
        <bgColor indexed="64"/>
      </patternFill>
    </fill>
  </fills>
  <borders count="6">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auto="1"/>
      </top>
      <bottom style="thin">
        <color auto="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s>
  <cellStyleXfs count="6">
    <xf numFmtId="0" fontId="0" fillId="0" borderId="0"/>
    <xf numFmtId="0" fontId="1" fillId="0" borderId="0" applyNumberFormat="0" applyFill="0" applyBorder="0" applyAlignment="0" applyProtection="0"/>
    <xf numFmtId="0" fontId="8" fillId="0" borderId="0"/>
    <xf numFmtId="9" fontId="8" fillId="0" borderId="0" applyFont="0" applyFill="0" applyBorder="0" applyAlignment="0" applyProtection="0"/>
    <xf numFmtId="0" fontId="26" fillId="0" borderId="0" applyNumberFormat="0" applyFill="0" applyBorder="0" applyAlignment="0" applyProtection="0"/>
    <xf numFmtId="0" fontId="4" fillId="0" borderId="0"/>
  </cellStyleXfs>
  <cellXfs count="160">
    <xf numFmtId="0" fontId="0" fillId="0" borderId="0" xfId="0"/>
    <xf numFmtId="0" fontId="2" fillId="0" borderId="0" xfId="0" applyFont="1"/>
    <xf numFmtId="0" fontId="4" fillId="0" borderId="0" xfId="0" applyFont="1"/>
    <xf numFmtId="0" fontId="4" fillId="0" borderId="0" xfId="0" applyFont="1" applyAlignment="1">
      <alignment horizontal="right"/>
    </xf>
    <xf numFmtId="0" fontId="3" fillId="3" borderId="0" xfId="0" applyFont="1" applyFill="1"/>
    <xf numFmtId="0" fontId="5" fillId="2" borderId="0" xfId="0" applyFont="1" applyFill="1" applyAlignment="1">
      <alignment horizontal="left" vertical="center"/>
    </xf>
    <xf numFmtId="0" fontId="6" fillId="0" borderId="0" xfId="1" applyFont="1"/>
    <xf numFmtId="0" fontId="4" fillId="0" borderId="0" xfId="0" applyFont="1" applyBorder="1"/>
    <xf numFmtId="0" fontId="4" fillId="0" borderId="0" xfId="0" applyFont="1" applyAlignment="1">
      <alignment wrapText="1"/>
    </xf>
    <xf numFmtId="0" fontId="2" fillId="0" borderId="0" xfId="0" quotePrefix="1" applyFont="1" applyAlignment="1">
      <alignment horizontal="right" vertical="top"/>
    </xf>
    <xf numFmtId="0" fontId="2" fillId="0" borderId="0" xfId="0" applyFont="1" applyAlignment="1">
      <alignment horizontal="right" vertical="top"/>
    </xf>
    <xf numFmtId="0" fontId="4" fillId="0" borderId="0" xfId="0" applyFont="1" applyAlignment="1">
      <alignment vertical="top"/>
    </xf>
    <xf numFmtId="0" fontId="4" fillId="0" borderId="0" xfId="0" quotePrefix="1" applyFont="1" applyAlignment="1">
      <alignment horizontal="right" vertical="top"/>
    </xf>
    <xf numFmtId="0" fontId="7" fillId="3" borderId="0" xfId="0" applyFont="1" applyFill="1" applyAlignment="1">
      <alignment horizontal="center" vertical="center"/>
    </xf>
    <xf numFmtId="0" fontId="4" fillId="0" borderId="0" xfId="0" applyFont="1" applyAlignment="1">
      <alignment horizontal="right" vertical="top"/>
    </xf>
    <xf numFmtId="0" fontId="3" fillId="3" borderId="0" xfId="0" applyFont="1" applyFill="1" applyAlignment="1">
      <alignment vertical="center"/>
    </xf>
    <xf numFmtId="0" fontId="2" fillId="0" borderId="0" xfId="0" applyFont="1" applyAlignment="1">
      <alignment vertical="top"/>
    </xf>
    <xf numFmtId="0" fontId="4" fillId="0" borderId="0" xfId="0" applyFont="1" applyAlignment="1">
      <alignment horizontal="center" vertical="center"/>
    </xf>
    <xf numFmtId="0" fontId="8" fillId="0" borderId="0" xfId="0" applyFont="1"/>
    <xf numFmtId="0" fontId="8" fillId="2" borderId="0" xfId="0" applyFont="1" applyFill="1"/>
    <xf numFmtId="0" fontId="8" fillId="0" borderId="0" xfId="0" applyFont="1" applyBorder="1"/>
    <xf numFmtId="0" fontId="11" fillId="0" borderId="0" xfId="0" applyFont="1" applyBorder="1"/>
    <xf numFmtId="0" fontId="4" fillId="0" borderId="0" xfId="0" applyFont="1" applyAlignment="1">
      <alignment horizontal="center"/>
    </xf>
    <xf numFmtId="0" fontId="8" fillId="0" borderId="1" xfId="0" applyFont="1" applyBorder="1"/>
    <xf numFmtId="0" fontId="8" fillId="0" borderId="1" xfId="0" applyFont="1" applyBorder="1" applyAlignment="1">
      <alignment horizontal="center"/>
    </xf>
    <xf numFmtId="0" fontId="8" fillId="2" borderId="0" xfId="0" applyFont="1" applyFill="1" applyAlignment="1"/>
    <xf numFmtId="0" fontId="4" fillId="0" borderId="0" xfId="2" applyFont="1"/>
    <xf numFmtId="0" fontId="16" fillId="0" borderId="0" xfId="2" applyFont="1"/>
    <xf numFmtId="0" fontId="4" fillId="0" borderId="0" xfId="2" applyFont="1" applyAlignment="1">
      <alignment vertical="center"/>
    </xf>
    <xf numFmtId="0" fontId="17" fillId="0" borderId="0" xfId="2" applyFont="1"/>
    <xf numFmtId="0" fontId="4" fillId="0" borderId="0" xfId="2" applyFont="1" applyAlignment="1">
      <alignment horizontal="center" vertical="center"/>
    </xf>
    <xf numFmtId="0" fontId="10" fillId="0" borderId="0" xfId="2" applyFont="1"/>
    <xf numFmtId="0" fontId="18" fillId="5" borderId="0" xfId="2" applyFont="1" applyFill="1"/>
    <xf numFmtId="0" fontId="19" fillId="5" borderId="0" xfId="2" applyFont="1" applyFill="1" applyAlignment="1">
      <alignment horizontal="right" vertical="center"/>
    </xf>
    <xf numFmtId="0" fontId="19" fillId="5" borderId="0" xfId="2" applyFont="1" applyFill="1" applyAlignment="1">
      <alignment vertical="center"/>
    </xf>
    <xf numFmtId="0" fontId="20" fillId="5" borderId="0" xfId="2" applyFont="1" applyFill="1" applyAlignment="1">
      <alignment vertical="center"/>
    </xf>
    <xf numFmtId="0" fontId="18" fillId="5" borderId="0" xfId="2" applyFont="1" applyFill="1" applyAlignment="1">
      <alignment horizontal="left"/>
    </xf>
    <xf numFmtId="0" fontId="20" fillId="5" borderId="0" xfId="2" applyFont="1" applyFill="1" applyAlignment="1">
      <alignment horizontal="left" vertical="center"/>
    </xf>
    <xf numFmtId="0" fontId="10" fillId="0" borderId="0" xfId="2" applyFont="1" applyAlignment="1">
      <alignment vertical="center"/>
    </xf>
    <xf numFmtId="0" fontId="21" fillId="0" borderId="0" xfId="2" applyFont="1" applyAlignment="1">
      <alignment vertical="center"/>
    </xf>
    <xf numFmtId="0" fontId="10" fillId="0" borderId="0" xfId="2" applyFont="1" applyAlignment="1">
      <alignment horizontal="center" vertical="center"/>
    </xf>
    <xf numFmtId="0" fontId="22" fillId="0" borderId="0" xfId="2" applyFont="1" applyAlignment="1">
      <alignment vertical="center"/>
    </xf>
    <xf numFmtId="0" fontId="22" fillId="0" borderId="0" xfId="2" applyFont="1" applyAlignment="1">
      <alignment horizontal="center" vertical="center"/>
    </xf>
    <xf numFmtId="0" fontId="23" fillId="0" borderId="0" xfId="2" applyFont="1" applyAlignment="1">
      <alignment vertical="center"/>
    </xf>
    <xf numFmtId="0" fontId="24" fillId="0" borderId="0" xfId="2" applyFont="1" applyAlignment="1">
      <alignment horizontal="center" vertical="center"/>
    </xf>
    <xf numFmtId="0" fontId="25" fillId="0" borderId="0" xfId="2" applyFont="1" applyAlignment="1">
      <alignment vertical="center"/>
    </xf>
    <xf numFmtId="0" fontId="8" fillId="0" borderId="0" xfId="2"/>
    <xf numFmtId="0" fontId="4" fillId="4" borderId="0" xfId="2" applyFont="1" applyFill="1" applyAlignment="1">
      <alignment vertical="center"/>
    </xf>
    <xf numFmtId="0" fontId="9" fillId="4" borderId="0" xfId="2" applyFont="1" applyFill="1" applyAlignment="1">
      <alignment vertical="center"/>
    </xf>
    <xf numFmtId="0" fontId="9" fillId="4" borderId="0" xfId="2" applyFont="1" applyFill="1" applyAlignment="1">
      <alignment horizontal="right" vertical="center"/>
    </xf>
    <xf numFmtId="0" fontId="26" fillId="4" borderId="0" xfId="4" applyFont="1" applyFill="1" applyAlignment="1">
      <alignment vertical="center"/>
    </xf>
    <xf numFmtId="0" fontId="22" fillId="0" borderId="0" xfId="2" applyFont="1" applyBorder="1" applyAlignment="1">
      <alignment vertical="center"/>
    </xf>
    <xf numFmtId="164" fontId="22" fillId="0" borderId="0" xfId="2" applyNumberFormat="1" applyFont="1" applyBorder="1" applyAlignment="1">
      <alignment horizontal="center" vertical="center"/>
    </xf>
    <xf numFmtId="0" fontId="22" fillId="0" borderId="0" xfId="2" applyFont="1" applyBorder="1" applyAlignment="1">
      <alignment horizontal="center" vertical="center"/>
    </xf>
    <xf numFmtId="1" fontId="10" fillId="5" borderId="1" xfId="2" applyNumberFormat="1" applyFont="1" applyFill="1" applyBorder="1" applyAlignment="1" applyProtection="1">
      <alignment horizontal="center" vertical="center"/>
      <protection locked="0"/>
    </xf>
    <xf numFmtId="1" fontId="10" fillId="2" borderId="1" xfId="2" applyNumberFormat="1" applyFont="1" applyFill="1" applyBorder="1" applyAlignment="1">
      <alignment horizontal="center" vertical="center"/>
    </xf>
    <xf numFmtId="8" fontId="10" fillId="0" borderId="1" xfId="2" applyNumberFormat="1" applyFont="1" applyBorder="1" applyAlignment="1" applyProtection="1">
      <alignment horizontal="center" vertical="center"/>
      <protection locked="0"/>
    </xf>
    <xf numFmtId="8" fontId="10" fillId="2" borderId="1" xfId="2" applyNumberFormat="1" applyFont="1" applyFill="1" applyBorder="1" applyAlignment="1">
      <alignment horizontal="center" vertical="center"/>
    </xf>
    <xf numFmtId="9" fontId="10" fillId="2" borderId="1" xfId="2" applyNumberFormat="1" applyFont="1" applyFill="1" applyBorder="1" applyAlignment="1">
      <alignment horizontal="center" vertical="center"/>
    </xf>
    <xf numFmtId="6" fontId="22" fillId="2" borderId="1" xfId="2" applyNumberFormat="1" applyFont="1" applyFill="1" applyBorder="1" applyAlignment="1">
      <alignment horizontal="center" vertical="center"/>
    </xf>
    <xf numFmtId="1" fontId="10" fillId="5" borderId="3" xfId="2" applyNumberFormat="1" applyFont="1" applyFill="1" applyBorder="1" applyAlignment="1" applyProtection="1">
      <alignment horizontal="center" vertical="center"/>
      <protection locked="0"/>
    </xf>
    <xf numFmtId="1" fontId="10" fillId="2" borderId="3" xfId="2" applyNumberFormat="1" applyFont="1" applyFill="1" applyBorder="1" applyAlignment="1">
      <alignment horizontal="center" vertical="center"/>
    </xf>
    <xf numFmtId="0" fontId="22" fillId="2" borderId="2" xfId="2" applyFont="1" applyFill="1" applyBorder="1" applyAlignment="1">
      <alignment vertical="center"/>
    </xf>
    <xf numFmtId="6" fontId="22" fillId="2" borderId="2" xfId="2" applyNumberFormat="1" applyFont="1" applyFill="1" applyBorder="1" applyAlignment="1">
      <alignment horizontal="center" vertical="center"/>
    </xf>
    <xf numFmtId="0" fontId="10" fillId="0" borderId="0" xfId="2" applyFont="1" applyBorder="1" applyAlignment="1">
      <alignment horizontal="center" vertical="center"/>
    </xf>
    <xf numFmtId="0" fontId="10" fillId="6" borderId="1" xfId="2" applyFont="1" applyFill="1" applyBorder="1" applyAlignment="1">
      <alignment vertical="center"/>
    </xf>
    <xf numFmtId="6" fontId="10" fillId="6" borderId="1" xfId="2" applyNumberFormat="1" applyFont="1" applyFill="1" applyBorder="1" applyAlignment="1">
      <alignment horizontal="center" vertical="center"/>
    </xf>
    <xf numFmtId="8" fontId="10" fillId="6" borderId="1" xfId="2" applyNumberFormat="1" applyFont="1" applyFill="1" applyBorder="1" applyAlignment="1">
      <alignment horizontal="center" vertical="center"/>
    </xf>
    <xf numFmtId="9" fontId="10" fillId="6" borderId="1" xfId="2" applyNumberFormat="1" applyFont="1" applyFill="1" applyBorder="1" applyAlignment="1">
      <alignment horizontal="center" vertical="center"/>
    </xf>
    <xf numFmtId="9" fontId="10" fillId="6" borderId="1" xfId="3" applyFont="1" applyFill="1" applyBorder="1" applyAlignment="1">
      <alignment horizontal="center" vertical="center"/>
    </xf>
    <xf numFmtId="6" fontId="10" fillId="2" borderId="1" xfId="2" applyNumberFormat="1" applyFont="1" applyFill="1" applyBorder="1" applyAlignment="1">
      <alignment horizontal="center" vertical="center"/>
    </xf>
    <xf numFmtId="6" fontId="22" fillId="2" borderId="3" xfId="2" applyNumberFormat="1" applyFont="1" applyFill="1" applyBorder="1" applyAlignment="1">
      <alignment horizontal="center" vertical="center"/>
    </xf>
    <xf numFmtId="9" fontId="10" fillId="6" borderId="3" xfId="3" applyFont="1" applyFill="1" applyBorder="1" applyAlignment="1">
      <alignment horizontal="center" vertical="center"/>
    </xf>
    <xf numFmtId="8" fontId="10" fillId="5" borderId="1" xfId="2" applyNumberFormat="1" applyFont="1" applyFill="1" applyBorder="1" applyAlignment="1" applyProtection="1">
      <alignment horizontal="center" vertical="center"/>
      <protection locked="0"/>
    </xf>
    <xf numFmtId="9" fontId="10" fillId="5" borderId="1" xfId="2" applyNumberFormat="1" applyFont="1" applyFill="1" applyBorder="1" applyAlignment="1">
      <alignment horizontal="center" vertical="center"/>
    </xf>
    <xf numFmtId="6" fontId="10" fillId="5" borderId="1" xfId="2" applyNumberFormat="1" applyFont="1" applyFill="1" applyBorder="1" applyAlignment="1">
      <alignment horizontal="center" vertical="center"/>
    </xf>
    <xf numFmtId="6" fontId="10" fillId="5" borderId="3" xfId="2" applyNumberFormat="1" applyFont="1" applyFill="1" applyBorder="1" applyAlignment="1">
      <alignment horizontal="center" vertical="center"/>
    </xf>
    <xf numFmtId="8" fontId="10" fillId="5" borderId="1" xfId="2" applyNumberFormat="1" applyFont="1" applyFill="1" applyBorder="1" applyAlignment="1">
      <alignment horizontal="center" vertical="center"/>
    </xf>
    <xf numFmtId="0" fontId="27" fillId="4" borderId="0" xfId="2" applyFont="1" applyFill="1" applyAlignment="1">
      <alignment vertical="center"/>
    </xf>
    <xf numFmtId="0" fontId="28" fillId="4" borderId="0" xfId="2" applyFont="1" applyFill="1" applyBorder="1" applyAlignment="1">
      <alignment horizontal="right" vertical="center"/>
    </xf>
    <xf numFmtId="0" fontId="4" fillId="0" borderId="0" xfId="2" quotePrefix="1" applyFont="1" applyAlignment="1">
      <alignment horizontal="center"/>
    </xf>
    <xf numFmtId="0" fontId="4" fillId="0" borderId="0" xfId="2" applyFont="1" applyAlignment="1">
      <alignment horizontal="center"/>
    </xf>
    <xf numFmtId="0" fontId="10" fillId="6" borderId="1" xfId="2" applyFont="1" applyFill="1" applyBorder="1" applyAlignment="1">
      <alignment horizontal="left" vertical="center"/>
    </xf>
    <xf numFmtId="0" fontId="30" fillId="2" borderId="0" xfId="2" applyFont="1" applyFill="1" applyAlignment="1">
      <alignment vertical="center"/>
    </xf>
    <xf numFmtId="0" fontId="31" fillId="2" borderId="0" xfId="2" applyFont="1" applyFill="1" applyAlignment="1">
      <alignment vertical="center"/>
    </xf>
    <xf numFmtId="0" fontId="8" fillId="0" borderId="1" xfId="0" applyFont="1" applyBorder="1" applyAlignment="1">
      <alignment horizontal="center"/>
    </xf>
    <xf numFmtId="0" fontId="12" fillId="0" borderId="0" xfId="0" applyFont="1" applyAlignment="1"/>
    <xf numFmtId="0" fontId="3" fillId="0" borderId="0" xfId="0" applyFont="1" applyAlignment="1">
      <alignment horizontal="center"/>
    </xf>
    <xf numFmtId="0" fontId="8" fillId="0" borderId="0" xfId="0" applyFont="1" applyAlignment="1">
      <alignment horizontal="center"/>
    </xf>
    <xf numFmtId="0" fontId="8" fillId="0" borderId="1" xfId="0" applyFont="1" applyBorder="1" applyAlignment="1">
      <alignment horizontal="center"/>
    </xf>
    <xf numFmtId="10" fontId="10" fillId="2" borderId="1" xfId="2" applyNumberFormat="1" applyFont="1" applyFill="1" applyBorder="1" applyAlignment="1">
      <alignment horizontal="center" vertical="center"/>
    </xf>
    <xf numFmtId="166" fontId="10" fillId="5" borderId="1" xfId="2" applyNumberFormat="1" applyFont="1" applyFill="1" applyBorder="1" applyAlignment="1" applyProtection="1">
      <alignment horizontal="center" vertical="center"/>
      <protection locked="0"/>
    </xf>
    <xf numFmtId="0" fontId="29" fillId="2" borderId="0" xfId="1" applyFont="1" applyFill="1" applyAlignment="1"/>
    <xf numFmtId="0" fontId="14" fillId="2" borderId="0" xfId="1" applyFont="1" applyFill="1" applyAlignment="1"/>
    <xf numFmtId="0" fontId="4" fillId="0" borderId="0" xfId="0" applyFont="1" applyAlignment="1">
      <alignment horizontal="left" vertical="top" wrapText="1"/>
    </xf>
    <xf numFmtId="0" fontId="33" fillId="3" borderId="0" xfId="1" applyFont="1" applyFill="1" applyAlignment="1">
      <alignment vertical="center"/>
    </xf>
    <xf numFmtId="6" fontId="4" fillId="0" borderId="0" xfId="2" applyNumberFormat="1" applyFont="1"/>
    <xf numFmtId="0" fontId="32" fillId="0" borderId="0" xfId="1" applyFont="1" applyFill="1" applyAlignment="1">
      <alignment horizontal="center"/>
    </xf>
    <xf numFmtId="0" fontId="8" fillId="0" borderId="0" xfId="0" applyFont="1" applyFill="1"/>
    <xf numFmtId="0" fontId="4" fillId="0" borderId="0" xfId="2" applyFont="1" applyFill="1" applyAlignment="1">
      <alignment vertical="center"/>
    </xf>
    <xf numFmtId="0" fontId="24" fillId="0" borderId="0" xfId="2" applyFont="1" applyFill="1" applyAlignment="1">
      <alignment horizontal="center" vertical="center"/>
    </xf>
    <xf numFmtId="0" fontId="22" fillId="0" borderId="0" xfId="2" applyFont="1" applyFill="1" applyBorder="1" applyAlignment="1">
      <alignment horizontal="center" vertical="center"/>
    </xf>
    <xf numFmtId="1" fontId="10" fillId="0" borderId="0" xfId="2" applyNumberFormat="1" applyFont="1" applyFill="1" applyBorder="1" applyAlignment="1">
      <alignment horizontal="center" vertical="center"/>
    </xf>
    <xf numFmtId="0" fontId="10" fillId="0" borderId="0" xfId="2" applyFont="1" applyFill="1" applyAlignment="1">
      <alignment horizontal="center" vertical="center"/>
    </xf>
    <xf numFmtId="0" fontId="22" fillId="0" borderId="0" xfId="2" applyFont="1" applyFill="1" applyAlignment="1">
      <alignment horizontal="center" vertical="center"/>
    </xf>
    <xf numFmtId="8" fontId="10" fillId="0" borderId="0" xfId="2" applyNumberFormat="1" applyFont="1" applyFill="1" applyBorder="1" applyAlignment="1">
      <alignment horizontal="center" vertical="center"/>
    </xf>
    <xf numFmtId="10" fontId="10" fillId="0" borderId="0" xfId="2" applyNumberFormat="1" applyFont="1" applyFill="1" applyBorder="1" applyAlignment="1">
      <alignment horizontal="center" vertical="center"/>
    </xf>
    <xf numFmtId="6" fontId="10" fillId="0" borderId="0" xfId="2" applyNumberFormat="1" applyFont="1" applyFill="1" applyBorder="1" applyAlignment="1">
      <alignment horizontal="center" vertical="center"/>
    </xf>
    <xf numFmtId="6" fontId="22" fillId="0" borderId="0" xfId="2" applyNumberFormat="1" applyFont="1" applyFill="1" applyBorder="1" applyAlignment="1">
      <alignment horizontal="center" vertical="center"/>
    </xf>
    <xf numFmtId="0" fontId="18" fillId="0" borderId="0" xfId="2" applyFont="1" applyFill="1"/>
    <xf numFmtId="0" fontId="4" fillId="0" borderId="0" xfId="2" applyFont="1" applyFill="1"/>
    <xf numFmtId="0" fontId="4" fillId="0" borderId="0" xfId="2" applyFont="1" applyFill="1" applyAlignment="1">
      <alignment horizontal="center" vertical="center"/>
    </xf>
    <xf numFmtId="0" fontId="0" fillId="0" borderId="0" xfId="0" applyFill="1"/>
    <xf numFmtId="0" fontId="4" fillId="0" borderId="0" xfId="2" quotePrefix="1" applyFont="1" applyFill="1" applyAlignment="1">
      <alignment horizontal="center"/>
    </xf>
    <xf numFmtId="9" fontId="10" fillId="0" borderId="0" xfId="2" applyNumberFormat="1" applyFont="1" applyFill="1" applyBorder="1" applyAlignment="1">
      <alignment horizontal="center" vertical="center"/>
    </xf>
    <xf numFmtId="0" fontId="22" fillId="0" borderId="1" xfId="2" applyFont="1" applyBorder="1" applyAlignment="1">
      <alignment vertical="center"/>
    </xf>
    <xf numFmtId="164" fontId="22" fillId="0" borderId="1" xfId="2" applyNumberFormat="1" applyFont="1" applyBorder="1" applyAlignment="1">
      <alignment horizontal="center" vertical="center"/>
    </xf>
    <xf numFmtId="1" fontId="10" fillId="0" borderId="1" xfId="2" applyNumberFormat="1" applyFont="1" applyFill="1" applyBorder="1" applyAlignment="1">
      <alignment horizontal="center" vertical="center"/>
    </xf>
    <xf numFmtId="10" fontId="10" fillId="0" borderId="1" xfId="2" applyNumberFormat="1" applyFont="1" applyFill="1" applyBorder="1" applyAlignment="1">
      <alignment horizontal="center" vertical="center"/>
    </xf>
    <xf numFmtId="9" fontId="10" fillId="0" borderId="1" xfId="2" applyNumberFormat="1" applyFont="1" applyFill="1" applyBorder="1" applyAlignment="1">
      <alignment horizontal="center" vertical="center"/>
    </xf>
    <xf numFmtId="0" fontId="30" fillId="0" borderId="0" xfId="2" applyFont="1" applyFill="1" applyAlignment="1">
      <alignment vertical="center"/>
    </xf>
    <xf numFmtId="0" fontId="10" fillId="0" borderId="0" xfId="2" applyFont="1" applyFill="1" applyAlignment="1">
      <alignment vertical="center"/>
    </xf>
    <xf numFmtId="0" fontId="22" fillId="0" borderId="1" xfId="2" applyFont="1" applyBorder="1" applyAlignment="1">
      <alignment horizontal="center" vertical="center"/>
    </xf>
    <xf numFmtId="167" fontId="10" fillId="0" borderId="1" xfId="2" applyNumberFormat="1" applyFont="1" applyFill="1" applyBorder="1" applyAlignment="1">
      <alignment horizontal="center" vertical="center"/>
    </xf>
    <xf numFmtId="0" fontId="26" fillId="7" borderId="0" xfId="4" applyFont="1" applyFill="1" applyAlignment="1">
      <alignment vertical="center"/>
    </xf>
    <xf numFmtId="0" fontId="27" fillId="7" borderId="0" xfId="2" applyFont="1" applyFill="1" applyAlignment="1">
      <alignment horizontal="center" vertical="center"/>
    </xf>
    <xf numFmtId="0" fontId="28" fillId="7" borderId="0" xfId="2" applyFont="1" applyFill="1" applyBorder="1" applyAlignment="1">
      <alignment horizontal="right" vertical="center"/>
    </xf>
    <xf numFmtId="0" fontId="4" fillId="7" borderId="0" xfId="2" applyFont="1" applyFill="1" applyAlignment="1">
      <alignment vertical="center"/>
    </xf>
    <xf numFmtId="0" fontId="9" fillId="7" borderId="0" xfId="2" applyFont="1" applyFill="1" applyAlignment="1">
      <alignment vertical="center"/>
    </xf>
    <xf numFmtId="0" fontId="9" fillId="7" borderId="0" xfId="2" applyFont="1" applyFill="1" applyAlignment="1">
      <alignment horizontal="right" vertical="center"/>
    </xf>
    <xf numFmtId="1" fontId="10" fillId="4" borderId="1" xfId="2" applyNumberFormat="1" applyFont="1" applyFill="1" applyBorder="1" applyAlignment="1" applyProtection="1">
      <alignment horizontal="center" vertical="center"/>
      <protection locked="0"/>
    </xf>
    <xf numFmtId="8" fontId="10" fillId="4" borderId="1" xfId="2" applyNumberFormat="1" applyFont="1" applyFill="1" applyBorder="1" applyAlignment="1" applyProtection="1">
      <alignment horizontal="center" vertical="center"/>
      <protection locked="0"/>
    </xf>
    <xf numFmtId="9" fontId="10" fillId="4" borderId="1" xfId="2" applyNumberFormat="1" applyFont="1" applyFill="1" applyBorder="1" applyAlignment="1">
      <alignment horizontal="center" vertical="center"/>
    </xf>
    <xf numFmtId="165" fontId="10" fillId="4" borderId="1" xfId="2" applyNumberFormat="1" applyFont="1" applyFill="1" applyBorder="1" applyAlignment="1">
      <alignment horizontal="center" vertical="center"/>
    </xf>
    <xf numFmtId="0" fontId="4" fillId="0" borderId="0" xfId="0" applyFont="1" applyAlignment="1">
      <alignment horizontal="right" vertical="center"/>
    </xf>
    <xf numFmtId="0" fontId="10" fillId="4" borderId="1" xfId="2" applyFont="1" applyFill="1" applyBorder="1" applyAlignment="1">
      <alignment vertical="center"/>
    </xf>
    <xf numFmtId="0" fontId="4" fillId="0" borderId="0" xfId="0" applyFont="1" applyAlignment="1">
      <alignment horizontal="left"/>
    </xf>
    <xf numFmtId="0" fontId="4" fillId="0" borderId="0" xfId="0" applyFont="1" applyAlignment="1">
      <alignment horizontal="left" vertical="center" wrapText="1"/>
    </xf>
    <xf numFmtId="0" fontId="4" fillId="0" borderId="0" xfId="0" applyFont="1" applyAlignment="1">
      <alignment horizontal="left" wrapText="1"/>
    </xf>
    <xf numFmtId="0" fontId="34" fillId="4" borderId="0" xfId="0" applyFont="1" applyFill="1" applyAlignment="1">
      <alignment horizontal="center" vertical="center" wrapText="1"/>
    </xf>
    <xf numFmtId="0" fontId="4" fillId="0" borderId="0" xfId="0" applyFont="1" applyAlignment="1">
      <alignment horizontal="center" vertical="top"/>
    </xf>
    <xf numFmtId="0" fontId="15" fillId="0" borderId="0" xfId="0" applyFont="1" applyAlignment="1">
      <alignment horizontal="left" vertical="top"/>
    </xf>
    <xf numFmtId="0" fontId="2" fillId="0" borderId="0" xfId="0" applyFont="1" applyAlignment="1">
      <alignment horizontal="left" vertical="center" wrapText="1"/>
    </xf>
    <xf numFmtId="0" fontId="4" fillId="0" borderId="0" xfId="0" applyFont="1" applyAlignment="1">
      <alignment wrapText="1"/>
    </xf>
    <xf numFmtId="0" fontId="4" fillId="0" borderId="0" xfId="0" applyFont="1" applyAlignment="1">
      <alignment vertical="top" wrapText="1"/>
    </xf>
    <xf numFmtId="0" fontId="4" fillId="0" borderId="0" xfId="0" applyFont="1" applyAlignment="1">
      <alignment horizontal="left" vertical="top" wrapText="1"/>
    </xf>
    <xf numFmtId="0" fontId="4" fillId="0" borderId="0" xfId="2" applyFont="1" applyAlignment="1">
      <alignment horizontal="center"/>
    </xf>
    <xf numFmtId="0" fontId="32" fillId="2" borderId="0" xfId="1" applyFont="1" applyFill="1" applyAlignment="1">
      <alignment horizontal="center"/>
    </xf>
    <xf numFmtId="14" fontId="28" fillId="7" borderId="0" xfId="2" applyNumberFormat="1" applyFont="1" applyFill="1" applyBorder="1" applyAlignment="1" applyProtection="1">
      <alignment horizontal="center" vertical="center"/>
      <protection locked="0"/>
    </xf>
    <xf numFmtId="0" fontId="11" fillId="0" borderId="0" xfId="0" applyFont="1" applyAlignment="1">
      <alignment horizontal="center" vertical="center"/>
    </xf>
    <xf numFmtId="0" fontId="8" fillId="0" borderId="4" xfId="0" applyFont="1" applyBorder="1" applyAlignment="1">
      <alignment horizontal="center"/>
    </xf>
    <xf numFmtId="0" fontId="8" fillId="0" borderId="5" xfId="0" applyFont="1" applyBorder="1" applyAlignment="1">
      <alignment horizontal="center"/>
    </xf>
    <xf numFmtId="0" fontId="8" fillId="2" borderId="0" xfId="0" applyFont="1" applyFill="1" applyAlignment="1">
      <alignment horizontal="center"/>
    </xf>
    <xf numFmtId="0" fontId="12" fillId="0" borderId="0" xfId="0" applyFont="1" applyAlignment="1">
      <alignment horizontal="left"/>
    </xf>
    <xf numFmtId="0" fontId="4" fillId="0" borderId="0" xfId="0" applyFont="1" applyAlignment="1">
      <alignment horizontal="left"/>
    </xf>
    <xf numFmtId="0" fontId="29" fillId="2" borderId="0" xfId="1" applyFont="1" applyFill="1" applyAlignment="1">
      <alignment horizontal="center"/>
    </xf>
    <xf numFmtId="14" fontId="28" fillId="4" borderId="0" xfId="2" applyNumberFormat="1" applyFont="1" applyFill="1" applyBorder="1" applyAlignment="1" applyProtection="1">
      <alignment horizontal="center" vertical="center"/>
      <protection locked="0"/>
    </xf>
    <xf numFmtId="0" fontId="4" fillId="0" borderId="0" xfId="5"/>
    <xf numFmtId="0" fontId="2" fillId="0" borderId="0" xfId="0" applyFont="1" applyAlignment="1">
      <alignment horizontal="right"/>
    </xf>
    <xf numFmtId="0" fontId="1" fillId="0" borderId="0" xfId="1"/>
  </cellXfs>
  <cellStyles count="6">
    <cellStyle name="Hyperlink" xfId="1" builtinId="8"/>
    <cellStyle name="Hyperlink 2" xfId="4" xr:uid="{BDB8ACB1-F5D0-4871-809D-76B57EF5F1BC}"/>
    <cellStyle name="Normal" xfId="0" builtinId="0"/>
    <cellStyle name="Normal 2" xfId="2" xr:uid="{8283E390-7250-420C-973B-D1F5F0C93C6D}"/>
    <cellStyle name="Normal 2 2" xfId="5" xr:uid="{60001762-3D08-4FBC-8A1F-A8877CE40045}"/>
    <cellStyle name="Percent 2" xfId="3" xr:uid="{C5EA75C4-CBA6-4FB9-9A29-C3B8AE0859CE}"/>
  </cellStyles>
  <dxfs count="108">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ont>
        <b/>
        <color theme="1"/>
      </font>
    </dxf>
    <dxf>
      <font>
        <b/>
        <color theme="1"/>
      </font>
    </dxf>
    <dxf>
      <font>
        <b/>
        <color theme="1"/>
      </font>
      <border>
        <top style="double">
          <color theme="9"/>
        </top>
      </border>
    </dxf>
    <dxf>
      <font>
        <b/>
        <color theme="0"/>
      </font>
      <fill>
        <patternFill patternType="solid">
          <fgColor theme="9"/>
          <bgColor theme="9" tint="-0.24994659260841701"/>
        </patternFill>
      </fill>
    </dxf>
    <dxf>
      <font>
        <color theme="1"/>
      </font>
      <border>
        <left style="thin">
          <color theme="9" tint="0.39997558519241921"/>
        </left>
        <right style="thin">
          <color theme="9" tint="0.39997558519241921"/>
        </right>
        <top style="thin">
          <color theme="9" tint="0.39997558519241921"/>
        </top>
        <bottom style="thin">
          <color theme="9" tint="0.39997558519241921"/>
        </bottom>
        <vertical style="thin">
          <color theme="9" tint="0.39994506668294322"/>
        </vertical>
        <horizontal style="thin">
          <color theme="9" tint="0.399975585192419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vertical style="thin">
          <color theme="4" tint="0.39994506668294322"/>
        </vertical>
        <horizontal style="thin">
          <color theme="4" tint="0.39997558519241921"/>
        </horizontal>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i val="0"/>
        <color theme="0"/>
      </font>
      <fill>
        <patternFill>
          <bgColor theme="8"/>
        </patternFill>
      </fill>
      <border>
        <bottom style="medium">
          <color theme="8"/>
        </bottom>
      </border>
    </dxf>
    <dxf>
      <font>
        <color theme="1"/>
      </font>
      <border>
        <left style="thin">
          <color theme="8"/>
        </left>
        <right style="thin">
          <color theme="8"/>
        </right>
        <top style="thin">
          <color theme="8"/>
        </top>
        <bottom style="thin">
          <color theme="8"/>
        </bottom>
        <vertical style="thin">
          <color theme="8"/>
        </vertical>
        <horizontal style="thin">
          <color theme="8"/>
        </horizontal>
      </border>
    </dxf>
    <dxf>
      <border>
        <left style="thin">
          <color theme="8"/>
        </left>
      </border>
    </dxf>
    <dxf>
      <border>
        <left style="thin">
          <color theme="8"/>
        </left>
      </border>
    </dxf>
    <dxf>
      <border>
        <top style="thin">
          <color theme="8"/>
        </top>
      </border>
    </dxf>
    <dxf>
      <border>
        <top style="thin">
          <color theme="8"/>
        </top>
      </border>
    </dxf>
    <dxf>
      <font>
        <b/>
        <color theme="1"/>
      </font>
    </dxf>
    <dxf>
      <font>
        <b/>
        <color theme="1"/>
      </font>
    </dxf>
    <dxf>
      <font>
        <b/>
        <color theme="1"/>
      </font>
      <border>
        <top style="double">
          <color theme="8"/>
        </top>
      </border>
    </dxf>
    <dxf>
      <font>
        <b/>
        <color theme="0"/>
      </font>
      <fill>
        <patternFill patternType="solid">
          <fgColor theme="8"/>
          <bgColor theme="8"/>
        </patternFill>
      </fill>
    </dxf>
    <dxf>
      <font>
        <color theme="1"/>
      </font>
      <border>
        <left style="thin">
          <color theme="8"/>
        </left>
        <right style="thin">
          <color theme="8"/>
        </right>
        <top style="thin">
          <color theme="8"/>
        </top>
        <bottom style="thin">
          <color theme="8"/>
        </bottom>
        <vertical style="thin">
          <color theme="8"/>
        </vertical>
      </border>
    </dxf>
    <dxf>
      <fill>
        <patternFill>
          <bgColor theme="3" tint="0.5999633777886288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color auto="1"/>
      </font>
      <fill>
        <patternFill>
          <bgColor rgb="FF8FCFAD"/>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7" defaultTableStyle="Table Style 1" defaultPivotStyle="PivotStyleLight16">
    <tableStyle name="Invisible" pivot="0" table="0" count="0" xr9:uid="{458C438A-D841-428F-9ECA-A8700FE688EE}"/>
    <tableStyle name="Table Style 1" pivot="0" count="3" xr9:uid="{5AAE94EE-150C-4152-921F-DE85E220638E}">
      <tableStyleElement type="wholeTable" dxfId="107"/>
      <tableStyleElement type="headerRow" dxfId="106"/>
      <tableStyleElement type="firstRowStripe" dxfId="105"/>
    </tableStyle>
    <tableStyle name="Table Style 2" pivot="0" count="1" xr9:uid="{11647E38-90CD-4192-A57D-C8540A76FD7C}">
      <tableStyleElement type="secondRowStripe" dxfId="104"/>
    </tableStyle>
    <tableStyle name="TableStyleLight13 2" pivot="0" count="9" xr9:uid="{7E74FE09-7DF2-4621-914C-F0AAEA43D7F7}">
      <tableStyleElement type="wholeTable" dxfId="103"/>
      <tableStyleElement type="headerRow" dxfId="102"/>
      <tableStyleElement type="totalRow" dxfId="101"/>
      <tableStyleElement type="firstColumn" dxfId="100"/>
      <tableStyleElement type="lastColumn" dxfId="99"/>
      <tableStyleElement type="firstRowStripe" dxfId="98"/>
      <tableStyleElement type="secondRowStripe" dxfId="97"/>
      <tableStyleElement type="firstColumnStripe" dxfId="96"/>
      <tableStyleElement type="secondColumnStripe" dxfId="95"/>
    </tableStyle>
    <tableStyle name="TableStyleLight20 2" pivot="0" count="7" xr9:uid="{EB32E5AB-7E3C-4F62-83D3-45465957DF28}">
      <tableStyleElement type="wholeTable" dxfId="94"/>
      <tableStyleElement type="headerRow" dxfId="93"/>
      <tableStyleElement type="totalRow" dxfId="92"/>
      <tableStyleElement type="firstColumn" dxfId="91"/>
      <tableStyleElement type="lastColumn" dxfId="90"/>
      <tableStyleElement type="firstRowStripe" dxfId="89"/>
      <tableStyleElement type="firstColumnStripe" dxfId="88"/>
    </tableStyle>
    <tableStyle name="TableStyleMedium2 2" pivot="0" count="7" xr9:uid="{6C092B95-A62D-4DB6-A44A-786BF93E20DD}">
      <tableStyleElement type="wholeTable" dxfId="87"/>
      <tableStyleElement type="headerRow" dxfId="86"/>
      <tableStyleElement type="totalRow" dxfId="85"/>
      <tableStyleElement type="firstColumn" dxfId="84"/>
      <tableStyleElement type="lastColumn" dxfId="83"/>
      <tableStyleElement type="firstRowStripe" dxfId="82"/>
      <tableStyleElement type="firstColumnStripe" dxfId="81"/>
    </tableStyle>
    <tableStyle name="TableStyleMedium7 2" pivot="0" count="7" xr9:uid="{6F8806F5-6040-4B91-A46F-0E8D69DB2B40}">
      <tableStyleElement type="wholeTable" dxfId="80"/>
      <tableStyleElement type="headerRow" dxfId="79"/>
      <tableStyleElement type="totalRow" dxfId="78"/>
      <tableStyleElement type="firstColumn" dxfId="77"/>
      <tableStyleElement type="lastColumn" dxfId="76"/>
      <tableStyleElement type="firstRowStripe" dxfId="75"/>
      <tableStyleElement type="firstColumnStripe" dxfId="74"/>
    </tableStyle>
  </tableStyles>
  <colors>
    <mruColors>
      <color rgb="FFFFEFEF"/>
      <color rgb="FFE7F3FF"/>
      <color rgb="FFFFD5D5"/>
      <color rgb="FF8FCFAD"/>
      <color rgb="FF50B47F"/>
      <color rgb="FFFFC5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 1: Units Sold</a:t>
            </a:r>
          </a:p>
        </c:rich>
      </c:tx>
      <c:layout>
        <c:manualLayout>
          <c:xMode val="edge"/>
          <c:yMode val="edge"/>
          <c:x val="0.3207909011373578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65025371828522"/>
          <c:y val="0.12104229693963091"/>
          <c:w val="0.84323863517060371"/>
          <c:h val="0.57142070978322801"/>
        </c:manualLayout>
      </c:layout>
      <c:barChart>
        <c:barDir val="col"/>
        <c:grouping val="clustered"/>
        <c:varyColors val="0"/>
        <c:ser>
          <c:idx val="0"/>
          <c:order val="0"/>
          <c:tx>
            <c:strRef>
              <c:f>'Sales Forecast'!$AB$7</c:f>
              <c:strCache>
                <c:ptCount val="1"/>
                <c:pt idx="0">
                  <c:v>Product 2</c:v>
                </c:pt>
              </c:strCache>
            </c:strRef>
          </c:tx>
          <c:spPr>
            <a:solidFill>
              <a:schemeClr val="accent6">
                <a:tint val="65000"/>
              </a:schemeClr>
            </a:solidFill>
            <a:ln>
              <a:noFill/>
            </a:ln>
            <a:effectLst/>
          </c:spPr>
          <c:invertIfNegative val="0"/>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Forecast'!$AC$7:$AN$7</c:f>
              <c:numCache>
                <c:formatCode>0</c:formatCode>
                <c:ptCount val="12"/>
                <c:pt idx="0">
                  <c:v>1500</c:v>
                </c:pt>
                <c:pt idx="1">
                  <c:v>1000</c:v>
                </c:pt>
                <c:pt idx="2">
                  <c:v>1000</c:v>
                </c:pt>
                <c:pt idx="3">
                  <c:v>1250</c:v>
                </c:pt>
                <c:pt idx="4">
                  <c:v>1250</c:v>
                </c:pt>
                <c:pt idx="5">
                  <c:v>1500</c:v>
                </c:pt>
                <c:pt idx="6">
                  <c:v>1500</c:v>
                </c:pt>
                <c:pt idx="7">
                  <c:v>1750</c:v>
                </c:pt>
                <c:pt idx="8">
                  <c:v>2000</c:v>
                </c:pt>
                <c:pt idx="9">
                  <c:v>2500</c:v>
                </c:pt>
                <c:pt idx="10">
                  <c:v>3000</c:v>
                </c:pt>
                <c:pt idx="11">
                  <c:v>3000</c:v>
                </c:pt>
              </c:numCache>
            </c:numRef>
          </c:val>
          <c:extLst>
            <c:ext xmlns:c16="http://schemas.microsoft.com/office/drawing/2014/chart" uri="{C3380CC4-5D6E-409C-BE32-E72D297353CC}">
              <c16:uniqueId val="{00000000-3174-4BFF-A3E0-B7BF70190356}"/>
            </c:ext>
          </c:extLst>
        </c:ser>
        <c:ser>
          <c:idx val="1"/>
          <c:order val="1"/>
          <c:tx>
            <c:strRef>
              <c:f>'Sales Forecast'!$AB$8</c:f>
              <c:strCache>
                <c:ptCount val="1"/>
                <c:pt idx="0">
                  <c:v>Product 3</c:v>
                </c:pt>
              </c:strCache>
            </c:strRef>
          </c:tx>
          <c:spPr>
            <a:solidFill>
              <a:schemeClr val="accent6"/>
            </a:solidFill>
            <a:ln>
              <a:noFill/>
            </a:ln>
            <a:effectLst/>
          </c:spPr>
          <c:invertIfNegative val="0"/>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Forecast'!$AC$8:$AN$8</c:f>
              <c:numCache>
                <c:formatCode>0</c:formatCode>
                <c:ptCount val="12"/>
                <c:pt idx="0">
                  <c:v>150</c:v>
                </c:pt>
                <c:pt idx="1">
                  <c:v>200</c:v>
                </c:pt>
                <c:pt idx="2">
                  <c:v>250</c:v>
                </c:pt>
                <c:pt idx="3">
                  <c:v>300</c:v>
                </c:pt>
                <c:pt idx="4">
                  <c:v>350</c:v>
                </c:pt>
                <c:pt idx="5">
                  <c:v>400</c:v>
                </c:pt>
                <c:pt idx="6">
                  <c:v>400</c:v>
                </c:pt>
                <c:pt idx="7">
                  <c:v>350</c:v>
                </c:pt>
                <c:pt idx="8">
                  <c:v>350</c:v>
                </c:pt>
                <c:pt idx="9">
                  <c:v>300</c:v>
                </c:pt>
                <c:pt idx="10">
                  <c:v>300</c:v>
                </c:pt>
                <c:pt idx="11">
                  <c:v>300</c:v>
                </c:pt>
              </c:numCache>
            </c:numRef>
          </c:val>
          <c:extLst>
            <c:ext xmlns:c16="http://schemas.microsoft.com/office/drawing/2014/chart" uri="{C3380CC4-5D6E-409C-BE32-E72D297353CC}">
              <c16:uniqueId val="{00000001-3174-4BFF-A3E0-B7BF70190356}"/>
            </c:ext>
          </c:extLst>
        </c:ser>
        <c:ser>
          <c:idx val="2"/>
          <c:order val="2"/>
          <c:tx>
            <c:strRef>
              <c:f>'Sales Forecast'!$AB$9</c:f>
              <c:strCache>
                <c:ptCount val="1"/>
                <c:pt idx="0">
                  <c:v>Product 1</c:v>
                </c:pt>
              </c:strCache>
            </c:strRef>
          </c:tx>
          <c:spPr>
            <a:solidFill>
              <a:schemeClr val="accent6">
                <a:shade val="65000"/>
              </a:schemeClr>
            </a:solidFill>
            <a:ln>
              <a:noFill/>
            </a:ln>
            <a:effectLst/>
          </c:spPr>
          <c:invertIfNegative val="0"/>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Forecast'!$AC$9:$AN$9</c:f>
              <c:numCache>
                <c:formatCode>0</c:formatCode>
                <c:ptCount val="12"/>
                <c:pt idx="0">
                  <c:v>500</c:v>
                </c:pt>
                <c:pt idx="1">
                  <c:v>525</c:v>
                </c:pt>
                <c:pt idx="2">
                  <c:v>550</c:v>
                </c:pt>
                <c:pt idx="3">
                  <c:v>575</c:v>
                </c:pt>
                <c:pt idx="4">
                  <c:v>550</c:v>
                </c:pt>
                <c:pt idx="5">
                  <c:v>525</c:v>
                </c:pt>
                <c:pt idx="6">
                  <c:v>525</c:v>
                </c:pt>
                <c:pt idx="7">
                  <c:v>550</c:v>
                </c:pt>
                <c:pt idx="8">
                  <c:v>575</c:v>
                </c:pt>
                <c:pt idx="9">
                  <c:v>600</c:v>
                </c:pt>
                <c:pt idx="10">
                  <c:v>650</c:v>
                </c:pt>
                <c:pt idx="11">
                  <c:v>650</c:v>
                </c:pt>
              </c:numCache>
            </c:numRef>
          </c:val>
          <c:extLst>
            <c:ext xmlns:c16="http://schemas.microsoft.com/office/drawing/2014/chart" uri="{C3380CC4-5D6E-409C-BE32-E72D297353CC}">
              <c16:uniqueId val="{00000002-3174-4BFF-A3E0-B7BF70190356}"/>
            </c:ext>
          </c:extLst>
        </c:ser>
        <c:dLbls>
          <c:showLegendKey val="0"/>
          <c:showVal val="0"/>
          <c:showCatName val="0"/>
          <c:showSerName val="0"/>
          <c:showPercent val="0"/>
          <c:showBubbleSize val="0"/>
        </c:dLbls>
        <c:gapWidth val="219"/>
        <c:overlap val="-27"/>
        <c:axId val="200869760"/>
        <c:axId val="200871296"/>
      </c:barChart>
      <c:dateAx>
        <c:axId val="200869760"/>
        <c:scaling>
          <c:orientation val="minMax"/>
        </c:scaling>
        <c:delete val="0"/>
        <c:axPos val="b"/>
        <c:numFmt formatCode="[$-409]mmm\-yy;@" sourceLinked="1"/>
        <c:majorTickMark val="none"/>
        <c:minorTickMark val="none"/>
        <c:tickLblPos val="nextTo"/>
        <c:spPr>
          <a:noFill/>
          <a:ln w="9525" cap="flat" cmpd="sng" algn="ctr">
            <a:solidFill>
              <a:schemeClr val="tx1">
                <a:tint val="75000"/>
              </a:schemeClr>
            </a:solidFill>
            <a:prstDash val="solid"/>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871296"/>
        <c:crosses val="autoZero"/>
        <c:auto val="1"/>
        <c:lblOffset val="100"/>
        <c:baseTimeUnit val="months"/>
      </c:dateAx>
      <c:valAx>
        <c:axId val="200871296"/>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869760"/>
        <c:crosses val="autoZero"/>
        <c:crossBetween val="between"/>
      </c:valAx>
      <c:spPr>
        <a:noFill/>
        <a:ln>
          <a:noFill/>
        </a:ln>
        <a:effectLst/>
      </c:spPr>
    </c:plotArea>
    <c:legend>
      <c:legendPos val="b"/>
      <c:layout>
        <c:manualLayout>
          <c:xMode val="edge"/>
          <c:yMode val="edge"/>
          <c:x val="7.3334033245844267E-3"/>
          <c:y val="0.89832737395766271"/>
          <c:w val="0.97466652668416442"/>
          <c:h val="0.101672626042337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 1: Growth Rate</a:t>
            </a:r>
          </a:p>
        </c:rich>
      </c:tx>
      <c:layout>
        <c:manualLayout>
          <c:xMode val="edge"/>
          <c:yMode val="edge"/>
          <c:x val="0.3064553648830024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46109844795442"/>
          <c:y val="0.13309230161256577"/>
          <c:w val="0.84357319695057797"/>
          <c:h val="0.52698560593733146"/>
        </c:manualLayout>
      </c:layout>
      <c:lineChart>
        <c:grouping val="standard"/>
        <c:varyColors val="0"/>
        <c:ser>
          <c:idx val="0"/>
          <c:order val="0"/>
          <c:tx>
            <c:strRef>
              <c:f>'Sales Forecast'!$AB$61</c:f>
              <c:strCache>
                <c:ptCount val="1"/>
                <c:pt idx="0">
                  <c:v>Product 2</c:v>
                </c:pt>
              </c:strCache>
            </c:strRef>
          </c:tx>
          <c:spPr>
            <a:ln w="28575" cap="rnd" cmpd="sng" algn="ctr">
              <a:solidFill>
                <a:schemeClr val="accent6">
                  <a:tint val="65000"/>
                </a:schemeClr>
              </a:solidFill>
              <a:prstDash val="solid"/>
              <a:round/>
            </a:ln>
            <a:effectLst/>
          </c:spPr>
          <c:marker>
            <c:symbol val="none"/>
          </c:marker>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Forecast'!$AC$61:$AN$61</c:f>
              <c:numCache>
                <c:formatCode>0%</c:formatCode>
                <c:ptCount val="12"/>
                <c:pt idx="0">
                  <c:v>0</c:v>
                </c:pt>
                <c:pt idx="1">
                  <c:v>-0.33333333333333337</c:v>
                </c:pt>
                <c:pt idx="2">
                  <c:v>0</c:v>
                </c:pt>
                <c:pt idx="3">
                  <c:v>0.25</c:v>
                </c:pt>
                <c:pt idx="4">
                  <c:v>0</c:v>
                </c:pt>
                <c:pt idx="5">
                  <c:v>0.19999999999999996</c:v>
                </c:pt>
                <c:pt idx="6">
                  <c:v>0</c:v>
                </c:pt>
                <c:pt idx="7">
                  <c:v>0.16666666666666674</c:v>
                </c:pt>
                <c:pt idx="8">
                  <c:v>0.14285714285714279</c:v>
                </c:pt>
                <c:pt idx="9">
                  <c:v>0.25</c:v>
                </c:pt>
                <c:pt idx="10">
                  <c:v>0.19999999999999996</c:v>
                </c:pt>
                <c:pt idx="11">
                  <c:v>0</c:v>
                </c:pt>
              </c:numCache>
            </c:numRef>
          </c:val>
          <c:smooth val="0"/>
          <c:extLst>
            <c:ext xmlns:c16="http://schemas.microsoft.com/office/drawing/2014/chart" uri="{C3380CC4-5D6E-409C-BE32-E72D297353CC}">
              <c16:uniqueId val="{00000000-EB46-4886-8EC2-6409F7CA8234}"/>
            </c:ext>
          </c:extLst>
        </c:ser>
        <c:ser>
          <c:idx val="1"/>
          <c:order val="1"/>
          <c:tx>
            <c:strRef>
              <c:f>'Sales Forecast'!$AB$62</c:f>
              <c:strCache>
                <c:ptCount val="1"/>
                <c:pt idx="0">
                  <c:v>Product 3</c:v>
                </c:pt>
              </c:strCache>
            </c:strRef>
          </c:tx>
          <c:spPr>
            <a:ln w="28575" cap="rnd" cmpd="sng" algn="ctr">
              <a:solidFill>
                <a:schemeClr val="accent6"/>
              </a:solidFill>
              <a:prstDash val="solid"/>
              <a:round/>
            </a:ln>
            <a:effectLst/>
          </c:spPr>
          <c:marker>
            <c:symbol val="none"/>
          </c:marker>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Forecast'!$AC$62:$AN$62</c:f>
              <c:numCache>
                <c:formatCode>0%</c:formatCode>
                <c:ptCount val="12"/>
                <c:pt idx="0">
                  <c:v>0</c:v>
                </c:pt>
                <c:pt idx="1">
                  <c:v>0.33333333333333326</c:v>
                </c:pt>
                <c:pt idx="2">
                  <c:v>0.25</c:v>
                </c:pt>
                <c:pt idx="3">
                  <c:v>0.19999999999999996</c:v>
                </c:pt>
                <c:pt idx="4">
                  <c:v>0.16666666666666674</c:v>
                </c:pt>
                <c:pt idx="5">
                  <c:v>0.14285714285714279</c:v>
                </c:pt>
                <c:pt idx="6">
                  <c:v>0</c:v>
                </c:pt>
                <c:pt idx="7">
                  <c:v>-0.125</c:v>
                </c:pt>
                <c:pt idx="8">
                  <c:v>0</c:v>
                </c:pt>
                <c:pt idx="9">
                  <c:v>-0.1428571428571429</c:v>
                </c:pt>
                <c:pt idx="10">
                  <c:v>0</c:v>
                </c:pt>
                <c:pt idx="11">
                  <c:v>0</c:v>
                </c:pt>
              </c:numCache>
            </c:numRef>
          </c:val>
          <c:smooth val="0"/>
          <c:extLst>
            <c:ext xmlns:c16="http://schemas.microsoft.com/office/drawing/2014/chart" uri="{C3380CC4-5D6E-409C-BE32-E72D297353CC}">
              <c16:uniqueId val="{00000001-A034-45A3-9605-7E261CF63B92}"/>
            </c:ext>
          </c:extLst>
        </c:ser>
        <c:ser>
          <c:idx val="2"/>
          <c:order val="2"/>
          <c:tx>
            <c:strRef>
              <c:f>'Sales Forecast'!$AB$63</c:f>
              <c:strCache>
                <c:ptCount val="1"/>
                <c:pt idx="0">
                  <c:v>Product 1</c:v>
                </c:pt>
              </c:strCache>
            </c:strRef>
          </c:tx>
          <c:spPr>
            <a:ln w="28575" cap="rnd" cmpd="sng" algn="ctr">
              <a:solidFill>
                <a:schemeClr val="accent6">
                  <a:shade val="65000"/>
                </a:schemeClr>
              </a:solidFill>
              <a:prstDash val="solid"/>
              <a:round/>
            </a:ln>
            <a:effectLst/>
          </c:spPr>
          <c:marker>
            <c:symbol val="none"/>
          </c:marker>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Forecast'!$AC$63:$AN$63</c:f>
              <c:numCache>
                <c:formatCode>0%</c:formatCode>
                <c:ptCount val="12"/>
                <c:pt idx="0">
                  <c:v>0</c:v>
                </c:pt>
                <c:pt idx="1">
                  <c:v>5.0000000000000044E-2</c:v>
                </c:pt>
                <c:pt idx="2">
                  <c:v>4.7619047619047672E-2</c:v>
                </c:pt>
                <c:pt idx="3">
                  <c:v>4.5454545454545414E-2</c:v>
                </c:pt>
                <c:pt idx="4">
                  <c:v>-4.3478260869565188E-2</c:v>
                </c:pt>
                <c:pt idx="5">
                  <c:v>-4.5454545454545414E-2</c:v>
                </c:pt>
                <c:pt idx="6">
                  <c:v>0</c:v>
                </c:pt>
                <c:pt idx="7">
                  <c:v>4.7619047619047672E-2</c:v>
                </c:pt>
                <c:pt idx="8">
                  <c:v>4.5454545454545414E-2</c:v>
                </c:pt>
                <c:pt idx="9">
                  <c:v>4.3478260869565188E-2</c:v>
                </c:pt>
                <c:pt idx="10">
                  <c:v>8.3333333333333259E-2</c:v>
                </c:pt>
                <c:pt idx="11">
                  <c:v>0</c:v>
                </c:pt>
              </c:numCache>
            </c:numRef>
          </c:val>
          <c:smooth val="0"/>
          <c:extLst>
            <c:ext xmlns:c16="http://schemas.microsoft.com/office/drawing/2014/chart" uri="{C3380CC4-5D6E-409C-BE32-E72D297353CC}">
              <c16:uniqueId val="{00000002-A034-45A3-9605-7E261CF63B92}"/>
            </c:ext>
          </c:extLst>
        </c:ser>
        <c:dLbls>
          <c:showLegendKey val="0"/>
          <c:showVal val="0"/>
          <c:showCatName val="0"/>
          <c:showSerName val="0"/>
          <c:showPercent val="0"/>
          <c:showBubbleSize val="0"/>
        </c:dLbls>
        <c:smooth val="0"/>
        <c:axId val="200922240"/>
        <c:axId val="200923776"/>
      </c:lineChart>
      <c:dateAx>
        <c:axId val="200922240"/>
        <c:scaling>
          <c:orientation val="minMax"/>
        </c:scaling>
        <c:delete val="0"/>
        <c:axPos val="b"/>
        <c:numFmt formatCode="[$-409]mmm\-yy;@" sourceLinked="1"/>
        <c:majorTickMark val="none"/>
        <c:minorTickMark val="none"/>
        <c:tickLblPos val="low"/>
        <c:spPr>
          <a:noFill/>
          <a:ln w="9525" cap="flat" cmpd="sng" algn="ctr">
            <a:solidFill>
              <a:schemeClr val="tx1">
                <a:tint val="75000"/>
              </a:schemeClr>
            </a:solidFill>
            <a:prstDash val="solid"/>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23776"/>
        <c:crosses val="autoZero"/>
        <c:auto val="1"/>
        <c:lblOffset val="100"/>
        <c:baseTimeUnit val="months"/>
      </c:dateAx>
      <c:valAx>
        <c:axId val="200923776"/>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22240"/>
        <c:crosses val="autoZero"/>
        <c:crossBetween val="between"/>
      </c:valAx>
      <c:spPr>
        <a:noFill/>
        <a:ln>
          <a:noFill/>
        </a:ln>
        <a:effectLst/>
      </c:spPr>
    </c:plotArea>
    <c:legend>
      <c:legendPos val="b"/>
      <c:layout>
        <c:manualLayout>
          <c:xMode val="edge"/>
          <c:yMode val="edge"/>
          <c:x val="5.1165847187496167E-3"/>
          <c:y val="0.89606728646703815"/>
          <c:w val="0.73422442438921387"/>
          <c:h val="9.216120249768575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a:t>
            </a:r>
            <a:r>
              <a:rPr lang="en-US" baseline="0"/>
              <a:t> 1: Gross Profit</a:t>
            </a:r>
            <a:endParaRPr lang="en-US"/>
          </a:p>
        </c:rich>
      </c:tx>
      <c:layout>
        <c:manualLayout>
          <c:xMode val="edge"/>
          <c:yMode val="edge"/>
          <c:x val="0.3080620122484689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529497812773403"/>
          <c:y val="0.13849149526213181"/>
          <c:w val="0.79559391076115482"/>
          <c:h val="0.53763233160543455"/>
        </c:manualLayout>
      </c:layout>
      <c:lineChart>
        <c:grouping val="standard"/>
        <c:varyColors val="0"/>
        <c:ser>
          <c:idx val="0"/>
          <c:order val="0"/>
          <c:tx>
            <c:strRef>
              <c:f>'Sales Forecast'!$AB$170</c:f>
              <c:strCache>
                <c:ptCount val="1"/>
                <c:pt idx="0">
                  <c:v>Product 2</c:v>
                </c:pt>
              </c:strCache>
            </c:strRef>
          </c:tx>
          <c:spPr>
            <a:ln w="28575" cap="rnd" cmpd="sng" algn="ctr">
              <a:solidFill>
                <a:schemeClr val="accent6">
                  <a:tint val="65000"/>
                </a:schemeClr>
              </a:solidFill>
              <a:prstDash val="solid"/>
              <a:round/>
            </a:ln>
            <a:effectLst/>
          </c:spPr>
          <c:marker>
            <c:symbol val="none"/>
          </c:marker>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Forecast'!$AC$170:$AN$170</c:f>
              <c:numCache>
                <c:formatCode>0</c:formatCode>
                <c:ptCount val="12"/>
                <c:pt idx="0">
                  <c:v>17835</c:v>
                </c:pt>
                <c:pt idx="1">
                  <c:v>11890</c:v>
                </c:pt>
                <c:pt idx="2">
                  <c:v>11890</c:v>
                </c:pt>
                <c:pt idx="3">
                  <c:v>14862.5</c:v>
                </c:pt>
                <c:pt idx="4">
                  <c:v>14862.5</c:v>
                </c:pt>
                <c:pt idx="5">
                  <c:v>17835</c:v>
                </c:pt>
                <c:pt idx="6">
                  <c:v>17835</c:v>
                </c:pt>
                <c:pt idx="7">
                  <c:v>20807.5</c:v>
                </c:pt>
                <c:pt idx="8">
                  <c:v>23780</c:v>
                </c:pt>
                <c:pt idx="9">
                  <c:v>29725</c:v>
                </c:pt>
                <c:pt idx="10">
                  <c:v>35670</c:v>
                </c:pt>
                <c:pt idx="11">
                  <c:v>35670</c:v>
                </c:pt>
              </c:numCache>
            </c:numRef>
          </c:val>
          <c:smooth val="0"/>
          <c:extLst>
            <c:ext xmlns:c16="http://schemas.microsoft.com/office/drawing/2014/chart" uri="{C3380CC4-5D6E-409C-BE32-E72D297353CC}">
              <c16:uniqueId val="{00000000-085E-43B1-B3CD-8AB95E3EBF7B}"/>
            </c:ext>
          </c:extLst>
        </c:ser>
        <c:ser>
          <c:idx val="1"/>
          <c:order val="1"/>
          <c:tx>
            <c:strRef>
              <c:f>'Sales Forecast'!$AB$171</c:f>
              <c:strCache>
                <c:ptCount val="1"/>
                <c:pt idx="0">
                  <c:v>Product 3</c:v>
                </c:pt>
              </c:strCache>
            </c:strRef>
          </c:tx>
          <c:spPr>
            <a:ln w="28575" cap="rnd" cmpd="sng" algn="ctr">
              <a:solidFill>
                <a:schemeClr val="accent6"/>
              </a:solidFill>
              <a:prstDash val="solid"/>
              <a:round/>
            </a:ln>
            <a:effectLst/>
          </c:spPr>
          <c:marker>
            <c:symbol val="none"/>
          </c:marker>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Forecast'!$AC$171:$AN$171</c:f>
              <c:numCache>
                <c:formatCode>0</c:formatCode>
                <c:ptCount val="12"/>
                <c:pt idx="0">
                  <c:v>7266.0000000000009</c:v>
                </c:pt>
                <c:pt idx="1">
                  <c:v>9688.0000000000018</c:v>
                </c:pt>
                <c:pt idx="2">
                  <c:v>12110.000000000002</c:v>
                </c:pt>
                <c:pt idx="3">
                  <c:v>14532.000000000002</c:v>
                </c:pt>
                <c:pt idx="4">
                  <c:v>16954</c:v>
                </c:pt>
                <c:pt idx="5">
                  <c:v>19376.000000000004</c:v>
                </c:pt>
                <c:pt idx="6">
                  <c:v>19376.000000000004</c:v>
                </c:pt>
                <c:pt idx="7">
                  <c:v>16954</c:v>
                </c:pt>
                <c:pt idx="8">
                  <c:v>16954</c:v>
                </c:pt>
                <c:pt idx="9">
                  <c:v>14532.000000000002</c:v>
                </c:pt>
                <c:pt idx="10">
                  <c:v>14532.000000000002</c:v>
                </c:pt>
                <c:pt idx="11">
                  <c:v>14532.000000000002</c:v>
                </c:pt>
              </c:numCache>
            </c:numRef>
          </c:val>
          <c:smooth val="0"/>
          <c:extLst>
            <c:ext xmlns:c16="http://schemas.microsoft.com/office/drawing/2014/chart" uri="{C3380CC4-5D6E-409C-BE32-E72D297353CC}">
              <c16:uniqueId val="{00000001-1CF7-4F41-85D1-4ADF1D314B43}"/>
            </c:ext>
          </c:extLst>
        </c:ser>
        <c:ser>
          <c:idx val="2"/>
          <c:order val="2"/>
          <c:tx>
            <c:strRef>
              <c:f>'Sales Forecast'!$AB$172</c:f>
              <c:strCache>
                <c:ptCount val="1"/>
                <c:pt idx="0">
                  <c:v>Product 1</c:v>
                </c:pt>
              </c:strCache>
            </c:strRef>
          </c:tx>
          <c:spPr>
            <a:ln w="28575" cap="rnd" cmpd="sng" algn="ctr">
              <a:solidFill>
                <a:schemeClr val="accent6">
                  <a:shade val="65000"/>
                </a:schemeClr>
              </a:solidFill>
              <a:prstDash val="solid"/>
              <a:round/>
            </a:ln>
            <a:effectLst/>
          </c:spPr>
          <c:marker>
            <c:symbol val="none"/>
          </c:marker>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Forecast'!$AC$172:$AN$172</c:f>
              <c:numCache>
                <c:formatCode>0</c:formatCode>
                <c:ptCount val="12"/>
                <c:pt idx="0">
                  <c:v>7744.9999999999991</c:v>
                </c:pt>
                <c:pt idx="1">
                  <c:v>8132.2499999999991</c:v>
                </c:pt>
                <c:pt idx="2">
                  <c:v>8519.5</c:v>
                </c:pt>
                <c:pt idx="3">
                  <c:v>8906.75</c:v>
                </c:pt>
                <c:pt idx="4">
                  <c:v>8519.5</c:v>
                </c:pt>
                <c:pt idx="5">
                  <c:v>8132.2499999999991</c:v>
                </c:pt>
                <c:pt idx="6">
                  <c:v>8132.2499999999991</c:v>
                </c:pt>
                <c:pt idx="7">
                  <c:v>8519.5</c:v>
                </c:pt>
                <c:pt idx="8">
                  <c:v>8906.75</c:v>
                </c:pt>
                <c:pt idx="9">
                  <c:v>9593.9999999999982</c:v>
                </c:pt>
                <c:pt idx="10">
                  <c:v>10393.499999999998</c:v>
                </c:pt>
                <c:pt idx="11">
                  <c:v>10393.499999999998</c:v>
                </c:pt>
              </c:numCache>
            </c:numRef>
          </c:val>
          <c:smooth val="0"/>
          <c:extLst>
            <c:ext xmlns:c16="http://schemas.microsoft.com/office/drawing/2014/chart" uri="{C3380CC4-5D6E-409C-BE32-E72D297353CC}">
              <c16:uniqueId val="{00000002-1CF7-4F41-85D1-4ADF1D314B43}"/>
            </c:ext>
          </c:extLst>
        </c:ser>
        <c:dLbls>
          <c:showLegendKey val="0"/>
          <c:showVal val="0"/>
          <c:showCatName val="0"/>
          <c:showSerName val="0"/>
          <c:showPercent val="0"/>
          <c:showBubbleSize val="0"/>
        </c:dLbls>
        <c:smooth val="0"/>
        <c:axId val="201351552"/>
        <c:axId val="201353088"/>
      </c:lineChart>
      <c:dateAx>
        <c:axId val="201351552"/>
        <c:scaling>
          <c:orientation val="minMax"/>
        </c:scaling>
        <c:delete val="0"/>
        <c:axPos val="b"/>
        <c:numFmt formatCode="[$-409]mmm\-yy;@"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53088"/>
        <c:crosses val="autoZero"/>
        <c:auto val="1"/>
        <c:lblOffset val="100"/>
        <c:baseTimeUnit val="months"/>
      </c:dateAx>
      <c:valAx>
        <c:axId val="20135308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51552"/>
        <c:crosses val="autoZero"/>
        <c:crossBetween val="between"/>
      </c:valAx>
      <c:spPr>
        <a:noFill/>
        <a:ln>
          <a:noFill/>
        </a:ln>
        <a:effectLst/>
      </c:spPr>
    </c:plotArea>
    <c:legend>
      <c:legendPos val="b"/>
      <c:layout>
        <c:manualLayout>
          <c:xMode val="edge"/>
          <c:yMode val="edge"/>
          <c:x val="1.038082239720035E-2"/>
          <c:y val="0.89653481993078321"/>
          <c:w val="0.69347599169003704"/>
          <c:h val="9.175728205373609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3-Year Growth Rate</a:t>
            </a:r>
          </a:p>
        </c:rich>
      </c:tx>
      <c:layout>
        <c:manualLayout>
          <c:xMode val="edge"/>
          <c:yMode val="edge"/>
          <c:x val="0.40990875205357363"/>
          <c:y val="3.985099688625877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092261752243648E-2"/>
          <c:y val="0.10556750298685785"/>
          <c:w val="0.92396835971424718"/>
          <c:h val="0.59314951222495038"/>
        </c:manualLayout>
      </c:layout>
      <c:lineChart>
        <c:grouping val="standard"/>
        <c:varyColors val="0"/>
        <c:ser>
          <c:idx val="0"/>
          <c:order val="0"/>
          <c:tx>
            <c:strRef>
              <c:f>'Sales Forecast'!$M$61</c:f>
              <c:strCache>
                <c:ptCount val="1"/>
                <c:pt idx="0">
                  <c:v>Product 1</c:v>
                </c:pt>
              </c:strCache>
            </c:strRef>
          </c:tx>
          <c:spPr>
            <a:ln w="28575" cap="rnd" cmpd="sng" algn="ctr">
              <a:solidFill>
                <a:schemeClr val="accent2">
                  <a:tint val="65000"/>
                </a:schemeClr>
              </a:solidFill>
              <a:prstDash val="solid"/>
              <a:round/>
            </a:ln>
            <a:effectLst/>
          </c:spPr>
          <c:marker>
            <c:symbol val="none"/>
          </c:marker>
          <c:cat>
            <c:numRef>
              <c:f>('Sales Forecast'!$N$6:$Y$6,'Sales Forecast'!$AQ$6:$BB$6,'Sales Forecast'!$BT$6:$CE$6)</c:f>
              <c:numCache>
                <c:formatCode>[$-409]mmm\-yy;@</c:formatCode>
                <c:ptCount val="36"/>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numCache>
            </c:numRef>
          </c:cat>
          <c:val>
            <c:numRef>
              <c:f>('Sales Forecast'!$N$61:$Y$61,'Sales Forecast'!$AQ$61:$BB$61,'Sales Forecast'!$BT$61:$CE$61)</c:f>
              <c:numCache>
                <c:formatCode>0%</c:formatCode>
                <c:ptCount val="36"/>
                <c:pt idx="0">
                  <c:v>0</c:v>
                </c:pt>
                <c:pt idx="1">
                  <c:v>5.0000000000000044E-2</c:v>
                </c:pt>
                <c:pt idx="2">
                  <c:v>4.7619047619047672E-2</c:v>
                </c:pt>
                <c:pt idx="3">
                  <c:v>4.5454545454545414E-2</c:v>
                </c:pt>
                <c:pt idx="4">
                  <c:v>-4.3478260869565188E-2</c:v>
                </c:pt>
                <c:pt idx="5">
                  <c:v>-4.5454545454545414E-2</c:v>
                </c:pt>
                <c:pt idx="6">
                  <c:v>0</c:v>
                </c:pt>
                <c:pt idx="7">
                  <c:v>4.7619047619047672E-2</c:v>
                </c:pt>
                <c:pt idx="8">
                  <c:v>4.5454545454545414E-2</c:v>
                </c:pt>
                <c:pt idx="9">
                  <c:v>4.3478260869565188E-2</c:v>
                </c:pt>
                <c:pt idx="10">
                  <c:v>8.3333333333333259E-2</c:v>
                </c:pt>
                <c:pt idx="11">
                  <c:v>0</c:v>
                </c:pt>
                <c:pt idx="12">
                  <c:v>-3.8461538461538436E-2</c:v>
                </c:pt>
                <c:pt idx="13" formatCode="0.0%">
                  <c:v>-4.0000000000000036E-2</c:v>
                </c:pt>
                <c:pt idx="14" formatCode="0.0%">
                  <c:v>-4.166666666666663E-2</c:v>
                </c:pt>
                <c:pt idx="15" formatCode="0.0%">
                  <c:v>-4.3478260869565188E-2</c:v>
                </c:pt>
                <c:pt idx="16" formatCode="0.0%">
                  <c:v>4.5454545454545414E-2</c:v>
                </c:pt>
                <c:pt idx="17" formatCode="0.0%">
                  <c:v>4.3478260869565188E-2</c:v>
                </c:pt>
                <c:pt idx="18" formatCode="0.0%">
                  <c:v>0</c:v>
                </c:pt>
                <c:pt idx="19" formatCode="0.0%">
                  <c:v>4.1666666666666741E-2</c:v>
                </c:pt>
                <c:pt idx="20" formatCode="0.0%">
                  <c:v>4.0000000000000036E-2</c:v>
                </c:pt>
                <c:pt idx="21" formatCode="0.0%">
                  <c:v>3.8461538461538547E-2</c:v>
                </c:pt>
                <c:pt idx="22" formatCode="0.0%">
                  <c:v>3.7037037037036979E-2</c:v>
                </c:pt>
                <c:pt idx="23" formatCode="0.0%">
                  <c:v>3.5714285714285809E-2</c:v>
                </c:pt>
                <c:pt idx="24">
                  <c:v>3.4482758620689724E-2</c:v>
                </c:pt>
                <c:pt idx="25" formatCode="0.0%">
                  <c:v>-6.6666666666666652E-2</c:v>
                </c:pt>
                <c:pt idx="26" formatCode="0.0%">
                  <c:v>-7.1428571428571397E-2</c:v>
                </c:pt>
                <c:pt idx="27" formatCode="0.0%">
                  <c:v>0</c:v>
                </c:pt>
                <c:pt idx="28" formatCode="0.0%">
                  <c:v>3.8461538461538547E-2</c:v>
                </c:pt>
                <c:pt idx="29" formatCode="0.0%">
                  <c:v>3.7037037037036979E-2</c:v>
                </c:pt>
                <c:pt idx="30" formatCode="0.0%">
                  <c:v>0</c:v>
                </c:pt>
                <c:pt idx="31" formatCode="0.0%">
                  <c:v>3.5714285714285809E-2</c:v>
                </c:pt>
                <c:pt idx="32" formatCode="0.0%">
                  <c:v>3.4482758620689724E-2</c:v>
                </c:pt>
                <c:pt idx="33" formatCode="0.0%">
                  <c:v>6.6666666666666652E-2</c:v>
                </c:pt>
                <c:pt idx="34" formatCode="0.0%">
                  <c:v>6.25E-2</c:v>
                </c:pt>
                <c:pt idx="35" formatCode="0.0%">
                  <c:v>5.8823529411764719E-2</c:v>
                </c:pt>
              </c:numCache>
              <c:extLst/>
            </c:numRef>
          </c:val>
          <c:smooth val="0"/>
          <c:extLst>
            <c:ext xmlns:c16="http://schemas.microsoft.com/office/drawing/2014/chart" uri="{C3380CC4-5D6E-409C-BE32-E72D297353CC}">
              <c16:uniqueId val="{00000000-3D4C-4721-8616-329869614370}"/>
            </c:ext>
          </c:extLst>
        </c:ser>
        <c:ser>
          <c:idx val="1"/>
          <c:order val="1"/>
          <c:tx>
            <c:strRef>
              <c:f>'Sales Forecast'!$M$62</c:f>
              <c:strCache>
                <c:ptCount val="1"/>
                <c:pt idx="0">
                  <c:v>Product 2</c:v>
                </c:pt>
              </c:strCache>
            </c:strRef>
          </c:tx>
          <c:spPr>
            <a:ln w="28575" cap="rnd" cmpd="sng" algn="ctr">
              <a:solidFill>
                <a:schemeClr val="accent2"/>
              </a:solidFill>
              <a:prstDash val="solid"/>
              <a:round/>
            </a:ln>
            <a:effectLst/>
          </c:spPr>
          <c:marker>
            <c:symbol val="none"/>
          </c:marker>
          <c:cat>
            <c:numRef>
              <c:f>('Sales Forecast'!$N$6:$Y$6,'Sales Forecast'!$AQ$6:$BB$6,'Sales Forecast'!$BT$6:$CE$6)</c:f>
              <c:numCache>
                <c:formatCode>[$-409]mmm\-yy;@</c:formatCode>
                <c:ptCount val="36"/>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numCache>
            </c:numRef>
          </c:cat>
          <c:val>
            <c:numRef>
              <c:f>('Sales Forecast'!$N$62:$Y$62,'Sales Forecast'!$AQ$62:$BB$62,'Sales Forecast'!$BT$62:$CE$62)</c:f>
              <c:numCache>
                <c:formatCode>0%</c:formatCode>
                <c:ptCount val="36"/>
                <c:pt idx="0">
                  <c:v>0</c:v>
                </c:pt>
                <c:pt idx="1">
                  <c:v>-0.33333333333333337</c:v>
                </c:pt>
                <c:pt idx="2">
                  <c:v>0</c:v>
                </c:pt>
                <c:pt idx="3">
                  <c:v>0.25</c:v>
                </c:pt>
                <c:pt idx="4">
                  <c:v>0</c:v>
                </c:pt>
                <c:pt idx="5">
                  <c:v>0.19999999999999996</c:v>
                </c:pt>
                <c:pt idx="6">
                  <c:v>0</c:v>
                </c:pt>
                <c:pt idx="7">
                  <c:v>0.16666666666666674</c:v>
                </c:pt>
                <c:pt idx="8">
                  <c:v>0.14285714285714279</c:v>
                </c:pt>
                <c:pt idx="9">
                  <c:v>0.25</c:v>
                </c:pt>
                <c:pt idx="10">
                  <c:v>0.19999999999999996</c:v>
                </c:pt>
                <c:pt idx="11">
                  <c:v>0</c:v>
                </c:pt>
                <c:pt idx="12">
                  <c:v>-0.33333333333333337</c:v>
                </c:pt>
                <c:pt idx="13" formatCode="0.0%">
                  <c:v>-0.25</c:v>
                </c:pt>
                <c:pt idx="14" formatCode="0.0%">
                  <c:v>0</c:v>
                </c:pt>
                <c:pt idx="15" formatCode="0.0%">
                  <c:v>0.16666666666666674</c:v>
                </c:pt>
                <c:pt idx="16" formatCode="0.0%">
                  <c:v>0</c:v>
                </c:pt>
                <c:pt idx="17" formatCode="0.0%">
                  <c:v>0.14285714285714279</c:v>
                </c:pt>
                <c:pt idx="18" formatCode="0.0%">
                  <c:v>0</c:v>
                </c:pt>
                <c:pt idx="19" formatCode="0.0%">
                  <c:v>0.125</c:v>
                </c:pt>
                <c:pt idx="20" formatCode="0.0%">
                  <c:v>0.11111111111111116</c:v>
                </c:pt>
                <c:pt idx="21" formatCode="0.0%">
                  <c:v>0.19999999999999996</c:v>
                </c:pt>
                <c:pt idx="22" formatCode="0.0%">
                  <c:v>0.16666666666666674</c:v>
                </c:pt>
                <c:pt idx="23" formatCode="0.0%">
                  <c:v>0</c:v>
                </c:pt>
                <c:pt idx="24">
                  <c:v>-0.1428571428571429</c:v>
                </c:pt>
                <c:pt idx="25" formatCode="0.0%">
                  <c:v>-0.33333333333333337</c:v>
                </c:pt>
                <c:pt idx="26" formatCode="0.0%">
                  <c:v>0</c:v>
                </c:pt>
                <c:pt idx="27" formatCode="0.0%">
                  <c:v>0.125</c:v>
                </c:pt>
                <c:pt idx="28" formatCode="0.0%">
                  <c:v>0</c:v>
                </c:pt>
                <c:pt idx="29" formatCode="0.0%">
                  <c:v>0.11111111111111116</c:v>
                </c:pt>
                <c:pt idx="30" formatCode="0.0%">
                  <c:v>0</c:v>
                </c:pt>
                <c:pt idx="31" formatCode="0.0%">
                  <c:v>0.10000000000000009</c:v>
                </c:pt>
                <c:pt idx="32" formatCode="0.0%">
                  <c:v>9.0909090909090828E-2</c:v>
                </c:pt>
                <c:pt idx="33" formatCode="0.0%">
                  <c:v>0.16666666666666674</c:v>
                </c:pt>
                <c:pt idx="34" formatCode="0.0%">
                  <c:v>0.14285714285714279</c:v>
                </c:pt>
                <c:pt idx="35" formatCode="0.0%">
                  <c:v>0</c:v>
                </c:pt>
              </c:numCache>
              <c:extLst/>
            </c:numRef>
          </c:val>
          <c:smooth val="0"/>
          <c:extLst>
            <c:ext xmlns:c16="http://schemas.microsoft.com/office/drawing/2014/chart" uri="{C3380CC4-5D6E-409C-BE32-E72D297353CC}">
              <c16:uniqueId val="{00000001-3D4C-4721-8616-329869614370}"/>
            </c:ext>
          </c:extLst>
        </c:ser>
        <c:ser>
          <c:idx val="2"/>
          <c:order val="2"/>
          <c:tx>
            <c:strRef>
              <c:f>'Sales Forecast'!$M$63</c:f>
              <c:strCache>
                <c:ptCount val="1"/>
                <c:pt idx="0">
                  <c:v>Product 3</c:v>
                </c:pt>
              </c:strCache>
            </c:strRef>
          </c:tx>
          <c:spPr>
            <a:ln w="28575" cap="rnd" cmpd="sng" algn="ctr">
              <a:solidFill>
                <a:schemeClr val="accent2">
                  <a:shade val="65000"/>
                </a:schemeClr>
              </a:solidFill>
              <a:prstDash val="solid"/>
              <a:round/>
            </a:ln>
            <a:effectLst/>
          </c:spPr>
          <c:marker>
            <c:symbol val="none"/>
          </c:marker>
          <c:cat>
            <c:numRef>
              <c:f>('Sales Forecast'!$N$6:$Y$6,'Sales Forecast'!$AQ$6:$BB$6,'Sales Forecast'!$BT$6:$CE$6)</c:f>
              <c:numCache>
                <c:formatCode>[$-409]mmm\-yy;@</c:formatCode>
                <c:ptCount val="36"/>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numCache>
            </c:numRef>
          </c:cat>
          <c:val>
            <c:numRef>
              <c:f>('Sales Forecast'!$N$63:$Y$63,'Sales Forecast'!$AQ$63:$BB$63,'Sales Forecast'!$BT$63:$CE$63)</c:f>
              <c:numCache>
                <c:formatCode>0%</c:formatCode>
                <c:ptCount val="36"/>
                <c:pt idx="0">
                  <c:v>0</c:v>
                </c:pt>
                <c:pt idx="1">
                  <c:v>0.33333333333333326</c:v>
                </c:pt>
                <c:pt idx="2">
                  <c:v>0.25</c:v>
                </c:pt>
                <c:pt idx="3">
                  <c:v>0.19999999999999996</c:v>
                </c:pt>
                <c:pt idx="4">
                  <c:v>0.16666666666666674</c:v>
                </c:pt>
                <c:pt idx="5">
                  <c:v>0.14285714285714279</c:v>
                </c:pt>
                <c:pt idx="6">
                  <c:v>0</c:v>
                </c:pt>
                <c:pt idx="7">
                  <c:v>-0.125</c:v>
                </c:pt>
                <c:pt idx="8">
                  <c:v>0</c:v>
                </c:pt>
                <c:pt idx="9">
                  <c:v>-0.1428571428571429</c:v>
                </c:pt>
                <c:pt idx="10">
                  <c:v>0</c:v>
                </c:pt>
                <c:pt idx="11">
                  <c:v>0</c:v>
                </c:pt>
                <c:pt idx="12">
                  <c:v>0</c:v>
                </c:pt>
                <c:pt idx="13" formatCode="0.0%">
                  <c:v>-0.16666666666666663</c:v>
                </c:pt>
                <c:pt idx="14" formatCode="0.0%">
                  <c:v>0.19999999999999996</c:v>
                </c:pt>
                <c:pt idx="15" formatCode="0.0%">
                  <c:v>0.16666666666666674</c:v>
                </c:pt>
                <c:pt idx="16" formatCode="0.0%">
                  <c:v>0.14285714285714279</c:v>
                </c:pt>
                <c:pt idx="17" formatCode="0.0%">
                  <c:v>0.125</c:v>
                </c:pt>
                <c:pt idx="18" formatCode="0.0%">
                  <c:v>0.11111111111111116</c:v>
                </c:pt>
                <c:pt idx="19" formatCode="0.0%">
                  <c:v>-0.19999999999999996</c:v>
                </c:pt>
                <c:pt idx="20" formatCode="0.0%">
                  <c:v>0</c:v>
                </c:pt>
                <c:pt idx="21" formatCode="0.0%">
                  <c:v>-0.125</c:v>
                </c:pt>
                <c:pt idx="22" formatCode="0.0%">
                  <c:v>0</c:v>
                </c:pt>
                <c:pt idx="23" formatCode="0.0%">
                  <c:v>-7.1428571428571397E-2</c:v>
                </c:pt>
                <c:pt idx="24">
                  <c:v>0</c:v>
                </c:pt>
                <c:pt idx="25" formatCode="0.0%">
                  <c:v>7.6923076923076872E-2</c:v>
                </c:pt>
                <c:pt idx="26" formatCode="0.0%">
                  <c:v>0.14285714285714279</c:v>
                </c:pt>
                <c:pt idx="27" formatCode="0.0%">
                  <c:v>0.125</c:v>
                </c:pt>
                <c:pt idx="28" formatCode="0.0%">
                  <c:v>0.11111111111111116</c:v>
                </c:pt>
                <c:pt idx="29" formatCode="0.0%">
                  <c:v>0.10000000000000009</c:v>
                </c:pt>
                <c:pt idx="30" formatCode="0.0%">
                  <c:v>9.0909090909090828E-2</c:v>
                </c:pt>
                <c:pt idx="31" formatCode="0.0%">
                  <c:v>-0.16666666666666663</c:v>
                </c:pt>
                <c:pt idx="32" formatCode="0.0%">
                  <c:v>0</c:v>
                </c:pt>
                <c:pt idx="33" formatCode="0.0%">
                  <c:v>-9.9999999999999978E-2</c:v>
                </c:pt>
                <c:pt idx="34" formatCode="0.0%">
                  <c:v>0</c:v>
                </c:pt>
                <c:pt idx="35" formatCode="0.0%">
                  <c:v>-5.555555555555558E-2</c:v>
                </c:pt>
              </c:numCache>
              <c:extLst/>
            </c:numRef>
          </c:val>
          <c:smooth val="0"/>
          <c:extLst>
            <c:ext xmlns:c16="http://schemas.microsoft.com/office/drawing/2014/chart" uri="{C3380CC4-5D6E-409C-BE32-E72D297353CC}">
              <c16:uniqueId val="{00000002-3D4C-4721-8616-329869614370}"/>
            </c:ext>
          </c:extLst>
        </c:ser>
        <c:dLbls>
          <c:showLegendKey val="0"/>
          <c:showVal val="0"/>
          <c:showCatName val="0"/>
          <c:showSerName val="0"/>
          <c:showPercent val="0"/>
          <c:showBubbleSize val="0"/>
        </c:dLbls>
        <c:smooth val="0"/>
        <c:axId val="201390720"/>
        <c:axId val="201466240"/>
      </c:lineChart>
      <c:dateAx>
        <c:axId val="201390720"/>
        <c:scaling>
          <c:orientation val="minMax"/>
        </c:scaling>
        <c:delete val="0"/>
        <c:axPos val="b"/>
        <c:numFmt formatCode="[$-409]mmm\-yy;@" sourceLinked="1"/>
        <c:majorTickMark val="none"/>
        <c:minorTickMark val="none"/>
        <c:tickLblPos val="low"/>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466240"/>
        <c:crosses val="autoZero"/>
        <c:auto val="1"/>
        <c:lblOffset val="100"/>
        <c:baseTimeUnit val="months"/>
      </c:dateAx>
      <c:valAx>
        <c:axId val="201466240"/>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90720"/>
        <c:crosses val="autoZero"/>
        <c:crossBetween val="between"/>
      </c:valAx>
      <c:spPr>
        <a:noFill/>
        <a:ln>
          <a:noFill/>
        </a:ln>
        <a:effectLst/>
      </c:spPr>
    </c:plotArea>
    <c:legend>
      <c:legendPos val="b"/>
      <c:layout>
        <c:manualLayout>
          <c:xMode val="edge"/>
          <c:yMode val="edge"/>
          <c:x val="0.22273671715088841"/>
          <c:y val="0.91265466816647922"/>
          <c:w val="0.55452656569822312"/>
          <c:h val="8.734533183352080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3-Year Units Sold</a:t>
            </a:r>
          </a:p>
        </c:rich>
      </c:tx>
      <c:layout>
        <c:manualLayout>
          <c:xMode val="edge"/>
          <c:yMode val="edge"/>
          <c:x val="0.41031343383540991"/>
          <c:y val="3.94457707595591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6971602862516922E-2"/>
          <c:y val="0.10078853046594985"/>
          <c:w val="0.92408901860397397"/>
          <c:h val="0.59792848474585836"/>
        </c:manualLayout>
      </c:layout>
      <c:lineChart>
        <c:grouping val="standard"/>
        <c:varyColors val="0"/>
        <c:ser>
          <c:idx val="0"/>
          <c:order val="0"/>
          <c:tx>
            <c:strRef>
              <c:f>'Sales Forecast'!$AB$7</c:f>
              <c:strCache>
                <c:ptCount val="1"/>
                <c:pt idx="0">
                  <c:v>Product 2</c:v>
                </c:pt>
              </c:strCache>
            </c:strRef>
          </c:tx>
          <c:spPr>
            <a:ln w="28575" cap="rnd" cmpd="sng" algn="ctr">
              <a:solidFill>
                <a:schemeClr val="accent2">
                  <a:tint val="65000"/>
                </a:schemeClr>
              </a:solidFill>
              <a:prstDash val="solid"/>
              <a:round/>
            </a:ln>
            <a:effectLst/>
          </c:spPr>
          <c:marker>
            <c:symbol val="none"/>
          </c:marker>
          <c:cat>
            <c:numRef>
              <c:f>('Sales Forecast'!$AC$6:$AN$6,'Sales Forecast'!$BE$6:$BQ$6,'Sales Forecast'!$CH$6:$CT$6)</c:f>
              <c:numCache>
                <c:formatCode>[$-409]mmm\-yy;@</c:formatCode>
                <c:ptCount val="38"/>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numCache>
            </c:numRef>
          </c:cat>
          <c:val>
            <c:numRef>
              <c:f>('Sales Forecast'!$AC$7:$AN$7,'Sales Forecast'!$BE$7:$BQ$7,'Sales Forecast'!$CH$7:$CT$7)</c:f>
              <c:numCache>
                <c:formatCode>0</c:formatCode>
                <c:ptCount val="38"/>
                <c:pt idx="0">
                  <c:v>1500</c:v>
                </c:pt>
                <c:pt idx="1">
                  <c:v>1000</c:v>
                </c:pt>
                <c:pt idx="2">
                  <c:v>1000</c:v>
                </c:pt>
                <c:pt idx="3">
                  <c:v>1250</c:v>
                </c:pt>
                <c:pt idx="4">
                  <c:v>1250</c:v>
                </c:pt>
                <c:pt idx="5">
                  <c:v>1500</c:v>
                </c:pt>
                <c:pt idx="6">
                  <c:v>1500</c:v>
                </c:pt>
                <c:pt idx="7">
                  <c:v>1750</c:v>
                </c:pt>
                <c:pt idx="8">
                  <c:v>2000</c:v>
                </c:pt>
                <c:pt idx="9">
                  <c:v>2500</c:v>
                </c:pt>
                <c:pt idx="10">
                  <c:v>3000</c:v>
                </c:pt>
                <c:pt idx="11">
                  <c:v>3000</c:v>
                </c:pt>
                <c:pt idx="12">
                  <c:v>0</c:v>
                </c:pt>
                <c:pt idx="13">
                  <c:v>1000</c:v>
                </c:pt>
                <c:pt idx="14">
                  <c:v>750</c:v>
                </c:pt>
                <c:pt idx="15">
                  <c:v>1000</c:v>
                </c:pt>
                <c:pt idx="16">
                  <c:v>1458.3333333333335</c:v>
                </c:pt>
                <c:pt idx="17">
                  <c:v>1250</c:v>
                </c:pt>
                <c:pt idx="18">
                  <c:v>1714.2857142857142</c:v>
                </c:pt>
                <c:pt idx="19">
                  <c:v>1500</c:v>
                </c:pt>
                <c:pt idx="20">
                  <c:v>1968.75</c:v>
                </c:pt>
                <c:pt idx="21">
                  <c:v>2222.2222222222222</c:v>
                </c:pt>
                <c:pt idx="22">
                  <c:v>3000</c:v>
                </c:pt>
                <c:pt idx="23">
                  <c:v>3500</c:v>
                </c:pt>
                <c:pt idx="24">
                  <c:v>3000</c:v>
                </c:pt>
                <c:pt idx="25">
                  <c:v>0</c:v>
                </c:pt>
                <c:pt idx="26">
                  <c:v>857.14285714285711</c:v>
                </c:pt>
                <c:pt idx="27">
                  <c:v>500</c:v>
                </c:pt>
                <c:pt idx="28">
                  <c:v>1000</c:v>
                </c:pt>
                <c:pt idx="29">
                  <c:v>1640.6250000000002</c:v>
                </c:pt>
                <c:pt idx="30">
                  <c:v>1250</c:v>
                </c:pt>
                <c:pt idx="31">
                  <c:v>1904.7619047619048</c:v>
                </c:pt>
                <c:pt idx="32">
                  <c:v>1500</c:v>
                </c:pt>
                <c:pt idx="33">
                  <c:v>2165.625</c:v>
                </c:pt>
                <c:pt idx="34">
                  <c:v>2424.242424242424</c:v>
                </c:pt>
                <c:pt idx="35">
                  <c:v>3500</c:v>
                </c:pt>
                <c:pt idx="36">
                  <c:v>4000</c:v>
                </c:pt>
                <c:pt idx="37">
                  <c:v>3000</c:v>
                </c:pt>
              </c:numCache>
            </c:numRef>
          </c:val>
          <c:smooth val="0"/>
          <c:extLst>
            <c:ext xmlns:c16="http://schemas.microsoft.com/office/drawing/2014/chart" uri="{C3380CC4-5D6E-409C-BE32-E72D297353CC}">
              <c16:uniqueId val="{00000000-7070-4294-9003-47D1C3AED408}"/>
            </c:ext>
          </c:extLst>
        </c:ser>
        <c:ser>
          <c:idx val="1"/>
          <c:order val="1"/>
          <c:tx>
            <c:strRef>
              <c:f>'Sales Forecast'!$AB$8</c:f>
              <c:strCache>
                <c:ptCount val="1"/>
                <c:pt idx="0">
                  <c:v>Product 3</c:v>
                </c:pt>
              </c:strCache>
            </c:strRef>
          </c:tx>
          <c:spPr>
            <a:ln w="28575" cap="rnd" cmpd="sng" algn="ctr">
              <a:solidFill>
                <a:schemeClr val="accent2"/>
              </a:solidFill>
              <a:prstDash val="solid"/>
              <a:round/>
            </a:ln>
            <a:effectLst/>
          </c:spPr>
          <c:marker>
            <c:symbol val="none"/>
          </c:marker>
          <c:cat>
            <c:numRef>
              <c:f>('Sales Forecast'!$AC$6:$AN$6,'Sales Forecast'!$BE$6:$BQ$6,'Sales Forecast'!$CH$6:$CT$6)</c:f>
              <c:numCache>
                <c:formatCode>[$-409]mmm\-yy;@</c:formatCode>
                <c:ptCount val="38"/>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numCache>
            </c:numRef>
          </c:cat>
          <c:val>
            <c:numRef>
              <c:f>('Sales Forecast'!$AC$8:$AN$8,'Sales Forecast'!$BE$8:$BQ$8,'Sales Forecast'!$CH$8:$CT$8)</c:f>
              <c:numCache>
                <c:formatCode>0</c:formatCode>
                <c:ptCount val="38"/>
                <c:pt idx="0">
                  <c:v>150</c:v>
                </c:pt>
                <c:pt idx="1">
                  <c:v>200</c:v>
                </c:pt>
                <c:pt idx="2">
                  <c:v>250</c:v>
                </c:pt>
                <c:pt idx="3">
                  <c:v>300</c:v>
                </c:pt>
                <c:pt idx="4">
                  <c:v>350</c:v>
                </c:pt>
                <c:pt idx="5">
                  <c:v>400</c:v>
                </c:pt>
                <c:pt idx="6">
                  <c:v>400</c:v>
                </c:pt>
                <c:pt idx="7">
                  <c:v>350</c:v>
                </c:pt>
                <c:pt idx="8">
                  <c:v>350</c:v>
                </c:pt>
                <c:pt idx="9">
                  <c:v>300</c:v>
                </c:pt>
                <c:pt idx="10">
                  <c:v>300</c:v>
                </c:pt>
                <c:pt idx="11">
                  <c:v>300</c:v>
                </c:pt>
                <c:pt idx="12">
                  <c:v>0</c:v>
                </c:pt>
                <c:pt idx="13">
                  <c:v>150</c:v>
                </c:pt>
                <c:pt idx="14">
                  <c:v>166.66666666666669</c:v>
                </c:pt>
                <c:pt idx="15">
                  <c:v>300</c:v>
                </c:pt>
                <c:pt idx="16">
                  <c:v>350</c:v>
                </c:pt>
                <c:pt idx="17">
                  <c:v>400</c:v>
                </c:pt>
                <c:pt idx="18">
                  <c:v>450</c:v>
                </c:pt>
                <c:pt idx="19">
                  <c:v>444.44444444444446</c:v>
                </c:pt>
                <c:pt idx="20">
                  <c:v>280</c:v>
                </c:pt>
                <c:pt idx="21">
                  <c:v>350</c:v>
                </c:pt>
                <c:pt idx="22">
                  <c:v>262.5</c:v>
                </c:pt>
                <c:pt idx="23">
                  <c:v>300</c:v>
                </c:pt>
                <c:pt idx="24">
                  <c:v>278.57142857142856</c:v>
                </c:pt>
                <c:pt idx="25">
                  <c:v>0</c:v>
                </c:pt>
                <c:pt idx="26">
                  <c:v>150</c:v>
                </c:pt>
                <c:pt idx="27">
                  <c:v>179.4871794871795</c:v>
                </c:pt>
                <c:pt idx="28">
                  <c:v>342.85714285714283</c:v>
                </c:pt>
                <c:pt idx="29">
                  <c:v>393.75</c:v>
                </c:pt>
                <c:pt idx="30">
                  <c:v>444.44444444444446</c:v>
                </c:pt>
                <c:pt idx="31">
                  <c:v>495.00000000000006</c:v>
                </c:pt>
                <c:pt idx="32">
                  <c:v>484.84848484848482</c:v>
                </c:pt>
                <c:pt idx="33">
                  <c:v>233.33333333333334</c:v>
                </c:pt>
                <c:pt idx="34">
                  <c:v>350</c:v>
                </c:pt>
                <c:pt idx="35">
                  <c:v>236.25</c:v>
                </c:pt>
                <c:pt idx="36">
                  <c:v>300</c:v>
                </c:pt>
                <c:pt idx="37">
                  <c:v>263.09523809523807</c:v>
                </c:pt>
              </c:numCache>
            </c:numRef>
          </c:val>
          <c:smooth val="0"/>
          <c:extLst>
            <c:ext xmlns:c16="http://schemas.microsoft.com/office/drawing/2014/chart" uri="{C3380CC4-5D6E-409C-BE32-E72D297353CC}">
              <c16:uniqueId val="{00000001-7070-4294-9003-47D1C3AED408}"/>
            </c:ext>
          </c:extLst>
        </c:ser>
        <c:ser>
          <c:idx val="2"/>
          <c:order val="2"/>
          <c:tx>
            <c:strRef>
              <c:f>'Sales Forecast'!$AB$9</c:f>
              <c:strCache>
                <c:ptCount val="1"/>
                <c:pt idx="0">
                  <c:v>Product 1</c:v>
                </c:pt>
              </c:strCache>
            </c:strRef>
          </c:tx>
          <c:spPr>
            <a:ln w="28575" cap="rnd" cmpd="sng" algn="ctr">
              <a:solidFill>
                <a:schemeClr val="accent2">
                  <a:shade val="65000"/>
                </a:schemeClr>
              </a:solidFill>
              <a:prstDash val="solid"/>
              <a:round/>
            </a:ln>
            <a:effectLst/>
          </c:spPr>
          <c:marker>
            <c:symbol val="none"/>
          </c:marker>
          <c:cat>
            <c:numRef>
              <c:f>('Sales Forecast'!$AC$6:$AN$6,'Sales Forecast'!$BE$6:$BQ$6,'Sales Forecast'!$CH$6:$CT$6)</c:f>
              <c:numCache>
                <c:formatCode>[$-409]mmm\-yy;@</c:formatCode>
                <c:ptCount val="38"/>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numCache>
            </c:numRef>
          </c:cat>
          <c:val>
            <c:numRef>
              <c:f>('Sales Forecast'!$AC$9:$AN$9,'Sales Forecast'!$BE$9:$BQ$9,'Sales Forecast'!$CH$9:$CT$9)</c:f>
              <c:numCache>
                <c:formatCode>0</c:formatCode>
                <c:ptCount val="38"/>
                <c:pt idx="0">
                  <c:v>500</c:v>
                </c:pt>
                <c:pt idx="1">
                  <c:v>525</c:v>
                </c:pt>
                <c:pt idx="2">
                  <c:v>550</c:v>
                </c:pt>
                <c:pt idx="3">
                  <c:v>575</c:v>
                </c:pt>
                <c:pt idx="4">
                  <c:v>550</c:v>
                </c:pt>
                <c:pt idx="5">
                  <c:v>525</c:v>
                </c:pt>
                <c:pt idx="6">
                  <c:v>525</c:v>
                </c:pt>
                <c:pt idx="7">
                  <c:v>550</c:v>
                </c:pt>
                <c:pt idx="8">
                  <c:v>575</c:v>
                </c:pt>
                <c:pt idx="9">
                  <c:v>600</c:v>
                </c:pt>
                <c:pt idx="10">
                  <c:v>650</c:v>
                </c:pt>
                <c:pt idx="11">
                  <c:v>650</c:v>
                </c:pt>
                <c:pt idx="12">
                  <c:v>0</c:v>
                </c:pt>
                <c:pt idx="13">
                  <c:v>480.76923076923077</c:v>
                </c:pt>
                <c:pt idx="14">
                  <c:v>504</c:v>
                </c:pt>
                <c:pt idx="15">
                  <c:v>527.08333333333337</c:v>
                </c:pt>
                <c:pt idx="16">
                  <c:v>550</c:v>
                </c:pt>
                <c:pt idx="17">
                  <c:v>575</c:v>
                </c:pt>
                <c:pt idx="18">
                  <c:v>547.82608695652175</c:v>
                </c:pt>
                <c:pt idx="19">
                  <c:v>525</c:v>
                </c:pt>
                <c:pt idx="20">
                  <c:v>572.91666666666674</c:v>
                </c:pt>
                <c:pt idx="21">
                  <c:v>598</c:v>
                </c:pt>
                <c:pt idx="22">
                  <c:v>623.07692307692309</c:v>
                </c:pt>
                <c:pt idx="23">
                  <c:v>674.07407407407402</c:v>
                </c:pt>
                <c:pt idx="24">
                  <c:v>673.21428571428578</c:v>
                </c:pt>
                <c:pt idx="25">
                  <c:v>0</c:v>
                </c:pt>
                <c:pt idx="26">
                  <c:v>497.34748010610082</c:v>
                </c:pt>
                <c:pt idx="27">
                  <c:v>470.40000000000003</c:v>
                </c:pt>
                <c:pt idx="28">
                  <c:v>489.43452380952385</c:v>
                </c:pt>
                <c:pt idx="29">
                  <c:v>550</c:v>
                </c:pt>
                <c:pt idx="30">
                  <c:v>597.11538461538464</c:v>
                </c:pt>
                <c:pt idx="31">
                  <c:v>568.1159420289855</c:v>
                </c:pt>
                <c:pt idx="32">
                  <c:v>525</c:v>
                </c:pt>
                <c:pt idx="33">
                  <c:v>593.37797619047637</c:v>
                </c:pt>
                <c:pt idx="34">
                  <c:v>618.62068965517244</c:v>
                </c:pt>
                <c:pt idx="35">
                  <c:v>664.61538461538464</c:v>
                </c:pt>
                <c:pt idx="36">
                  <c:v>716.2037037037037</c:v>
                </c:pt>
                <c:pt idx="37">
                  <c:v>712.81512605042019</c:v>
                </c:pt>
              </c:numCache>
            </c:numRef>
          </c:val>
          <c:smooth val="0"/>
          <c:extLst>
            <c:ext xmlns:c16="http://schemas.microsoft.com/office/drawing/2014/chart" uri="{C3380CC4-5D6E-409C-BE32-E72D297353CC}">
              <c16:uniqueId val="{00000002-7070-4294-9003-47D1C3AED408}"/>
            </c:ext>
          </c:extLst>
        </c:ser>
        <c:dLbls>
          <c:showLegendKey val="0"/>
          <c:showVal val="0"/>
          <c:showCatName val="0"/>
          <c:showSerName val="0"/>
          <c:showPercent val="0"/>
          <c:showBubbleSize val="0"/>
        </c:dLbls>
        <c:smooth val="0"/>
        <c:axId val="201493504"/>
        <c:axId val="201515776"/>
      </c:lineChart>
      <c:dateAx>
        <c:axId val="201493504"/>
        <c:scaling>
          <c:orientation val="minMax"/>
        </c:scaling>
        <c:delete val="0"/>
        <c:axPos val="b"/>
        <c:numFmt formatCode="[$-409]mmm\-yy;@"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15776"/>
        <c:crosses val="autoZero"/>
        <c:auto val="1"/>
        <c:lblOffset val="100"/>
        <c:baseTimeUnit val="months"/>
      </c:dateAx>
      <c:valAx>
        <c:axId val="201515776"/>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493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 1: Revenue</a:t>
            </a:r>
          </a:p>
        </c:rich>
      </c:tx>
      <c:layout>
        <c:manualLayout>
          <c:xMode val="edge"/>
          <c:yMode val="edge"/>
          <c:x val="0.3328648696466409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42440918355737"/>
          <c:y val="0.12706729927609836"/>
          <c:w val="0.79689345149523094"/>
          <c:h val="0.56792810606660804"/>
        </c:manualLayout>
      </c:layout>
      <c:barChart>
        <c:barDir val="col"/>
        <c:grouping val="clustered"/>
        <c:varyColors val="0"/>
        <c:ser>
          <c:idx val="0"/>
          <c:order val="0"/>
          <c:tx>
            <c:strRef>
              <c:f>'Sales Forecast'!$AB$88</c:f>
              <c:strCache>
                <c:ptCount val="1"/>
                <c:pt idx="0">
                  <c:v>Product 2</c:v>
                </c:pt>
              </c:strCache>
            </c:strRef>
          </c:tx>
          <c:spPr>
            <a:solidFill>
              <a:schemeClr val="accent6">
                <a:tint val="65000"/>
              </a:schemeClr>
            </a:solidFill>
            <a:ln>
              <a:noFill/>
            </a:ln>
            <a:effectLst/>
          </c:spPr>
          <c:invertIfNegative val="0"/>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Forecast'!$AC$88:$AN$88</c:f>
              <c:numCache>
                <c:formatCode>0</c:formatCode>
                <c:ptCount val="12"/>
                <c:pt idx="0">
                  <c:v>22485</c:v>
                </c:pt>
                <c:pt idx="1">
                  <c:v>14990</c:v>
                </c:pt>
                <c:pt idx="2">
                  <c:v>14990</c:v>
                </c:pt>
                <c:pt idx="3">
                  <c:v>18737.5</c:v>
                </c:pt>
                <c:pt idx="4">
                  <c:v>18737.5</c:v>
                </c:pt>
                <c:pt idx="5">
                  <c:v>22485</c:v>
                </c:pt>
                <c:pt idx="6">
                  <c:v>22485</c:v>
                </c:pt>
                <c:pt idx="7">
                  <c:v>26232.5</c:v>
                </c:pt>
                <c:pt idx="8">
                  <c:v>29980</c:v>
                </c:pt>
                <c:pt idx="9">
                  <c:v>37475</c:v>
                </c:pt>
                <c:pt idx="10">
                  <c:v>44970</c:v>
                </c:pt>
                <c:pt idx="11">
                  <c:v>44970</c:v>
                </c:pt>
              </c:numCache>
            </c:numRef>
          </c:val>
          <c:extLst>
            <c:ext xmlns:c16="http://schemas.microsoft.com/office/drawing/2014/chart" uri="{C3380CC4-5D6E-409C-BE32-E72D297353CC}">
              <c16:uniqueId val="{00000000-287D-4D1C-A1AB-5BFA3B9C3F20}"/>
            </c:ext>
          </c:extLst>
        </c:ser>
        <c:ser>
          <c:idx val="1"/>
          <c:order val="1"/>
          <c:tx>
            <c:strRef>
              <c:f>'Sales Forecast'!$AB$89</c:f>
              <c:strCache>
                <c:ptCount val="1"/>
                <c:pt idx="0">
                  <c:v>Product 3</c:v>
                </c:pt>
              </c:strCache>
            </c:strRef>
          </c:tx>
          <c:spPr>
            <a:solidFill>
              <a:schemeClr val="accent6"/>
            </a:solidFill>
            <a:ln>
              <a:noFill/>
            </a:ln>
            <a:effectLst/>
          </c:spPr>
          <c:invertIfNegative val="0"/>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Forecast'!$AC$89:$AN$89</c:f>
              <c:numCache>
                <c:formatCode>0</c:formatCode>
                <c:ptCount val="12"/>
                <c:pt idx="0">
                  <c:v>7498.5</c:v>
                </c:pt>
                <c:pt idx="1">
                  <c:v>9998</c:v>
                </c:pt>
                <c:pt idx="2">
                  <c:v>12497.5</c:v>
                </c:pt>
                <c:pt idx="3">
                  <c:v>14997</c:v>
                </c:pt>
                <c:pt idx="4">
                  <c:v>17496.5</c:v>
                </c:pt>
                <c:pt idx="5">
                  <c:v>19996</c:v>
                </c:pt>
                <c:pt idx="6">
                  <c:v>19996</c:v>
                </c:pt>
                <c:pt idx="7">
                  <c:v>17496.5</c:v>
                </c:pt>
                <c:pt idx="8">
                  <c:v>17496.5</c:v>
                </c:pt>
                <c:pt idx="9">
                  <c:v>14997</c:v>
                </c:pt>
                <c:pt idx="10">
                  <c:v>14997</c:v>
                </c:pt>
                <c:pt idx="11">
                  <c:v>14997</c:v>
                </c:pt>
              </c:numCache>
            </c:numRef>
          </c:val>
          <c:extLst>
            <c:ext xmlns:c16="http://schemas.microsoft.com/office/drawing/2014/chart" uri="{C3380CC4-5D6E-409C-BE32-E72D297353CC}">
              <c16:uniqueId val="{00000001-287D-4D1C-A1AB-5BFA3B9C3F20}"/>
            </c:ext>
          </c:extLst>
        </c:ser>
        <c:ser>
          <c:idx val="2"/>
          <c:order val="2"/>
          <c:tx>
            <c:strRef>
              <c:f>'Sales Forecast'!$AB$90</c:f>
              <c:strCache>
                <c:ptCount val="1"/>
                <c:pt idx="0">
                  <c:v>Product 1</c:v>
                </c:pt>
              </c:strCache>
            </c:strRef>
          </c:tx>
          <c:spPr>
            <a:solidFill>
              <a:schemeClr val="accent6">
                <a:shade val="65000"/>
              </a:schemeClr>
            </a:solidFill>
            <a:ln>
              <a:noFill/>
            </a:ln>
            <a:effectLst/>
          </c:spPr>
          <c:invertIfNegative val="0"/>
          <c:cat>
            <c:numRef>
              <c:f>'Sales Forecast'!$AC$6:$AN$6</c:f>
              <c:numCache>
                <c:formatCode>[$-409]mmm\-yy;@</c:formatCode>
                <c:ptCount val="12"/>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numCache>
            </c:numRef>
          </c:cat>
          <c:val>
            <c:numRef>
              <c:f>'Sales Forecast'!$AC$90:$AN$90</c:f>
              <c:numCache>
                <c:formatCode>0</c:formatCode>
                <c:ptCount val="12"/>
                <c:pt idx="0">
                  <c:v>9995</c:v>
                </c:pt>
                <c:pt idx="1">
                  <c:v>10494.75</c:v>
                </c:pt>
                <c:pt idx="2">
                  <c:v>10994.5</c:v>
                </c:pt>
                <c:pt idx="3">
                  <c:v>11494.25</c:v>
                </c:pt>
                <c:pt idx="4">
                  <c:v>10994.5</c:v>
                </c:pt>
                <c:pt idx="5">
                  <c:v>10494.75</c:v>
                </c:pt>
                <c:pt idx="6">
                  <c:v>10494.75</c:v>
                </c:pt>
                <c:pt idx="7">
                  <c:v>10994.5</c:v>
                </c:pt>
                <c:pt idx="8">
                  <c:v>11494.25</c:v>
                </c:pt>
                <c:pt idx="9">
                  <c:v>11993.999999999998</c:v>
                </c:pt>
                <c:pt idx="10">
                  <c:v>12993.499999999998</c:v>
                </c:pt>
                <c:pt idx="11">
                  <c:v>12993.499999999998</c:v>
                </c:pt>
              </c:numCache>
            </c:numRef>
          </c:val>
          <c:extLst>
            <c:ext xmlns:c16="http://schemas.microsoft.com/office/drawing/2014/chart" uri="{C3380CC4-5D6E-409C-BE32-E72D297353CC}">
              <c16:uniqueId val="{00000002-287D-4D1C-A1AB-5BFA3B9C3F20}"/>
            </c:ext>
          </c:extLst>
        </c:ser>
        <c:dLbls>
          <c:showLegendKey val="0"/>
          <c:showVal val="0"/>
          <c:showCatName val="0"/>
          <c:showSerName val="0"/>
          <c:showPercent val="0"/>
          <c:showBubbleSize val="0"/>
        </c:dLbls>
        <c:gapWidth val="219"/>
        <c:overlap val="-27"/>
        <c:axId val="201616000"/>
        <c:axId val="201617792"/>
      </c:barChart>
      <c:dateAx>
        <c:axId val="201616000"/>
        <c:scaling>
          <c:orientation val="minMax"/>
        </c:scaling>
        <c:delete val="0"/>
        <c:axPos val="b"/>
        <c:numFmt formatCode="[$-409]mmm\-yy;@"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17792"/>
        <c:crosses val="autoZero"/>
        <c:auto val="1"/>
        <c:lblOffset val="100"/>
        <c:baseTimeUnit val="months"/>
      </c:dateAx>
      <c:valAx>
        <c:axId val="201617792"/>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16000"/>
        <c:crosses val="autoZero"/>
        <c:crossBetween val="between"/>
      </c:valAx>
      <c:spPr>
        <a:noFill/>
        <a:ln>
          <a:noFill/>
        </a:ln>
        <a:effectLst/>
      </c:spPr>
    </c:plotArea>
    <c:legend>
      <c:legendPos val="b"/>
      <c:layout>
        <c:manualLayout>
          <c:xMode val="edge"/>
          <c:yMode val="edge"/>
          <c:x val="4.0715169349344552E-3"/>
          <c:y val="0.89832737395766271"/>
          <c:w val="0.9847907867324629"/>
          <c:h val="0.101672626042337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3-Year Gross Profit</a:t>
            </a:r>
          </a:p>
        </c:rich>
      </c:tx>
      <c:layout>
        <c:manualLayout>
          <c:xMode val="edge"/>
          <c:yMode val="edge"/>
          <c:x val="0.40414944903581268"/>
          <c:y val="4.382060938034920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043410121255501E-2"/>
          <c:y val="9.1230585424133828E-2"/>
          <c:w val="0.90101719593935059"/>
          <c:h val="0.60748642978767442"/>
        </c:manualLayout>
      </c:layout>
      <c:lineChart>
        <c:grouping val="standard"/>
        <c:varyColors val="0"/>
        <c:ser>
          <c:idx val="0"/>
          <c:order val="0"/>
          <c:tx>
            <c:strRef>
              <c:f>'Sales Forecast'!$AB$170</c:f>
              <c:strCache>
                <c:ptCount val="1"/>
                <c:pt idx="0">
                  <c:v>Product 2</c:v>
                </c:pt>
              </c:strCache>
            </c:strRef>
          </c:tx>
          <c:spPr>
            <a:ln w="28575" cap="rnd" cmpd="sng" algn="ctr">
              <a:solidFill>
                <a:schemeClr val="accent2">
                  <a:tint val="65000"/>
                </a:schemeClr>
              </a:solidFill>
              <a:prstDash val="solid"/>
              <a:round/>
            </a:ln>
            <a:effectLst/>
          </c:spPr>
          <c:marker>
            <c:symbol val="none"/>
          </c:marker>
          <c:cat>
            <c:numRef>
              <c:f>('Sales Forecast'!$AC$6:$AN$6,'Sales Forecast'!$BE$6:$BQ$6,'Sales Forecast'!$CH$6:$CT$6)</c:f>
              <c:numCache>
                <c:formatCode>[$-409]mmm\-yy;@</c:formatCode>
                <c:ptCount val="38"/>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numCache>
            </c:numRef>
          </c:cat>
          <c:val>
            <c:numRef>
              <c:f>('Sales Forecast'!$AC$170:$AN$170,'Sales Forecast'!$BE$170:$BQ$170,'Sales Forecast'!$CH$170:$CT$170)</c:f>
              <c:numCache>
                <c:formatCode>0</c:formatCode>
                <c:ptCount val="38"/>
                <c:pt idx="0">
                  <c:v>17835</c:v>
                </c:pt>
                <c:pt idx="1">
                  <c:v>11890</c:v>
                </c:pt>
                <c:pt idx="2">
                  <c:v>11890</c:v>
                </c:pt>
                <c:pt idx="3">
                  <c:v>14862.5</c:v>
                </c:pt>
                <c:pt idx="4">
                  <c:v>14862.5</c:v>
                </c:pt>
                <c:pt idx="5">
                  <c:v>17835</c:v>
                </c:pt>
                <c:pt idx="6">
                  <c:v>17835</c:v>
                </c:pt>
                <c:pt idx="7">
                  <c:v>20807.5</c:v>
                </c:pt>
                <c:pt idx="8">
                  <c:v>23780</c:v>
                </c:pt>
                <c:pt idx="9">
                  <c:v>29725</c:v>
                </c:pt>
                <c:pt idx="10">
                  <c:v>35670</c:v>
                </c:pt>
                <c:pt idx="11">
                  <c:v>35670</c:v>
                </c:pt>
                <c:pt idx="12" formatCode="0.00%">
                  <c:v>0</c:v>
                </c:pt>
                <c:pt idx="13" formatCode="&quot;$&quot;#,##0">
                  <c:v>11890</c:v>
                </c:pt>
                <c:pt idx="14" formatCode="&quot;$&quot;#,##0">
                  <c:v>8917.5</c:v>
                </c:pt>
                <c:pt idx="15" formatCode="&quot;$&quot;#,##0">
                  <c:v>11890</c:v>
                </c:pt>
                <c:pt idx="16" formatCode="&quot;$&quot;#,##0">
                  <c:v>17339.583333333336</c:v>
                </c:pt>
                <c:pt idx="17" formatCode="&quot;$&quot;#,##0">
                  <c:v>14862.5</c:v>
                </c:pt>
                <c:pt idx="18" formatCode="&quot;$&quot;#,##0">
                  <c:v>20382.857142857141</c:v>
                </c:pt>
                <c:pt idx="19" formatCode="&quot;$&quot;#,##0">
                  <c:v>17835</c:v>
                </c:pt>
                <c:pt idx="20" formatCode="&quot;$&quot;#,##0">
                  <c:v>23408.4375</c:v>
                </c:pt>
                <c:pt idx="21" formatCode="&quot;$&quot;#,##0">
                  <c:v>26422.222222222223</c:v>
                </c:pt>
                <c:pt idx="22" formatCode="&quot;$&quot;#,##0">
                  <c:v>36270</c:v>
                </c:pt>
                <c:pt idx="23" formatCode="&quot;$&quot;#,##0">
                  <c:v>42315</c:v>
                </c:pt>
                <c:pt idx="24" formatCode="&quot;$&quot;#,##0">
                  <c:v>36270</c:v>
                </c:pt>
                <c:pt idx="25" formatCode="0.00%">
                  <c:v>0</c:v>
                </c:pt>
                <c:pt idx="26" formatCode="&quot;$&quot;#,##0">
                  <c:v>10362.857142857143</c:v>
                </c:pt>
                <c:pt idx="27" formatCode="&quot;$&quot;#,##0">
                  <c:v>5945</c:v>
                </c:pt>
                <c:pt idx="28" formatCode="&quot;$&quot;#,##0">
                  <c:v>11890</c:v>
                </c:pt>
                <c:pt idx="29" formatCode="&quot;$&quot;#,##0">
                  <c:v>19507.031250000004</c:v>
                </c:pt>
                <c:pt idx="30" formatCode="&quot;$&quot;#,##0">
                  <c:v>14862.5</c:v>
                </c:pt>
                <c:pt idx="31" formatCode="&quot;$&quot;#,##0">
                  <c:v>22647.61904761905</c:v>
                </c:pt>
                <c:pt idx="32" formatCode="&quot;$&quot;#,##0">
                  <c:v>17835</c:v>
                </c:pt>
                <c:pt idx="33" formatCode="&quot;$&quot;#,##0">
                  <c:v>25749.28125</c:v>
                </c:pt>
                <c:pt idx="34" formatCode="&quot;$&quot;#,##0">
                  <c:v>29309.090909090904</c:v>
                </c:pt>
                <c:pt idx="35" formatCode="&quot;$&quot;#,##0">
                  <c:v>42315</c:v>
                </c:pt>
                <c:pt idx="36" formatCode="&quot;$&quot;#,##0">
                  <c:v>48560</c:v>
                </c:pt>
                <c:pt idx="37" formatCode="&quot;$&quot;#,##0">
                  <c:v>36420</c:v>
                </c:pt>
              </c:numCache>
            </c:numRef>
          </c:val>
          <c:smooth val="0"/>
          <c:extLst>
            <c:ext xmlns:c16="http://schemas.microsoft.com/office/drawing/2014/chart" uri="{C3380CC4-5D6E-409C-BE32-E72D297353CC}">
              <c16:uniqueId val="{00000001-33CA-4B04-A704-5D552FB840FF}"/>
            </c:ext>
          </c:extLst>
        </c:ser>
        <c:ser>
          <c:idx val="1"/>
          <c:order val="1"/>
          <c:tx>
            <c:strRef>
              <c:f>'Sales Forecast'!$AB$171</c:f>
              <c:strCache>
                <c:ptCount val="1"/>
                <c:pt idx="0">
                  <c:v>Product 3</c:v>
                </c:pt>
              </c:strCache>
            </c:strRef>
          </c:tx>
          <c:spPr>
            <a:ln w="28575" cap="rnd" cmpd="sng" algn="ctr">
              <a:solidFill>
                <a:schemeClr val="accent2"/>
              </a:solidFill>
              <a:prstDash val="solid"/>
              <a:round/>
            </a:ln>
            <a:effectLst/>
          </c:spPr>
          <c:marker>
            <c:symbol val="none"/>
          </c:marker>
          <c:cat>
            <c:numRef>
              <c:f>('Sales Forecast'!$AC$6:$AN$6,'Sales Forecast'!$BE$6:$BQ$6,'Sales Forecast'!$CH$6:$CT$6)</c:f>
              <c:numCache>
                <c:formatCode>[$-409]mmm\-yy;@</c:formatCode>
                <c:ptCount val="38"/>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numCache>
            </c:numRef>
          </c:cat>
          <c:val>
            <c:numRef>
              <c:f>('Sales Forecast'!$AC$171:$AN$171,'Sales Forecast'!$BE$171:$BQ$171,'Sales Forecast'!$CH$171:$CT$171)</c:f>
              <c:numCache>
                <c:formatCode>0</c:formatCode>
                <c:ptCount val="38"/>
                <c:pt idx="0">
                  <c:v>7266.0000000000009</c:v>
                </c:pt>
                <c:pt idx="1">
                  <c:v>9688.0000000000018</c:v>
                </c:pt>
                <c:pt idx="2">
                  <c:v>12110.000000000002</c:v>
                </c:pt>
                <c:pt idx="3">
                  <c:v>14532.000000000002</c:v>
                </c:pt>
                <c:pt idx="4">
                  <c:v>16954</c:v>
                </c:pt>
                <c:pt idx="5">
                  <c:v>19376.000000000004</c:v>
                </c:pt>
                <c:pt idx="6">
                  <c:v>19376.000000000004</c:v>
                </c:pt>
                <c:pt idx="7">
                  <c:v>16954</c:v>
                </c:pt>
                <c:pt idx="8">
                  <c:v>16954</c:v>
                </c:pt>
                <c:pt idx="9">
                  <c:v>14532.000000000002</c:v>
                </c:pt>
                <c:pt idx="10">
                  <c:v>14532.000000000002</c:v>
                </c:pt>
                <c:pt idx="11">
                  <c:v>14532.000000000002</c:v>
                </c:pt>
                <c:pt idx="12" formatCode="0.00%">
                  <c:v>0</c:v>
                </c:pt>
                <c:pt idx="13" formatCode="&quot;$&quot;#,##0">
                  <c:v>8016.0000000000009</c:v>
                </c:pt>
                <c:pt idx="14" formatCode="&quot;$&quot;#,##0">
                  <c:v>8906.6666666666679</c:v>
                </c:pt>
                <c:pt idx="15" formatCode="&quot;$&quot;#,##0">
                  <c:v>16032.000000000002</c:v>
                </c:pt>
                <c:pt idx="16" formatCode="&quot;$&quot;#,##0">
                  <c:v>18704</c:v>
                </c:pt>
                <c:pt idx="17" formatCode="&quot;$&quot;#,##0">
                  <c:v>21376.000000000004</c:v>
                </c:pt>
                <c:pt idx="18" formatCode="&quot;$&quot;#,##0">
                  <c:v>24048.000000000004</c:v>
                </c:pt>
                <c:pt idx="19" formatCode="&quot;$&quot;#,##0">
                  <c:v>23951.111111111113</c:v>
                </c:pt>
                <c:pt idx="20" formatCode="&quot;$&quot;#,##0">
                  <c:v>14963.2</c:v>
                </c:pt>
                <c:pt idx="21" formatCode="&quot;$&quot;#,##0">
                  <c:v>18704</c:v>
                </c:pt>
                <c:pt idx="22" formatCode="&quot;$&quot;#,##0">
                  <c:v>14028.000000000002</c:v>
                </c:pt>
                <c:pt idx="23" formatCode="&quot;$&quot;#,##0">
                  <c:v>16032.000000000002</c:v>
                </c:pt>
                <c:pt idx="24" formatCode="&quot;$&quot;#,##0">
                  <c:v>14886.857142857143</c:v>
                </c:pt>
                <c:pt idx="25" formatCode="0.00%">
                  <c:v>0</c:v>
                </c:pt>
                <c:pt idx="26" formatCode="&quot;$&quot;#,##0">
                  <c:v>8766</c:v>
                </c:pt>
                <c:pt idx="27" formatCode="&quot;$&quot;#,##0">
                  <c:v>10489.230769230771</c:v>
                </c:pt>
                <c:pt idx="28" formatCode="&quot;$&quot;#,##0">
                  <c:v>20036.571428571428</c:v>
                </c:pt>
                <c:pt idx="29" formatCode="&quot;$&quot;#,##0">
                  <c:v>23010.750000000004</c:v>
                </c:pt>
                <c:pt idx="30" formatCode="&quot;$&quot;#,##0">
                  <c:v>26173.333333333336</c:v>
                </c:pt>
                <c:pt idx="31" formatCode="&quot;$&quot;#,##0">
                  <c:v>29150.550000000003</c:v>
                </c:pt>
                <c:pt idx="32" formatCode="&quot;$&quot;#,##0">
                  <c:v>28552.727272727272</c:v>
                </c:pt>
                <c:pt idx="33" formatCode="&quot;$&quot;#,##0">
                  <c:v>13741</c:v>
                </c:pt>
                <c:pt idx="34" formatCode="&quot;$&quot;#,##0">
                  <c:v>20611.5</c:v>
                </c:pt>
                <c:pt idx="35" formatCode="&quot;$&quot;#,##0">
                  <c:v>13806.45</c:v>
                </c:pt>
                <c:pt idx="36" formatCode="&quot;$&quot;#,##0">
                  <c:v>17532</c:v>
                </c:pt>
                <c:pt idx="37" formatCode="&quot;$&quot;#,##0">
                  <c:v>15375.285714285714</c:v>
                </c:pt>
              </c:numCache>
            </c:numRef>
          </c:val>
          <c:smooth val="0"/>
          <c:extLst>
            <c:ext xmlns:c16="http://schemas.microsoft.com/office/drawing/2014/chart" uri="{C3380CC4-5D6E-409C-BE32-E72D297353CC}">
              <c16:uniqueId val="{00000002-33CA-4B04-A704-5D552FB840FF}"/>
            </c:ext>
          </c:extLst>
        </c:ser>
        <c:ser>
          <c:idx val="2"/>
          <c:order val="2"/>
          <c:tx>
            <c:strRef>
              <c:f>'Sales Forecast'!$AB$172</c:f>
              <c:strCache>
                <c:ptCount val="1"/>
                <c:pt idx="0">
                  <c:v>Product 1</c:v>
                </c:pt>
              </c:strCache>
            </c:strRef>
          </c:tx>
          <c:spPr>
            <a:ln w="28575" cap="rnd" cmpd="sng" algn="ctr">
              <a:solidFill>
                <a:schemeClr val="accent2">
                  <a:shade val="65000"/>
                </a:schemeClr>
              </a:solidFill>
              <a:prstDash val="solid"/>
              <a:round/>
            </a:ln>
            <a:effectLst/>
          </c:spPr>
          <c:marker>
            <c:symbol val="none"/>
          </c:marker>
          <c:cat>
            <c:numRef>
              <c:f>('Sales Forecast'!$AC$6:$AN$6,'Sales Forecast'!$BE$6:$BQ$6,'Sales Forecast'!$CH$6:$CT$6)</c:f>
              <c:numCache>
                <c:formatCode>[$-409]mmm\-yy;@</c:formatCode>
                <c:ptCount val="38"/>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numCache>
            </c:numRef>
          </c:cat>
          <c:val>
            <c:numRef>
              <c:f>('Sales Forecast'!$AC$172:$AN$172,'Sales Forecast'!$BE$172:$BQ$172,'Sales Forecast'!$CH$172:$CT$172)</c:f>
              <c:numCache>
                <c:formatCode>0</c:formatCode>
                <c:ptCount val="38"/>
                <c:pt idx="0">
                  <c:v>7744.9999999999991</c:v>
                </c:pt>
                <c:pt idx="1">
                  <c:v>8132.2499999999991</c:v>
                </c:pt>
                <c:pt idx="2">
                  <c:v>8519.5</c:v>
                </c:pt>
                <c:pt idx="3">
                  <c:v>8906.75</c:v>
                </c:pt>
                <c:pt idx="4">
                  <c:v>8519.5</c:v>
                </c:pt>
                <c:pt idx="5">
                  <c:v>8132.2499999999991</c:v>
                </c:pt>
                <c:pt idx="6">
                  <c:v>8132.2499999999991</c:v>
                </c:pt>
                <c:pt idx="7">
                  <c:v>8519.5</c:v>
                </c:pt>
                <c:pt idx="8">
                  <c:v>8906.75</c:v>
                </c:pt>
                <c:pt idx="9">
                  <c:v>9593.9999999999982</c:v>
                </c:pt>
                <c:pt idx="10">
                  <c:v>10393.499999999998</c:v>
                </c:pt>
                <c:pt idx="11">
                  <c:v>10393.499999999998</c:v>
                </c:pt>
                <c:pt idx="12" formatCode="0.00%">
                  <c:v>0</c:v>
                </c:pt>
                <c:pt idx="13" formatCode="&quot;$&quot;#,##0">
                  <c:v>7687.4999999999991</c:v>
                </c:pt>
                <c:pt idx="14" formatCode="&quot;$&quot;#,##0">
                  <c:v>8058.9599999999991</c:v>
                </c:pt>
                <c:pt idx="15" formatCode="&quot;$&quot;#,##0">
                  <c:v>8164.520833333333</c:v>
                </c:pt>
                <c:pt idx="16" formatCode="&quot;$&quot;#,##0">
                  <c:v>8519.5</c:v>
                </c:pt>
                <c:pt idx="17" formatCode="&quot;$&quot;#,##0">
                  <c:v>8906.75</c:v>
                </c:pt>
                <c:pt idx="18" formatCode="&quot;$&quot;#,##0">
                  <c:v>8759.7391304347821</c:v>
                </c:pt>
                <c:pt idx="19" formatCode="&quot;$&quot;#,##0">
                  <c:v>8394.75</c:v>
                </c:pt>
                <c:pt idx="20" formatCode="&quot;$&quot;#,##0">
                  <c:v>9160.9375</c:v>
                </c:pt>
                <c:pt idx="21" formatCode="&quot;$&quot;#,##0">
                  <c:v>9562.0199999999986</c:v>
                </c:pt>
                <c:pt idx="22" formatCode="&quot;$&quot;#,##0">
                  <c:v>9963</c:v>
                </c:pt>
                <c:pt idx="23" formatCode="&quot;$&quot;#,##0">
                  <c:v>10946.962962962962</c:v>
                </c:pt>
                <c:pt idx="24" formatCode="&quot;$&quot;#,##0">
                  <c:v>10933</c:v>
                </c:pt>
                <c:pt idx="25" formatCode="0.00%">
                  <c:v>0</c:v>
                </c:pt>
                <c:pt idx="26" formatCode="&quot;$&quot;#,##0">
                  <c:v>8076.9230769230762</c:v>
                </c:pt>
                <c:pt idx="27" formatCode="&quot;$&quot;#,##0">
                  <c:v>7639.2959999999994</c:v>
                </c:pt>
                <c:pt idx="28" formatCode="&quot;$&quot;#,##0">
                  <c:v>7826.0580357142853</c:v>
                </c:pt>
                <c:pt idx="29" formatCode="&quot;$&quot;#,##0">
                  <c:v>8794.5</c:v>
                </c:pt>
                <c:pt idx="30" formatCode="&quot;$&quot;#,##0">
                  <c:v>9547.875</c:v>
                </c:pt>
                <c:pt idx="31" formatCode="&quot;$&quot;#,##0">
                  <c:v>9226.2028985507241</c:v>
                </c:pt>
                <c:pt idx="32" formatCode="&quot;$&quot;#,##0">
                  <c:v>8526</c:v>
                </c:pt>
                <c:pt idx="33" formatCode="&quot;$&quot;#,##0">
                  <c:v>9636.4583333333358</c:v>
                </c:pt>
                <c:pt idx="34" formatCode="&quot;$&quot;#,##0">
                  <c:v>10046.4</c:v>
                </c:pt>
                <c:pt idx="35" formatCode="&quot;$&quot;#,##0">
                  <c:v>10959.507692307692</c:v>
                </c:pt>
                <c:pt idx="36" formatCode="&quot;$&quot;#,##0">
                  <c:v>11810.199074074073</c:v>
                </c:pt>
                <c:pt idx="37" formatCode="&quot;$&quot;#,##0">
                  <c:v>11754.321428571428</c:v>
                </c:pt>
              </c:numCache>
            </c:numRef>
          </c:val>
          <c:smooth val="0"/>
          <c:extLst>
            <c:ext xmlns:c16="http://schemas.microsoft.com/office/drawing/2014/chart" uri="{C3380CC4-5D6E-409C-BE32-E72D297353CC}">
              <c16:uniqueId val="{00000003-33CA-4B04-A704-5D552FB840FF}"/>
            </c:ext>
          </c:extLst>
        </c:ser>
        <c:dLbls>
          <c:showLegendKey val="0"/>
          <c:showVal val="0"/>
          <c:showCatName val="0"/>
          <c:showSerName val="0"/>
          <c:showPercent val="0"/>
          <c:showBubbleSize val="0"/>
        </c:dLbls>
        <c:smooth val="0"/>
        <c:axId val="201647232"/>
        <c:axId val="201648768"/>
      </c:lineChart>
      <c:dateAx>
        <c:axId val="201647232"/>
        <c:scaling>
          <c:orientation val="minMax"/>
        </c:scaling>
        <c:delete val="0"/>
        <c:axPos val="b"/>
        <c:numFmt formatCode="[$-409]mmm\-yy;@"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48768"/>
        <c:crosses val="autoZero"/>
        <c:auto val="1"/>
        <c:lblOffset val="100"/>
        <c:baseTimeUnit val="months"/>
      </c:dateAx>
      <c:valAx>
        <c:axId val="20164876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47232"/>
        <c:crosses val="autoZero"/>
        <c:crossBetween val="between"/>
      </c:valAx>
      <c:spPr>
        <a:noFill/>
        <a:ln>
          <a:noFill/>
        </a:ln>
        <a:effectLst/>
      </c:spPr>
    </c:plotArea>
    <c:legend>
      <c:legendPos val="b"/>
      <c:layout>
        <c:manualLayout>
          <c:xMode val="edge"/>
          <c:yMode val="edge"/>
          <c:x val="0.22790178087243226"/>
          <c:y val="0.91536941034544594"/>
          <c:w val="0.38965640536027418"/>
          <c:h val="7.91695367104236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 2: Units Sold</a:t>
            </a:r>
          </a:p>
        </c:rich>
      </c:tx>
      <c:layout>
        <c:manualLayout>
          <c:xMode val="edge"/>
          <c:yMode val="edge"/>
          <c:x val="0.3207909011373578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65025371828522"/>
          <c:y val="0.12104229693963091"/>
          <c:w val="0.84323863517060371"/>
          <c:h val="0.57142070978322801"/>
        </c:manualLayout>
      </c:layout>
      <c:barChart>
        <c:barDir val="col"/>
        <c:grouping val="clustered"/>
        <c:varyColors val="0"/>
        <c:ser>
          <c:idx val="0"/>
          <c:order val="0"/>
          <c:tx>
            <c:strRef>
              <c:f>'Sales Forecast'!$BE$7</c:f>
              <c:strCache>
                <c:ptCount val="1"/>
                <c:pt idx="0">
                  <c:v>Product 2</c:v>
                </c:pt>
              </c:strCache>
            </c:strRef>
          </c:tx>
          <c:spPr>
            <a:solidFill>
              <a:schemeClr val="accent5">
                <a:tint val="65000"/>
              </a:schemeClr>
            </a:solidFill>
            <a:ln>
              <a:noFill/>
            </a:ln>
            <a:effectLst/>
          </c:spPr>
          <c:invertIfNegative val="0"/>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Forecast'!$BF$7:$BQ$7</c:f>
              <c:numCache>
                <c:formatCode>0</c:formatCode>
                <c:ptCount val="12"/>
                <c:pt idx="0">
                  <c:v>1000</c:v>
                </c:pt>
                <c:pt idx="1">
                  <c:v>750</c:v>
                </c:pt>
                <c:pt idx="2">
                  <c:v>1000</c:v>
                </c:pt>
                <c:pt idx="3">
                  <c:v>1458.3333333333335</c:v>
                </c:pt>
                <c:pt idx="4">
                  <c:v>1250</c:v>
                </c:pt>
                <c:pt idx="5">
                  <c:v>1714.2857142857142</c:v>
                </c:pt>
                <c:pt idx="6">
                  <c:v>1500</c:v>
                </c:pt>
                <c:pt idx="7">
                  <c:v>1968.75</c:v>
                </c:pt>
                <c:pt idx="8">
                  <c:v>2222.2222222222222</c:v>
                </c:pt>
                <c:pt idx="9">
                  <c:v>3000</c:v>
                </c:pt>
                <c:pt idx="10">
                  <c:v>3500</c:v>
                </c:pt>
                <c:pt idx="11">
                  <c:v>3000</c:v>
                </c:pt>
              </c:numCache>
            </c:numRef>
          </c:val>
          <c:extLst>
            <c:ext xmlns:c16="http://schemas.microsoft.com/office/drawing/2014/chart" uri="{C3380CC4-5D6E-409C-BE32-E72D297353CC}">
              <c16:uniqueId val="{00000000-EBE5-427E-B78B-F6354FB46032}"/>
            </c:ext>
          </c:extLst>
        </c:ser>
        <c:ser>
          <c:idx val="1"/>
          <c:order val="1"/>
          <c:tx>
            <c:strRef>
              <c:f>'Sales Forecast'!$BE$8</c:f>
              <c:strCache>
                <c:ptCount val="1"/>
                <c:pt idx="0">
                  <c:v>Product 3</c:v>
                </c:pt>
              </c:strCache>
            </c:strRef>
          </c:tx>
          <c:spPr>
            <a:solidFill>
              <a:schemeClr val="accent5"/>
            </a:solidFill>
            <a:ln>
              <a:noFill/>
            </a:ln>
            <a:effectLst/>
          </c:spPr>
          <c:invertIfNegative val="0"/>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Forecast'!$BF$8:$BQ$8</c:f>
              <c:numCache>
                <c:formatCode>0</c:formatCode>
                <c:ptCount val="12"/>
                <c:pt idx="0">
                  <c:v>150</c:v>
                </c:pt>
                <c:pt idx="1">
                  <c:v>166.66666666666669</c:v>
                </c:pt>
                <c:pt idx="2">
                  <c:v>300</c:v>
                </c:pt>
                <c:pt idx="3">
                  <c:v>350</c:v>
                </c:pt>
                <c:pt idx="4">
                  <c:v>400</c:v>
                </c:pt>
                <c:pt idx="5">
                  <c:v>450</c:v>
                </c:pt>
                <c:pt idx="6">
                  <c:v>444.44444444444446</c:v>
                </c:pt>
                <c:pt idx="7">
                  <c:v>280</c:v>
                </c:pt>
                <c:pt idx="8">
                  <c:v>350</c:v>
                </c:pt>
                <c:pt idx="9">
                  <c:v>262.5</c:v>
                </c:pt>
                <c:pt idx="10">
                  <c:v>300</c:v>
                </c:pt>
                <c:pt idx="11">
                  <c:v>278.57142857142856</c:v>
                </c:pt>
              </c:numCache>
            </c:numRef>
          </c:val>
          <c:extLst>
            <c:ext xmlns:c16="http://schemas.microsoft.com/office/drawing/2014/chart" uri="{C3380CC4-5D6E-409C-BE32-E72D297353CC}">
              <c16:uniqueId val="{00000001-EBE5-427E-B78B-F6354FB46032}"/>
            </c:ext>
          </c:extLst>
        </c:ser>
        <c:ser>
          <c:idx val="2"/>
          <c:order val="2"/>
          <c:tx>
            <c:strRef>
              <c:f>'Sales Forecast'!$BE$9</c:f>
              <c:strCache>
                <c:ptCount val="1"/>
                <c:pt idx="0">
                  <c:v>Product 1</c:v>
                </c:pt>
              </c:strCache>
            </c:strRef>
          </c:tx>
          <c:spPr>
            <a:solidFill>
              <a:schemeClr val="accent5">
                <a:shade val="65000"/>
              </a:schemeClr>
            </a:solidFill>
            <a:ln>
              <a:noFill/>
            </a:ln>
            <a:effectLst/>
          </c:spPr>
          <c:invertIfNegative val="0"/>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Forecast'!$BF$9:$BQ$9</c:f>
              <c:numCache>
                <c:formatCode>0</c:formatCode>
                <c:ptCount val="12"/>
                <c:pt idx="0">
                  <c:v>480.76923076923077</c:v>
                </c:pt>
                <c:pt idx="1">
                  <c:v>504</c:v>
                </c:pt>
                <c:pt idx="2">
                  <c:v>527.08333333333337</c:v>
                </c:pt>
                <c:pt idx="3">
                  <c:v>550</c:v>
                </c:pt>
                <c:pt idx="4">
                  <c:v>575</c:v>
                </c:pt>
                <c:pt idx="5">
                  <c:v>547.82608695652175</c:v>
                </c:pt>
                <c:pt idx="6">
                  <c:v>525</c:v>
                </c:pt>
                <c:pt idx="7">
                  <c:v>572.91666666666674</c:v>
                </c:pt>
                <c:pt idx="8">
                  <c:v>598</c:v>
                </c:pt>
                <c:pt idx="9">
                  <c:v>623.07692307692309</c:v>
                </c:pt>
                <c:pt idx="10">
                  <c:v>674.07407407407402</c:v>
                </c:pt>
                <c:pt idx="11">
                  <c:v>673.21428571428578</c:v>
                </c:pt>
              </c:numCache>
            </c:numRef>
          </c:val>
          <c:extLst>
            <c:ext xmlns:c16="http://schemas.microsoft.com/office/drawing/2014/chart" uri="{C3380CC4-5D6E-409C-BE32-E72D297353CC}">
              <c16:uniqueId val="{00000002-EBE5-427E-B78B-F6354FB46032}"/>
            </c:ext>
          </c:extLst>
        </c:ser>
        <c:dLbls>
          <c:showLegendKey val="0"/>
          <c:showVal val="0"/>
          <c:showCatName val="0"/>
          <c:showSerName val="0"/>
          <c:showPercent val="0"/>
          <c:showBubbleSize val="0"/>
        </c:dLbls>
        <c:gapWidth val="219"/>
        <c:overlap val="-27"/>
        <c:axId val="200869760"/>
        <c:axId val="200871296"/>
      </c:barChart>
      <c:dateAx>
        <c:axId val="200869760"/>
        <c:scaling>
          <c:orientation val="minMax"/>
        </c:scaling>
        <c:delete val="0"/>
        <c:axPos val="b"/>
        <c:numFmt formatCode="[$-409]mmm\-yy;@" sourceLinked="1"/>
        <c:majorTickMark val="none"/>
        <c:minorTickMark val="none"/>
        <c:tickLblPos val="nextTo"/>
        <c:spPr>
          <a:noFill/>
          <a:ln w="9525" cap="flat" cmpd="sng" algn="ctr">
            <a:solidFill>
              <a:schemeClr val="tx1">
                <a:tint val="75000"/>
              </a:schemeClr>
            </a:solidFill>
            <a:prstDash val="solid"/>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871296"/>
        <c:crosses val="autoZero"/>
        <c:auto val="1"/>
        <c:lblOffset val="100"/>
        <c:baseTimeUnit val="months"/>
      </c:dateAx>
      <c:valAx>
        <c:axId val="200871296"/>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869760"/>
        <c:crosses val="autoZero"/>
        <c:crossBetween val="between"/>
      </c:valAx>
      <c:spPr>
        <a:noFill/>
        <a:ln>
          <a:noFill/>
        </a:ln>
        <a:effectLst/>
      </c:spPr>
    </c:plotArea>
    <c:legend>
      <c:legendPos val="b"/>
      <c:layout>
        <c:manualLayout>
          <c:xMode val="edge"/>
          <c:yMode val="edge"/>
          <c:x val="7.3334033245844267E-3"/>
          <c:y val="0.89832737395766271"/>
          <c:w val="0.97466652668416442"/>
          <c:h val="0.101672626042337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 2: Growth Rate</a:t>
            </a:r>
          </a:p>
        </c:rich>
      </c:tx>
      <c:layout>
        <c:manualLayout>
          <c:xMode val="edge"/>
          <c:yMode val="edge"/>
          <c:x val="0.3064553648830024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46109844795442"/>
          <c:y val="0.13309230161256577"/>
          <c:w val="0.84357319695057797"/>
          <c:h val="0.52698560593733146"/>
        </c:manualLayout>
      </c:layout>
      <c:lineChart>
        <c:grouping val="standard"/>
        <c:varyColors val="0"/>
        <c:ser>
          <c:idx val="0"/>
          <c:order val="0"/>
          <c:tx>
            <c:strRef>
              <c:f>'Sales Forecast'!$BE$61</c:f>
              <c:strCache>
                <c:ptCount val="1"/>
                <c:pt idx="0">
                  <c:v>Product 2</c:v>
                </c:pt>
              </c:strCache>
            </c:strRef>
          </c:tx>
          <c:spPr>
            <a:ln w="28575" cap="rnd" cmpd="sng" algn="ctr">
              <a:solidFill>
                <a:schemeClr val="accent5">
                  <a:tint val="65000"/>
                </a:schemeClr>
              </a:solidFill>
              <a:prstDash val="solid"/>
              <a:round/>
            </a:ln>
            <a:effectLst/>
          </c:spPr>
          <c:marker>
            <c:symbol val="none"/>
          </c:marker>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Forecast'!$BF$61:$BQ$61</c:f>
              <c:numCache>
                <c:formatCode>0%</c:formatCode>
                <c:ptCount val="12"/>
                <c:pt idx="0">
                  <c:v>-0.33333333333333337</c:v>
                </c:pt>
                <c:pt idx="1">
                  <c:v>-0.25</c:v>
                </c:pt>
                <c:pt idx="2">
                  <c:v>0</c:v>
                </c:pt>
                <c:pt idx="3">
                  <c:v>0.16666666666666674</c:v>
                </c:pt>
                <c:pt idx="4">
                  <c:v>0</c:v>
                </c:pt>
                <c:pt idx="5">
                  <c:v>0.14285714285714279</c:v>
                </c:pt>
                <c:pt idx="6">
                  <c:v>0</c:v>
                </c:pt>
                <c:pt idx="7">
                  <c:v>0.125</c:v>
                </c:pt>
                <c:pt idx="8">
                  <c:v>0.11111111111111116</c:v>
                </c:pt>
                <c:pt idx="9">
                  <c:v>0.19999999999999996</c:v>
                </c:pt>
                <c:pt idx="10">
                  <c:v>0.16666666666666674</c:v>
                </c:pt>
                <c:pt idx="11">
                  <c:v>0</c:v>
                </c:pt>
              </c:numCache>
            </c:numRef>
          </c:val>
          <c:smooth val="0"/>
          <c:extLst>
            <c:ext xmlns:c16="http://schemas.microsoft.com/office/drawing/2014/chart" uri="{C3380CC4-5D6E-409C-BE32-E72D297353CC}">
              <c16:uniqueId val="{00000000-7207-442F-957B-B30D77F84B1B}"/>
            </c:ext>
          </c:extLst>
        </c:ser>
        <c:ser>
          <c:idx val="1"/>
          <c:order val="1"/>
          <c:tx>
            <c:strRef>
              <c:f>'Sales Forecast'!$BE$62</c:f>
              <c:strCache>
                <c:ptCount val="1"/>
                <c:pt idx="0">
                  <c:v>Product 3</c:v>
                </c:pt>
              </c:strCache>
            </c:strRef>
          </c:tx>
          <c:spPr>
            <a:ln w="28575" cap="rnd" cmpd="sng" algn="ctr">
              <a:solidFill>
                <a:schemeClr val="accent5"/>
              </a:solidFill>
              <a:prstDash val="solid"/>
              <a:round/>
            </a:ln>
            <a:effectLst/>
          </c:spPr>
          <c:marker>
            <c:symbol val="none"/>
          </c:marker>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Forecast'!$BF$62:$BQ$62</c:f>
              <c:numCache>
                <c:formatCode>0%</c:formatCode>
                <c:ptCount val="12"/>
                <c:pt idx="0">
                  <c:v>0</c:v>
                </c:pt>
                <c:pt idx="1">
                  <c:v>-0.16666666666666663</c:v>
                </c:pt>
                <c:pt idx="2">
                  <c:v>0.19999999999999996</c:v>
                </c:pt>
                <c:pt idx="3">
                  <c:v>0.16666666666666674</c:v>
                </c:pt>
                <c:pt idx="4">
                  <c:v>0.14285714285714279</c:v>
                </c:pt>
                <c:pt idx="5">
                  <c:v>0.125</c:v>
                </c:pt>
                <c:pt idx="6">
                  <c:v>0.11111111111111116</c:v>
                </c:pt>
                <c:pt idx="7">
                  <c:v>-0.19999999999999996</c:v>
                </c:pt>
                <c:pt idx="8">
                  <c:v>0</c:v>
                </c:pt>
                <c:pt idx="9">
                  <c:v>-0.125</c:v>
                </c:pt>
                <c:pt idx="10">
                  <c:v>0</c:v>
                </c:pt>
                <c:pt idx="11">
                  <c:v>-7.1428571428571397E-2</c:v>
                </c:pt>
              </c:numCache>
            </c:numRef>
          </c:val>
          <c:smooth val="0"/>
          <c:extLst>
            <c:ext xmlns:c16="http://schemas.microsoft.com/office/drawing/2014/chart" uri="{C3380CC4-5D6E-409C-BE32-E72D297353CC}">
              <c16:uniqueId val="{00000001-FED7-488A-A1CF-56B6ED0D5C96}"/>
            </c:ext>
          </c:extLst>
        </c:ser>
        <c:ser>
          <c:idx val="2"/>
          <c:order val="2"/>
          <c:tx>
            <c:strRef>
              <c:f>'Sales Forecast'!$BE$63</c:f>
              <c:strCache>
                <c:ptCount val="1"/>
                <c:pt idx="0">
                  <c:v>Product 1</c:v>
                </c:pt>
              </c:strCache>
            </c:strRef>
          </c:tx>
          <c:spPr>
            <a:ln w="28575" cap="rnd" cmpd="sng" algn="ctr">
              <a:solidFill>
                <a:schemeClr val="accent5">
                  <a:shade val="65000"/>
                </a:schemeClr>
              </a:solidFill>
              <a:prstDash val="solid"/>
              <a:round/>
            </a:ln>
            <a:effectLst/>
          </c:spPr>
          <c:marker>
            <c:symbol val="none"/>
          </c:marker>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Forecast'!$BF$63:$BQ$63</c:f>
              <c:numCache>
                <c:formatCode>0%</c:formatCode>
                <c:ptCount val="12"/>
                <c:pt idx="0">
                  <c:v>-3.8461538461538436E-2</c:v>
                </c:pt>
                <c:pt idx="1">
                  <c:v>-4.0000000000000036E-2</c:v>
                </c:pt>
                <c:pt idx="2">
                  <c:v>-4.166666666666663E-2</c:v>
                </c:pt>
                <c:pt idx="3">
                  <c:v>-4.3478260869565188E-2</c:v>
                </c:pt>
                <c:pt idx="4">
                  <c:v>4.5454545454545414E-2</c:v>
                </c:pt>
                <c:pt idx="5">
                  <c:v>4.3478260869565188E-2</c:v>
                </c:pt>
                <c:pt idx="6">
                  <c:v>0</c:v>
                </c:pt>
                <c:pt idx="7">
                  <c:v>4.1666666666666741E-2</c:v>
                </c:pt>
                <c:pt idx="8">
                  <c:v>4.0000000000000036E-2</c:v>
                </c:pt>
                <c:pt idx="9">
                  <c:v>3.8461538461538547E-2</c:v>
                </c:pt>
                <c:pt idx="10">
                  <c:v>3.7037037037036979E-2</c:v>
                </c:pt>
                <c:pt idx="11">
                  <c:v>3.5714285714285809E-2</c:v>
                </c:pt>
              </c:numCache>
            </c:numRef>
          </c:val>
          <c:smooth val="0"/>
          <c:extLst>
            <c:ext xmlns:c16="http://schemas.microsoft.com/office/drawing/2014/chart" uri="{C3380CC4-5D6E-409C-BE32-E72D297353CC}">
              <c16:uniqueId val="{00000002-FED7-488A-A1CF-56B6ED0D5C96}"/>
            </c:ext>
          </c:extLst>
        </c:ser>
        <c:dLbls>
          <c:showLegendKey val="0"/>
          <c:showVal val="0"/>
          <c:showCatName val="0"/>
          <c:showSerName val="0"/>
          <c:showPercent val="0"/>
          <c:showBubbleSize val="0"/>
        </c:dLbls>
        <c:smooth val="0"/>
        <c:axId val="200922240"/>
        <c:axId val="200923776"/>
      </c:lineChart>
      <c:dateAx>
        <c:axId val="200922240"/>
        <c:scaling>
          <c:orientation val="minMax"/>
        </c:scaling>
        <c:delete val="0"/>
        <c:axPos val="b"/>
        <c:numFmt formatCode="[$-409]mmm\-yy;@" sourceLinked="1"/>
        <c:majorTickMark val="none"/>
        <c:minorTickMark val="none"/>
        <c:tickLblPos val="low"/>
        <c:spPr>
          <a:noFill/>
          <a:ln w="9525" cap="flat" cmpd="sng" algn="ctr">
            <a:solidFill>
              <a:schemeClr val="tx1">
                <a:tint val="75000"/>
              </a:schemeClr>
            </a:solidFill>
            <a:prstDash val="solid"/>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23776"/>
        <c:crosses val="autoZero"/>
        <c:auto val="1"/>
        <c:lblOffset val="100"/>
        <c:baseTimeUnit val="months"/>
      </c:dateAx>
      <c:valAx>
        <c:axId val="200923776"/>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22240"/>
        <c:crosses val="autoZero"/>
        <c:crossBetween val="between"/>
      </c:valAx>
      <c:spPr>
        <a:noFill/>
        <a:ln>
          <a:noFill/>
        </a:ln>
        <a:effectLst/>
      </c:spPr>
    </c:plotArea>
    <c:legend>
      <c:legendPos val="b"/>
      <c:layout>
        <c:manualLayout>
          <c:xMode val="edge"/>
          <c:yMode val="edge"/>
          <c:x val="5.1165847187496167E-3"/>
          <c:y val="0.89606728646703815"/>
          <c:w val="0.73422442438921387"/>
          <c:h val="9.216120249768575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a:t>
            </a:r>
            <a:r>
              <a:rPr lang="en-US" baseline="0"/>
              <a:t> 2: Gross Profit</a:t>
            </a:r>
            <a:endParaRPr lang="en-US"/>
          </a:p>
        </c:rich>
      </c:tx>
      <c:layout>
        <c:manualLayout>
          <c:xMode val="edge"/>
          <c:yMode val="edge"/>
          <c:x val="0.3080620122484689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529497812773403"/>
          <c:y val="0.13849149526213181"/>
          <c:w val="0.79559391076115482"/>
          <c:h val="0.53763233160543455"/>
        </c:manualLayout>
      </c:layout>
      <c:lineChart>
        <c:grouping val="standard"/>
        <c:varyColors val="0"/>
        <c:ser>
          <c:idx val="0"/>
          <c:order val="0"/>
          <c:tx>
            <c:strRef>
              <c:f>'Sales Forecast'!$BE$170</c:f>
              <c:strCache>
                <c:ptCount val="1"/>
                <c:pt idx="0">
                  <c:v>Product 2</c:v>
                </c:pt>
              </c:strCache>
            </c:strRef>
          </c:tx>
          <c:spPr>
            <a:ln w="28575" cap="rnd" cmpd="sng" algn="ctr">
              <a:solidFill>
                <a:schemeClr val="accent5">
                  <a:tint val="65000"/>
                </a:schemeClr>
              </a:solidFill>
              <a:prstDash val="solid"/>
              <a:round/>
            </a:ln>
            <a:effectLst/>
          </c:spPr>
          <c:marker>
            <c:symbol val="none"/>
          </c:marker>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Forecast'!$BF$170:$BQ$170</c:f>
              <c:numCache>
                <c:formatCode>"$"#,##0</c:formatCode>
                <c:ptCount val="12"/>
                <c:pt idx="0">
                  <c:v>11890</c:v>
                </c:pt>
                <c:pt idx="1">
                  <c:v>8917.5</c:v>
                </c:pt>
                <c:pt idx="2">
                  <c:v>11890</c:v>
                </c:pt>
                <c:pt idx="3">
                  <c:v>17339.583333333336</c:v>
                </c:pt>
                <c:pt idx="4">
                  <c:v>14862.5</c:v>
                </c:pt>
                <c:pt idx="5">
                  <c:v>20382.857142857141</c:v>
                </c:pt>
                <c:pt idx="6">
                  <c:v>17835</c:v>
                </c:pt>
                <c:pt idx="7">
                  <c:v>23408.4375</c:v>
                </c:pt>
                <c:pt idx="8">
                  <c:v>26422.222222222223</c:v>
                </c:pt>
                <c:pt idx="9">
                  <c:v>36270</c:v>
                </c:pt>
                <c:pt idx="10">
                  <c:v>42315</c:v>
                </c:pt>
                <c:pt idx="11">
                  <c:v>36270</c:v>
                </c:pt>
              </c:numCache>
            </c:numRef>
          </c:val>
          <c:smooth val="0"/>
          <c:extLst>
            <c:ext xmlns:c16="http://schemas.microsoft.com/office/drawing/2014/chart" uri="{C3380CC4-5D6E-409C-BE32-E72D297353CC}">
              <c16:uniqueId val="{00000000-D1EB-465A-BE20-49A7810729FC}"/>
            </c:ext>
          </c:extLst>
        </c:ser>
        <c:ser>
          <c:idx val="1"/>
          <c:order val="1"/>
          <c:tx>
            <c:strRef>
              <c:f>'Sales Forecast'!$BE$171</c:f>
              <c:strCache>
                <c:ptCount val="1"/>
                <c:pt idx="0">
                  <c:v>Product 3</c:v>
                </c:pt>
              </c:strCache>
            </c:strRef>
          </c:tx>
          <c:spPr>
            <a:ln w="28575" cap="rnd" cmpd="sng" algn="ctr">
              <a:solidFill>
                <a:schemeClr val="accent5"/>
              </a:solidFill>
              <a:prstDash val="solid"/>
              <a:round/>
            </a:ln>
            <a:effectLst/>
          </c:spPr>
          <c:marker>
            <c:symbol val="none"/>
          </c:marker>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Forecast'!$BF$171:$BQ$171</c:f>
              <c:numCache>
                <c:formatCode>"$"#,##0</c:formatCode>
                <c:ptCount val="12"/>
                <c:pt idx="0">
                  <c:v>8016.0000000000009</c:v>
                </c:pt>
                <c:pt idx="1">
                  <c:v>8906.6666666666679</c:v>
                </c:pt>
                <c:pt idx="2">
                  <c:v>16032.000000000002</c:v>
                </c:pt>
                <c:pt idx="3">
                  <c:v>18704</c:v>
                </c:pt>
                <c:pt idx="4">
                  <c:v>21376.000000000004</c:v>
                </c:pt>
                <c:pt idx="5">
                  <c:v>24048.000000000004</c:v>
                </c:pt>
                <c:pt idx="6">
                  <c:v>23951.111111111113</c:v>
                </c:pt>
                <c:pt idx="7">
                  <c:v>14963.2</c:v>
                </c:pt>
                <c:pt idx="8">
                  <c:v>18704</c:v>
                </c:pt>
                <c:pt idx="9">
                  <c:v>14028.000000000002</c:v>
                </c:pt>
                <c:pt idx="10">
                  <c:v>16032.000000000002</c:v>
                </c:pt>
                <c:pt idx="11">
                  <c:v>14886.857142857143</c:v>
                </c:pt>
              </c:numCache>
            </c:numRef>
          </c:val>
          <c:smooth val="0"/>
          <c:extLst>
            <c:ext xmlns:c16="http://schemas.microsoft.com/office/drawing/2014/chart" uri="{C3380CC4-5D6E-409C-BE32-E72D297353CC}">
              <c16:uniqueId val="{00000001-E5C3-497F-B6D6-102EE653AD2C}"/>
            </c:ext>
          </c:extLst>
        </c:ser>
        <c:ser>
          <c:idx val="2"/>
          <c:order val="2"/>
          <c:tx>
            <c:strRef>
              <c:f>'Sales Forecast'!$BE$172</c:f>
              <c:strCache>
                <c:ptCount val="1"/>
                <c:pt idx="0">
                  <c:v>Product 1</c:v>
                </c:pt>
              </c:strCache>
            </c:strRef>
          </c:tx>
          <c:spPr>
            <a:ln w="28575" cap="rnd" cmpd="sng" algn="ctr">
              <a:solidFill>
                <a:schemeClr val="accent5">
                  <a:shade val="65000"/>
                </a:schemeClr>
              </a:solidFill>
              <a:prstDash val="solid"/>
              <a:round/>
            </a:ln>
            <a:effectLst/>
          </c:spPr>
          <c:marker>
            <c:symbol val="none"/>
          </c:marker>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Forecast'!$BF$172:$BQ$172</c:f>
              <c:numCache>
                <c:formatCode>"$"#,##0</c:formatCode>
                <c:ptCount val="12"/>
                <c:pt idx="0">
                  <c:v>7687.4999999999991</c:v>
                </c:pt>
                <c:pt idx="1">
                  <c:v>8058.9599999999991</c:v>
                </c:pt>
                <c:pt idx="2">
                  <c:v>8164.520833333333</c:v>
                </c:pt>
                <c:pt idx="3">
                  <c:v>8519.5</c:v>
                </c:pt>
                <c:pt idx="4">
                  <c:v>8906.75</c:v>
                </c:pt>
                <c:pt idx="5">
                  <c:v>8759.7391304347821</c:v>
                </c:pt>
                <c:pt idx="6">
                  <c:v>8394.75</c:v>
                </c:pt>
                <c:pt idx="7">
                  <c:v>9160.9375</c:v>
                </c:pt>
                <c:pt idx="8">
                  <c:v>9562.0199999999986</c:v>
                </c:pt>
                <c:pt idx="9">
                  <c:v>9963</c:v>
                </c:pt>
                <c:pt idx="10">
                  <c:v>10946.962962962962</c:v>
                </c:pt>
                <c:pt idx="11">
                  <c:v>10933</c:v>
                </c:pt>
              </c:numCache>
            </c:numRef>
          </c:val>
          <c:smooth val="0"/>
          <c:extLst>
            <c:ext xmlns:c16="http://schemas.microsoft.com/office/drawing/2014/chart" uri="{C3380CC4-5D6E-409C-BE32-E72D297353CC}">
              <c16:uniqueId val="{00000002-E5C3-497F-B6D6-102EE653AD2C}"/>
            </c:ext>
          </c:extLst>
        </c:ser>
        <c:dLbls>
          <c:showLegendKey val="0"/>
          <c:showVal val="0"/>
          <c:showCatName val="0"/>
          <c:showSerName val="0"/>
          <c:showPercent val="0"/>
          <c:showBubbleSize val="0"/>
        </c:dLbls>
        <c:smooth val="0"/>
        <c:axId val="201351552"/>
        <c:axId val="201353088"/>
      </c:lineChart>
      <c:dateAx>
        <c:axId val="201351552"/>
        <c:scaling>
          <c:orientation val="minMax"/>
        </c:scaling>
        <c:delete val="0"/>
        <c:axPos val="b"/>
        <c:numFmt formatCode="[$-409]mmm\-yy;@"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53088"/>
        <c:crosses val="autoZero"/>
        <c:auto val="1"/>
        <c:lblOffset val="100"/>
        <c:baseTimeUnit val="months"/>
      </c:dateAx>
      <c:valAx>
        <c:axId val="20135308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quot;$&quot;#,##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51552"/>
        <c:crosses val="autoZero"/>
        <c:crossBetween val="between"/>
      </c:valAx>
      <c:spPr>
        <a:noFill/>
        <a:ln>
          <a:noFill/>
        </a:ln>
        <a:effectLst/>
      </c:spPr>
    </c:plotArea>
    <c:legend>
      <c:legendPos val="b"/>
      <c:layout>
        <c:manualLayout>
          <c:xMode val="edge"/>
          <c:yMode val="edge"/>
          <c:x val="1.038082239720035E-2"/>
          <c:y val="0.89653481993078321"/>
          <c:w val="0.69347599169003704"/>
          <c:h val="9.175728205373609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 2: Revenue</a:t>
            </a:r>
          </a:p>
        </c:rich>
      </c:tx>
      <c:layout>
        <c:manualLayout>
          <c:xMode val="edge"/>
          <c:yMode val="edge"/>
          <c:x val="0.3328648696466409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42440918355737"/>
          <c:y val="0.12706729927609836"/>
          <c:w val="0.79689345149523094"/>
          <c:h val="0.56792810606660804"/>
        </c:manualLayout>
      </c:layout>
      <c:barChart>
        <c:barDir val="col"/>
        <c:grouping val="clustered"/>
        <c:varyColors val="0"/>
        <c:ser>
          <c:idx val="0"/>
          <c:order val="0"/>
          <c:tx>
            <c:strRef>
              <c:f>'Sales Forecast'!$BE$88</c:f>
              <c:strCache>
                <c:ptCount val="1"/>
                <c:pt idx="0">
                  <c:v>Product 2</c:v>
                </c:pt>
              </c:strCache>
            </c:strRef>
          </c:tx>
          <c:spPr>
            <a:solidFill>
              <a:schemeClr val="accent5">
                <a:tint val="65000"/>
              </a:schemeClr>
            </a:solidFill>
            <a:ln>
              <a:noFill/>
            </a:ln>
            <a:effectLst/>
          </c:spPr>
          <c:invertIfNegative val="0"/>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Forecast'!$BF$88:$BQ$88</c:f>
              <c:numCache>
                <c:formatCode>"$"#,##0</c:formatCode>
                <c:ptCount val="12"/>
                <c:pt idx="0">
                  <c:v>14990</c:v>
                </c:pt>
                <c:pt idx="1">
                  <c:v>11242.5</c:v>
                </c:pt>
                <c:pt idx="2">
                  <c:v>14990</c:v>
                </c:pt>
                <c:pt idx="3">
                  <c:v>21860.416666666668</c:v>
                </c:pt>
                <c:pt idx="4">
                  <c:v>18737.5</c:v>
                </c:pt>
                <c:pt idx="5">
                  <c:v>25697.142857142855</c:v>
                </c:pt>
                <c:pt idx="6">
                  <c:v>22485</c:v>
                </c:pt>
                <c:pt idx="7">
                  <c:v>29511.5625</c:v>
                </c:pt>
                <c:pt idx="8">
                  <c:v>33311.111111111109</c:v>
                </c:pt>
                <c:pt idx="9">
                  <c:v>44970</c:v>
                </c:pt>
                <c:pt idx="10">
                  <c:v>52465</c:v>
                </c:pt>
                <c:pt idx="11">
                  <c:v>44970</c:v>
                </c:pt>
              </c:numCache>
            </c:numRef>
          </c:val>
          <c:extLst>
            <c:ext xmlns:c16="http://schemas.microsoft.com/office/drawing/2014/chart" uri="{C3380CC4-5D6E-409C-BE32-E72D297353CC}">
              <c16:uniqueId val="{00000000-D849-4E16-952E-FBDE640E3F37}"/>
            </c:ext>
          </c:extLst>
        </c:ser>
        <c:ser>
          <c:idx val="1"/>
          <c:order val="1"/>
          <c:tx>
            <c:strRef>
              <c:f>'Sales Forecast'!$BE$89</c:f>
              <c:strCache>
                <c:ptCount val="1"/>
                <c:pt idx="0">
                  <c:v>Product 3</c:v>
                </c:pt>
              </c:strCache>
            </c:strRef>
          </c:tx>
          <c:spPr>
            <a:solidFill>
              <a:schemeClr val="accent5"/>
            </a:solidFill>
            <a:ln>
              <a:noFill/>
            </a:ln>
            <a:effectLst/>
          </c:spPr>
          <c:invertIfNegative val="0"/>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Forecast'!$BF$89:$BQ$89</c:f>
              <c:numCache>
                <c:formatCode>"$"#,##0</c:formatCode>
                <c:ptCount val="12"/>
                <c:pt idx="0">
                  <c:v>8248.5</c:v>
                </c:pt>
                <c:pt idx="1">
                  <c:v>9165.0000000000018</c:v>
                </c:pt>
                <c:pt idx="2">
                  <c:v>16497</c:v>
                </c:pt>
                <c:pt idx="3">
                  <c:v>19246.5</c:v>
                </c:pt>
                <c:pt idx="4">
                  <c:v>21996</c:v>
                </c:pt>
                <c:pt idx="5">
                  <c:v>24745.5</c:v>
                </c:pt>
                <c:pt idx="6">
                  <c:v>24440</c:v>
                </c:pt>
                <c:pt idx="7">
                  <c:v>15397.2</c:v>
                </c:pt>
                <c:pt idx="8">
                  <c:v>19246.5</c:v>
                </c:pt>
                <c:pt idx="9">
                  <c:v>14434.875</c:v>
                </c:pt>
                <c:pt idx="10">
                  <c:v>16497</c:v>
                </c:pt>
                <c:pt idx="11">
                  <c:v>15318.642857142857</c:v>
                </c:pt>
              </c:numCache>
            </c:numRef>
          </c:val>
          <c:extLst>
            <c:ext xmlns:c16="http://schemas.microsoft.com/office/drawing/2014/chart" uri="{C3380CC4-5D6E-409C-BE32-E72D297353CC}">
              <c16:uniqueId val="{00000001-0AC3-4267-8C67-A8EEF1B921A6}"/>
            </c:ext>
          </c:extLst>
        </c:ser>
        <c:ser>
          <c:idx val="2"/>
          <c:order val="2"/>
          <c:tx>
            <c:strRef>
              <c:f>'Sales Forecast'!$BE$90</c:f>
              <c:strCache>
                <c:ptCount val="1"/>
                <c:pt idx="0">
                  <c:v>Product 1</c:v>
                </c:pt>
              </c:strCache>
            </c:strRef>
          </c:tx>
          <c:spPr>
            <a:solidFill>
              <a:schemeClr val="accent5">
                <a:shade val="65000"/>
              </a:schemeClr>
            </a:solidFill>
            <a:ln>
              <a:noFill/>
            </a:ln>
            <a:effectLst/>
          </c:spPr>
          <c:invertIfNegative val="0"/>
          <c:cat>
            <c:numRef>
              <c:f>'Sales Forecast'!$BF$6:$BQ$6</c:f>
              <c:numCache>
                <c:formatCode>[$-409]mmm\-yy;@</c:formatCode>
                <c:ptCount val="12"/>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numCache>
            </c:numRef>
          </c:cat>
          <c:val>
            <c:numRef>
              <c:f>'Sales Forecast'!$BF$90:$BQ$90</c:f>
              <c:numCache>
                <c:formatCode>"$"#,##0</c:formatCode>
                <c:ptCount val="12"/>
                <c:pt idx="0">
                  <c:v>9610.576923076922</c:v>
                </c:pt>
                <c:pt idx="1">
                  <c:v>10074.959999999999</c:v>
                </c:pt>
                <c:pt idx="2">
                  <c:v>10536.395833333334</c:v>
                </c:pt>
                <c:pt idx="3">
                  <c:v>10994.5</c:v>
                </c:pt>
                <c:pt idx="4">
                  <c:v>11494.25</c:v>
                </c:pt>
                <c:pt idx="5">
                  <c:v>10951.043478260868</c:v>
                </c:pt>
                <c:pt idx="6">
                  <c:v>10494.75</c:v>
                </c:pt>
                <c:pt idx="7">
                  <c:v>11452.604166666668</c:v>
                </c:pt>
                <c:pt idx="8">
                  <c:v>11954.019999999999</c:v>
                </c:pt>
                <c:pt idx="9">
                  <c:v>12455.307692307691</c:v>
                </c:pt>
                <c:pt idx="10">
                  <c:v>13474.740740740739</c:v>
                </c:pt>
                <c:pt idx="11">
                  <c:v>13457.553571428572</c:v>
                </c:pt>
              </c:numCache>
            </c:numRef>
          </c:val>
          <c:extLst>
            <c:ext xmlns:c16="http://schemas.microsoft.com/office/drawing/2014/chart" uri="{C3380CC4-5D6E-409C-BE32-E72D297353CC}">
              <c16:uniqueId val="{00000002-0AC3-4267-8C67-A8EEF1B921A6}"/>
            </c:ext>
          </c:extLst>
        </c:ser>
        <c:dLbls>
          <c:showLegendKey val="0"/>
          <c:showVal val="0"/>
          <c:showCatName val="0"/>
          <c:showSerName val="0"/>
          <c:showPercent val="0"/>
          <c:showBubbleSize val="0"/>
        </c:dLbls>
        <c:gapWidth val="219"/>
        <c:overlap val="-27"/>
        <c:axId val="201616000"/>
        <c:axId val="201617792"/>
      </c:barChart>
      <c:dateAx>
        <c:axId val="201616000"/>
        <c:scaling>
          <c:orientation val="minMax"/>
        </c:scaling>
        <c:delete val="0"/>
        <c:axPos val="b"/>
        <c:numFmt formatCode="[$-409]mmm\-yy;@"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17792"/>
        <c:crosses val="autoZero"/>
        <c:auto val="1"/>
        <c:lblOffset val="100"/>
        <c:baseTimeUnit val="months"/>
      </c:dateAx>
      <c:valAx>
        <c:axId val="201617792"/>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quot;$&quot;#,##0" sourceLinked="1"/>
        <c:majorTickMark val="none"/>
        <c:minorTickMark val="none"/>
        <c:tickLblPos val="nextTo"/>
        <c:spPr>
          <a:noFill/>
          <a:ln w="9525" cap="flat" cmpd="sng" algn="ctr">
            <a:solidFill>
              <a:schemeClr val="tx1">
                <a:tint val="7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16000"/>
        <c:crosses val="autoZero"/>
        <c:crossBetween val="between"/>
      </c:valAx>
      <c:spPr>
        <a:noFill/>
        <a:ln>
          <a:noFill/>
        </a:ln>
        <a:effectLst/>
      </c:spPr>
    </c:plotArea>
    <c:legend>
      <c:legendPos val="b"/>
      <c:layout>
        <c:manualLayout>
          <c:xMode val="edge"/>
          <c:yMode val="edge"/>
          <c:x val="4.0715169349344552E-3"/>
          <c:y val="0.89832737395766271"/>
          <c:w val="0.5468266998528114"/>
          <c:h val="9.216120249768575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Reversed" id="22">
  <a:schemeClr val="accent2"/>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withinLinearReversed" id="22">
  <a:schemeClr val="accent2"/>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colors9.xml><?xml version="1.0" encoding="utf-8"?>
<cs:colorStyle xmlns:cs="http://schemas.microsoft.com/office/drawing/2012/chartStyle" xmlns:a="http://schemas.openxmlformats.org/drawingml/2006/main" meth="withinLinearReversed" id="25">
  <a:schemeClr val="accent5"/>
</cs:colorStyle>
</file>

<file path=xl/charts/colors10.xml><?xml version="1.0" encoding="utf-8"?>
<cs:colorStyle xmlns:cs="http://schemas.microsoft.com/office/drawing/2012/chartStyle" xmlns:a="http://schemas.openxmlformats.org/drawingml/2006/main" meth="withinLinearReversed" id="25">
  <a:schemeClr val="accent5"/>
</cs:colorStyle>
</file>

<file path=xl/charts/colors11.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47625</xdr:colOff>
      <xdr:row>37</xdr:row>
      <xdr:rowOff>9525</xdr:rowOff>
    </xdr:from>
    <xdr:to>
      <xdr:col>8</xdr:col>
      <xdr:colOff>5829300</xdr:colOff>
      <xdr:row>41</xdr:row>
      <xdr:rowOff>28575</xdr:rowOff>
    </xdr:to>
    <xdr:grpSp>
      <xdr:nvGrpSpPr>
        <xdr:cNvPr id="2" name="Group 1">
          <a:extLst>
            <a:ext uri="{FF2B5EF4-FFF2-40B4-BE49-F238E27FC236}">
              <a16:creationId xmlns:a16="http://schemas.microsoft.com/office/drawing/2014/main" id="{5D3A5B8D-E69D-4678-A24D-4A91BE1E8761}"/>
            </a:ext>
          </a:extLst>
        </xdr:cNvPr>
        <xdr:cNvGrpSpPr/>
      </xdr:nvGrpSpPr>
      <xdr:grpSpPr>
        <a:xfrm>
          <a:off x="4562475" y="7620000"/>
          <a:ext cx="6286500" cy="666750"/>
          <a:chOff x="4257674" y="8324850"/>
          <a:chExt cx="7353301" cy="666750"/>
        </a:xfrm>
      </xdr:grpSpPr>
      <xdr:pic>
        <xdr:nvPicPr>
          <xdr:cNvPr id="3" name="Picture 2">
            <a:extLst>
              <a:ext uri="{FF2B5EF4-FFF2-40B4-BE49-F238E27FC236}">
                <a16:creationId xmlns:a16="http://schemas.microsoft.com/office/drawing/2014/main" id="{635AF128-75B1-4E1E-A55A-D5A2EFB840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4" name="Rectangle 3">
            <a:extLst>
              <a:ext uri="{FF2B5EF4-FFF2-40B4-BE49-F238E27FC236}">
                <a16:creationId xmlns:a16="http://schemas.microsoft.com/office/drawing/2014/main" id="{00DF9AD9-C032-4820-97F3-4423A52EE906}"/>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90C0DE14-2881-4B15-9C70-3AAE186FA12F}"/>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62417</xdr:colOff>
      <xdr:row>45</xdr:row>
      <xdr:rowOff>85725</xdr:rowOff>
    </xdr:from>
    <xdr:to>
      <xdr:col>8</xdr:col>
      <xdr:colOff>5829300</xdr:colOff>
      <xdr:row>49</xdr:row>
      <xdr:rowOff>104775</xdr:rowOff>
    </xdr:to>
    <xdr:grpSp>
      <xdr:nvGrpSpPr>
        <xdr:cNvPr id="6" name="Group 5">
          <a:extLst>
            <a:ext uri="{FF2B5EF4-FFF2-40B4-BE49-F238E27FC236}">
              <a16:creationId xmlns:a16="http://schemas.microsoft.com/office/drawing/2014/main" id="{75590671-52CD-471E-95F9-D1057D55FFB9}"/>
            </a:ext>
          </a:extLst>
        </xdr:cNvPr>
        <xdr:cNvGrpSpPr/>
      </xdr:nvGrpSpPr>
      <xdr:grpSpPr>
        <a:xfrm>
          <a:off x="4577267" y="8991600"/>
          <a:ext cx="6271708" cy="666750"/>
          <a:chOff x="4276724" y="9696450"/>
          <a:chExt cx="7353301" cy="666750"/>
        </a:xfrm>
      </xdr:grpSpPr>
      <xdr:pic>
        <xdr:nvPicPr>
          <xdr:cNvPr id="7" name="Picture 6">
            <a:extLst>
              <a:ext uri="{FF2B5EF4-FFF2-40B4-BE49-F238E27FC236}">
                <a16:creationId xmlns:a16="http://schemas.microsoft.com/office/drawing/2014/main" id="{280D166F-F178-4A1A-AD13-BFAFBDD2AE2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8" name="Rectangle 7">
            <a:extLst>
              <a:ext uri="{FF2B5EF4-FFF2-40B4-BE49-F238E27FC236}">
                <a16:creationId xmlns:a16="http://schemas.microsoft.com/office/drawing/2014/main" id="{0D124CC2-A792-4949-98F6-354D2C2B1F8E}"/>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77209</xdr:colOff>
      <xdr:row>51</xdr:row>
      <xdr:rowOff>38100</xdr:rowOff>
    </xdr:from>
    <xdr:to>
      <xdr:col>8</xdr:col>
      <xdr:colOff>5829300</xdr:colOff>
      <xdr:row>55</xdr:row>
      <xdr:rowOff>123825</xdr:rowOff>
    </xdr:to>
    <xdr:grpSp>
      <xdr:nvGrpSpPr>
        <xdr:cNvPr id="9" name="Group 8">
          <a:extLst>
            <a:ext uri="{FF2B5EF4-FFF2-40B4-BE49-F238E27FC236}">
              <a16:creationId xmlns:a16="http://schemas.microsoft.com/office/drawing/2014/main" id="{3582E77E-4787-486C-AA35-6AD0BB66BF94}"/>
            </a:ext>
          </a:extLst>
        </xdr:cNvPr>
        <xdr:cNvGrpSpPr/>
      </xdr:nvGrpSpPr>
      <xdr:grpSpPr>
        <a:xfrm>
          <a:off x="4592059" y="9915525"/>
          <a:ext cx="6256916" cy="733425"/>
          <a:chOff x="4295775" y="10620375"/>
          <a:chExt cx="7334250" cy="733425"/>
        </a:xfrm>
      </xdr:grpSpPr>
      <xdr:pic>
        <xdr:nvPicPr>
          <xdr:cNvPr id="10" name="Picture 9">
            <a:extLst>
              <a:ext uri="{FF2B5EF4-FFF2-40B4-BE49-F238E27FC236}">
                <a16:creationId xmlns:a16="http://schemas.microsoft.com/office/drawing/2014/main" id="{392BDA4B-D8E2-4CFB-B851-63C512EEF916}"/>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1" name="Rectangle 10">
            <a:extLst>
              <a:ext uri="{FF2B5EF4-FFF2-40B4-BE49-F238E27FC236}">
                <a16:creationId xmlns:a16="http://schemas.microsoft.com/office/drawing/2014/main" id="{D3747F0E-E6D2-40B5-AE48-6BE32EFFF95E}"/>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15</xdr:col>
      <xdr:colOff>396863</xdr:colOff>
      <xdr:row>1</xdr:row>
      <xdr:rowOff>631337</xdr:rowOff>
    </xdr:to>
    <xdr:pic>
      <xdr:nvPicPr>
        <xdr:cNvPr id="2" name="Picture 1" descr="final-logo-example | Logos By Nick">
          <a:extLst>
            <a:ext uri="{FF2B5EF4-FFF2-40B4-BE49-F238E27FC236}">
              <a16:creationId xmlns:a16="http://schemas.microsoft.com/office/drawing/2014/main" id="{2B0BDD33-5547-4D0E-90B5-2008413E44BA}"/>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778" t="23976" r="15926" b="25438"/>
        <a:stretch/>
      </xdr:blipFill>
      <xdr:spPr bwMode="auto">
        <a:xfrm>
          <a:off x="0" y="201083"/>
          <a:ext cx="3068731" cy="6313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10</xdr:row>
      <xdr:rowOff>5292</xdr:rowOff>
    </xdr:from>
    <xdr:to>
      <xdr:col>6</xdr:col>
      <xdr:colOff>219075</xdr:colOff>
      <xdr:row>22</xdr:row>
      <xdr:rowOff>10055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497416</xdr:colOff>
      <xdr:row>10</xdr:row>
      <xdr:rowOff>5292</xdr:rowOff>
    </xdr:from>
    <xdr:to>
      <xdr:col>24</xdr:col>
      <xdr:colOff>60954</xdr:colOff>
      <xdr:row>22</xdr:row>
      <xdr:rowOff>10055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93131</xdr:colOff>
      <xdr:row>10</xdr:row>
      <xdr:rowOff>529</xdr:rowOff>
    </xdr:from>
    <xdr:to>
      <xdr:col>18</xdr:col>
      <xdr:colOff>346072</xdr:colOff>
      <xdr:row>22</xdr:row>
      <xdr:rowOff>14817</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184688</xdr:colOff>
      <xdr:row>37</xdr:row>
      <xdr:rowOff>98273</xdr:rowOff>
    </xdr:from>
    <xdr:to>
      <xdr:col>32</xdr:col>
      <xdr:colOff>247952</xdr:colOff>
      <xdr:row>51</xdr:row>
      <xdr:rowOff>98274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13541</xdr:colOff>
      <xdr:row>37</xdr:row>
      <xdr:rowOff>103036</xdr:rowOff>
    </xdr:from>
    <xdr:to>
      <xdr:col>10</xdr:col>
      <xdr:colOff>556380</xdr:colOff>
      <xdr:row>51</xdr:row>
      <xdr:rowOff>93511</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370418</xdr:colOff>
      <xdr:row>10</xdr:row>
      <xdr:rowOff>5292</xdr:rowOff>
    </xdr:from>
    <xdr:to>
      <xdr:col>11</xdr:col>
      <xdr:colOff>585254</xdr:colOff>
      <xdr:row>22</xdr:row>
      <xdr:rowOff>10055</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71798</xdr:colOff>
      <xdr:row>37</xdr:row>
      <xdr:rowOff>98273</xdr:rowOff>
    </xdr:from>
    <xdr:to>
      <xdr:col>21</xdr:col>
      <xdr:colOff>610037</xdr:colOff>
      <xdr:row>51</xdr:row>
      <xdr:rowOff>98274</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0</xdr:colOff>
      <xdr:row>1</xdr:row>
      <xdr:rowOff>52069</xdr:rowOff>
    </xdr:from>
    <xdr:to>
      <xdr:col>4</xdr:col>
      <xdr:colOff>570457</xdr:colOff>
      <xdr:row>4</xdr:row>
      <xdr:rowOff>174521</xdr:rowOff>
    </xdr:to>
    <xdr:pic>
      <xdr:nvPicPr>
        <xdr:cNvPr id="9" name="Picture 8" descr="final-logo-example | Logos By Nick">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5778" t="23976" r="15926" b="25438"/>
        <a:stretch/>
      </xdr:blipFill>
      <xdr:spPr bwMode="auto">
        <a:xfrm>
          <a:off x="0" y="234102"/>
          <a:ext cx="3264974" cy="6241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215900</xdr:colOff>
      <xdr:row>23</xdr:row>
      <xdr:rowOff>130855</xdr:rowOff>
    </xdr:from>
    <xdr:to>
      <xdr:col>6</xdr:col>
      <xdr:colOff>214842</xdr:colOff>
      <xdr:row>35</xdr:row>
      <xdr:rowOff>135618</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493183</xdr:colOff>
      <xdr:row>23</xdr:row>
      <xdr:rowOff>130855</xdr:rowOff>
    </xdr:from>
    <xdr:to>
      <xdr:col>24</xdr:col>
      <xdr:colOff>56721</xdr:colOff>
      <xdr:row>35</xdr:row>
      <xdr:rowOff>135618</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88898</xdr:colOff>
      <xdr:row>23</xdr:row>
      <xdr:rowOff>126092</xdr:rowOff>
    </xdr:from>
    <xdr:to>
      <xdr:col>18</xdr:col>
      <xdr:colOff>341839</xdr:colOff>
      <xdr:row>35</xdr:row>
      <xdr:rowOff>140380</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366185</xdr:colOff>
      <xdr:row>23</xdr:row>
      <xdr:rowOff>130855</xdr:rowOff>
    </xdr:from>
    <xdr:to>
      <xdr:col>11</xdr:col>
      <xdr:colOff>581021</xdr:colOff>
      <xdr:row>35</xdr:row>
      <xdr:rowOff>135618</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360798</xdr:colOff>
      <xdr:row>1</xdr:row>
      <xdr:rowOff>44441</xdr:rowOff>
    </xdr:from>
    <xdr:to>
      <xdr:col>4</xdr:col>
      <xdr:colOff>1125910</xdr:colOff>
      <xdr:row>3</xdr:row>
      <xdr:rowOff>59080</xdr:rowOff>
    </xdr:to>
    <xdr:pic>
      <xdr:nvPicPr>
        <xdr:cNvPr id="8" name="Picture 7" descr="final-logo-example | Logos By Nick">
          <a:extLst>
            <a:ext uri="{FF2B5EF4-FFF2-40B4-BE49-F238E27FC236}">
              <a16:creationId xmlns:a16="http://schemas.microsoft.com/office/drawing/2014/main" id="{00000000-0008-0000-0400-00000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778" t="23976" r="15926" b="25438"/>
        <a:stretch/>
      </xdr:blipFill>
      <xdr:spPr bwMode="auto">
        <a:xfrm>
          <a:off x="1642239" y="219876"/>
          <a:ext cx="1937737" cy="410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12096</xdr:colOff>
      <xdr:row>1</xdr:row>
      <xdr:rowOff>36285</xdr:rowOff>
    </xdr:from>
    <xdr:to>
      <xdr:col>4</xdr:col>
      <xdr:colOff>60946</xdr:colOff>
      <xdr:row>2</xdr:row>
      <xdr:rowOff>2529</xdr:rowOff>
    </xdr:to>
    <xdr:pic>
      <xdr:nvPicPr>
        <xdr:cNvPr id="2" name="Picture 1" descr="final-logo-example | Logos By Nick">
          <a:extLst>
            <a:ext uri="{FF2B5EF4-FFF2-40B4-BE49-F238E27FC236}">
              <a16:creationId xmlns:a16="http://schemas.microsoft.com/office/drawing/2014/main" id="{2861DCAE-D90F-435D-BE52-650E6DBA4CC3}"/>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778" t="23976" r="15926" b="25438"/>
        <a:stretch/>
      </xdr:blipFill>
      <xdr:spPr bwMode="auto">
        <a:xfrm>
          <a:off x="13366" y="243718"/>
          <a:ext cx="3040123" cy="6325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718763-D724-47A1-85A4-B6047D6109B5}" name="Table3" displayName="Table3" ref="T209:AP216" headerRowCount="0" totalsRowShown="0" headerRowDxfId="73" dataDxfId="72" headerRowCellStyle="Normal 2" dataCellStyle="Normal 2">
  <tableColumns count="23">
    <tableColumn id="1" xr3:uid="{6BA0E163-CC8D-4740-9214-1946CC7EFCBA}" name="Column1" headerRowDxfId="71" dataDxfId="70" headerRowCellStyle="Normal 2" dataCellStyle="Normal 2"/>
    <tableColumn id="2" xr3:uid="{0B831289-E2A2-43D2-A1CE-2530A61CD4C1}" name="Column2" headerRowDxfId="69" dataDxfId="68" headerRowCellStyle="Normal 2" dataCellStyle="Normal 2">
      <calculatedColumnFormula>$T209+(U$209-1)</calculatedColumnFormula>
    </tableColumn>
    <tableColumn id="3" xr3:uid="{7D9BB06F-B480-4062-99F3-51F7618150D9}" name="Column3" headerRowDxfId="67" dataDxfId="66" headerRowCellStyle="Normal 2" dataCellStyle="Normal 2">
      <calculatedColumnFormula>$T209+(V$209-1)</calculatedColumnFormula>
    </tableColumn>
    <tableColumn id="4" xr3:uid="{087EE021-5C3A-4487-B3F1-8CDB27A29A0E}" name="Column4" headerRowDxfId="65" dataDxfId="64" headerRowCellStyle="Normal 2" dataCellStyle="Normal 2">
      <calculatedColumnFormula>$T209+(W$209-1)</calculatedColumnFormula>
    </tableColumn>
    <tableColumn id="5" xr3:uid="{C9E68060-ABA8-44CA-92DF-5767673350B3}" name="Column5" headerRowDxfId="63" dataDxfId="62" headerRowCellStyle="Normal 2" dataCellStyle="Normal 2">
      <calculatedColumnFormula>$T209+(X$209-1)</calculatedColumnFormula>
    </tableColumn>
    <tableColumn id="6" xr3:uid="{75A3DAEB-4646-4771-9230-7FD290FE5A62}" name="Column6" headerRowDxfId="61" dataDxfId="60" headerRowCellStyle="Normal 2" dataCellStyle="Normal 2">
      <calculatedColumnFormula>$T209+(Y$209-1)</calculatedColumnFormula>
    </tableColumn>
    <tableColumn id="7" xr3:uid="{7CC6FD3F-848A-406A-B3C5-C2B4DBFDB462}" name="Column7" headerRowDxfId="59" dataDxfId="58" headerRowCellStyle="Normal 2" dataCellStyle="Normal 2">
      <calculatedColumnFormula>$T209+(Z$209-1)</calculatedColumnFormula>
    </tableColumn>
    <tableColumn id="25" xr3:uid="{0E89E833-BEA1-441D-B2DB-A180921C7464}" name="Column23" headerRowDxfId="57" dataDxfId="56" headerRowCellStyle="Normal 2" dataCellStyle="Normal 2"/>
    <tableColumn id="24" xr3:uid="{97EB0C5A-CF51-4A31-A00A-D7A9D3CBD18E}" name="Column22" headerRowDxfId="55" dataDxfId="54" headerRowCellStyle="Normal 2" dataCellStyle="Normal 2"/>
    <tableColumn id="23" xr3:uid="{924BD121-55BF-40B0-9400-E2E67F4B1DA9}" name="Column21" headerRowDxfId="53" dataDxfId="52" headerRowCellStyle="Normal 2" dataCellStyle="Normal 2"/>
    <tableColumn id="22" xr3:uid="{184E55D4-7C9E-43AA-8C25-9DC50D817667}" name="Column20" headerRowDxfId="51" dataDxfId="50" headerRowCellStyle="Normal 2" dataCellStyle="Normal 2"/>
    <tableColumn id="21" xr3:uid="{A2A47239-B7F9-40EA-879A-E4365526EBF9}" name="Column19" headerRowDxfId="49" dataDxfId="48" headerRowCellStyle="Normal 2" dataCellStyle="Normal 2"/>
    <tableColumn id="20" xr3:uid="{E48FB9B8-6760-40F4-B0E8-FC4516B90396}" name="Column18" headerRowDxfId="47" dataDxfId="46" headerRowCellStyle="Normal 2" dataCellStyle="Normal 2"/>
    <tableColumn id="19" xr3:uid="{085F1774-20BD-40C4-BAD9-7C447E8AC4E8}" name="Column17" headerRowDxfId="45" dataDxfId="44" headerRowCellStyle="Normal 2" dataCellStyle="Normal 2"/>
    <tableColumn id="18" xr3:uid="{73C26CBE-7817-4919-8CB9-398B582D019C}" name="Column16" headerRowDxfId="43" dataDxfId="42" headerRowCellStyle="Normal 2" dataCellStyle="Normal 2"/>
    <tableColumn id="17" xr3:uid="{04DBA6E7-3977-4114-B94B-7916CAEA4619}" name="Column15" headerRowDxfId="41" dataDxfId="40" headerRowCellStyle="Normal 2" dataCellStyle="Normal 2"/>
    <tableColumn id="16" xr3:uid="{A8A7BEDC-A7B5-49DD-A5A3-21E145C0702A}" name="Column14" headerRowDxfId="39" dataDxfId="38" headerRowCellStyle="Normal 2" dataCellStyle="Normal 2"/>
    <tableColumn id="15" xr3:uid="{A19BA41D-D4C2-4BD1-813E-AADAC89C7CAF}" name="Column13" headerRowDxfId="37" dataDxfId="36" headerRowCellStyle="Normal 2" dataCellStyle="Normal 2"/>
    <tableColumn id="14" xr3:uid="{4E2B277D-BE11-4CA4-A7ED-27E27FE1EBE8}" name="Column12" headerRowDxfId="35" dataDxfId="34" headerRowCellStyle="Normal 2" dataCellStyle="Normal 2"/>
    <tableColumn id="13" xr3:uid="{01C6A9CF-81B7-40A3-8E6A-D95D28756599}" name="Column11" headerRowDxfId="33" dataDxfId="32" headerRowCellStyle="Normal 2" dataCellStyle="Normal 2"/>
    <tableColumn id="12" xr3:uid="{92EDC9B4-0B9A-4CB4-8464-C7974562DFB3}" name="Column10" headerRowDxfId="31" dataDxfId="30" headerRowCellStyle="Normal 2" dataCellStyle="Normal 2"/>
    <tableColumn id="8" xr3:uid="{19C7379C-FED1-4467-B5E5-970302C7D967}" name="Column8" headerRowDxfId="29" dataDxfId="28" headerRowCellStyle="Normal 2" dataCellStyle="Normal 2"/>
    <tableColumn id="9" xr3:uid="{A99FEAC7-8C43-4925-916C-F66C436A6EE7}" name="Column9" headerRowDxfId="27" dataDxfId="26" headerRowCellStyle="Normal 2" dataCellStyle="Normal 2">
      <calculatedColumnFormula>$T209+(AP$209-1)</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9E5774-1B57-4921-A096-0EFC61E07A96}" name="tblProd" displayName="tblProd" ref="B4:B10" totalsRowShown="0" headerRowDxfId="25" dataDxfId="24">
  <autoFilter ref="B4:B10" xr:uid="{6FA8C3DD-762E-4A04-888F-848B9EFA2E27}">
    <filterColumn colId="0" hiddenButton="1"/>
  </autoFilter>
  <tableColumns count="1">
    <tableColumn id="1" xr3:uid="{47C29AF1-7869-4676-BCBD-52D2B9F977DF}" name="Total # of Products" dataDxfId="23"/>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69E926-CAF0-4232-B2C6-2FBACC097E67}" name="tblProj" displayName="tblProj" ref="D4:D6" totalsRowShown="0" headerRowDxfId="22" dataDxfId="21">
  <autoFilter ref="D4:D6" xr:uid="{0344EC30-3F9F-4383-887D-DF4F1D5B343A}">
    <filterColumn colId="0" hiddenButton="1"/>
  </autoFilter>
  <tableColumns count="1">
    <tableColumn id="1" xr3:uid="{4B98B354-FEBD-4716-BF8B-6CDE97ED3A0D}" name="Year Selection" dataDxfId="20"/>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787E50-A702-4F7B-9A44-39D08C999F91}" name="Table38" displayName="Table38" ref="H209:P216" headerRowCount="0" totalsRowShown="0" headerRowDxfId="19" dataDxfId="18" headerRowCellStyle="Normal 2" dataCellStyle="Normal 2">
  <tableColumns count="9">
    <tableColumn id="1" xr3:uid="{79DC044B-0D7C-466C-A513-0A647DDFD8CE}" name="Column1" headerRowDxfId="17" dataDxfId="16" headerRowCellStyle="Normal 2" dataCellStyle="Normal 2"/>
    <tableColumn id="2" xr3:uid="{B92CC84D-2BC9-4D0E-A539-42116717B4A9}" name="Column2" headerRowDxfId="15" dataDxfId="14" headerRowCellStyle="Normal 2" dataCellStyle="Normal 2">
      <calculatedColumnFormula>$H209+(I$209-1)</calculatedColumnFormula>
    </tableColumn>
    <tableColumn id="3" xr3:uid="{38746207-2B06-42C6-91BA-B5D2D696E7D1}" name="Column3" headerRowDxfId="13" dataDxfId="12" headerRowCellStyle="Normal 2" dataCellStyle="Normal 2">
      <calculatedColumnFormula>$H209+(J$209-1)</calculatedColumnFormula>
    </tableColumn>
    <tableColumn id="4" xr3:uid="{60033CFD-D0F8-4129-B7DA-FC8C4A77D544}" name="Column4" headerRowDxfId="11" dataDxfId="10" headerRowCellStyle="Normal 2" dataCellStyle="Normal 2">
      <calculatedColumnFormula>$H209+(K$209-1)</calculatedColumnFormula>
    </tableColumn>
    <tableColumn id="5" xr3:uid="{223FB89C-67D7-4FA0-B939-E95F3C8D693D}" name="Column5" headerRowDxfId="9" dataDxfId="8" headerRowCellStyle="Normal 2" dataCellStyle="Normal 2">
      <calculatedColumnFormula>$H209+(L$209-1)</calculatedColumnFormula>
    </tableColumn>
    <tableColumn id="6" xr3:uid="{CDBAE673-58E4-4035-B6D4-8ED650CDEBED}" name="Column6" headerRowDxfId="7" dataDxfId="6" headerRowCellStyle="Normal 2" dataCellStyle="Normal 2">
      <calculatedColumnFormula>$H209+(M$209-1)</calculatedColumnFormula>
    </tableColumn>
    <tableColumn id="7" xr3:uid="{B68A687C-99D5-47C1-AAD7-6A61CE127801}" name="Column7" headerRowDxfId="5" dataDxfId="4" headerRowCellStyle="Normal 2" dataCellStyle="Normal 2">
      <calculatedColumnFormula>$H209+(N$209-1)</calculatedColumnFormula>
    </tableColumn>
    <tableColumn id="8" xr3:uid="{A89598B2-8B54-4045-AF38-040727ADC9AB}" name="Column8" headerRowDxfId="3" dataDxfId="2" headerRowCellStyle="Normal 2" dataCellStyle="Normal 2"/>
    <tableColumn id="9" xr3:uid="{06E2AFA1-1B70-4D08-8779-9F52F753DEED}" name="Column9" headerRowDxfId="1" dataDxfId="0" headerRowCellStyle="Normal 2" dataCellStyle="Normal 2">
      <calculatedColumnFormula>$H209+(P$209-1)</calculatedColumnFormula>
    </tableColumn>
  </tableColumns>
  <tableStyleInfo name="TableStyleLight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ircuit">
  <a:themeElements>
    <a:clrScheme name="Circuit">
      <a:dk1>
        <a:sysClr val="windowText" lastClr="000000"/>
      </a:dk1>
      <a:lt1>
        <a:sysClr val="window" lastClr="FFFFFF"/>
      </a:lt1>
      <a:dk2>
        <a:srgbClr val="134770"/>
      </a:dk2>
      <a:lt2>
        <a:srgbClr val="82FFFF"/>
      </a:lt2>
      <a:accent1>
        <a:srgbClr val="9ACD4C"/>
      </a:accent1>
      <a:accent2>
        <a:srgbClr val="FAA93A"/>
      </a:accent2>
      <a:accent3>
        <a:srgbClr val="D35940"/>
      </a:accent3>
      <a:accent4>
        <a:srgbClr val="B258D3"/>
      </a:accent4>
      <a:accent5>
        <a:srgbClr val="63A0CC"/>
      </a:accent5>
      <a:accent6>
        <a:srgbClr val="8AC4A7"/>
      </a:accent6>
      <a:hlink>
        <a:srgbClr val="B8FA56"/>
      </a:hlink>
      <a:folHlink>
        <a:srgbClr val="7AF8CC"/>
      </a:folHlink>
    </a:clrScheme>
    <a:fontScheme name="Circui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Circuit">
      <a:fillStyleLst>
        <a:solidFill>
          <a:schemeClr val="phClr"/>
        </a:solidFill>
        <a:gradFill rotWithShape="1">
          <a:gsLst>
            <a:gs pos="0">
              <a:schemeClr val="phClr">
                <a:tint val="58000"/>
                <a:satMod val="108000"/>
                <a:lumMod val="110000"/>
              </a:schemeClr>
            </a:gs>
            <a:gs pos="100000">
              <a:schemeClr val="phClr">
                <a:tint val="81000"/>
                <a:satMod val="109000"/>
                <a:lumMod val="105000"/>
              </a:schemeClr>
            </a:gs>
          </a:gsLst>
          <a:lin ang="5040000" scaled="0"/>
        </a:gradFill>
        <a:gradFill rotWithShape="1">
          <a:gsLst>
            <a:gs pos="0">
              <a:schemeClr val="phClr">
                <a:tint val="94000"/>
                <a:satMod val="105000"/>
                <a:lumMod val="102000"/>
              </a:schemeClr>
            </a:gs>
            <a:gs pos="100000">
              <a:schemeClr val="phClr">
                <a:shade val="74000"/>
                <a:satMod val="128000"/>
                <a:lumMod val="10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98000"/>
                <a:hueMod val="94000"/>
                <a:satMod val="148000"/>
                <a:lumMod val="150000"/>
              </a:schemeClr>
            </a:gs>
            <a:gs pos="100000">
              <a:schemeClr val="phClr">
                <a:shade val="92000"/>
                <a:hueMod val="104000"/>
                <a:satMod val="140000"/>
                <a:lumMod val="68000"/>
              </a:schemeClr>
            </a:gs>
          </a:gsLst>
          <a:lin ang="5040000" scaled="0"/>
        </a:gradFill>
        <a:blipFill>
          <a:blip xmlns:r="http://schemas.openxmlformats.org/officeDocument/2006/relationships" r:embed="rId1">
            <a:duotone>
              <a:schemeClr val="phClr">
                <a:shade val="88000"/>
                <a:hueMod val="106000"/>
                <a:satMod val="140000"/>
                <a:lumMod val="54000"/>
              </a:schemeClr>
              <a:schemeClr val="phClr">
                <a:tint val="98000"/>
                <a:hueMod val="90000"/>
                <a:satMod val="150000"/>
                <a:lumMod val="160000"/>
              </a:schemeClr>
            </a:duotone>
          </a:blip>
          <a:stretch/>
        </a:blipFill>
      </a:bgFillStyleLst>
    </a:fmtScheme>
  </a:themeElements>
  <a:objectDefaults/>
  <a:extraClrSchemeLst/>
  <a:extLst>
    <a:ext uri="{05A4C25C-085E-4340-85A3-A5531E510DB2}">
      <thm15:themeFamily xmlns:thm15="http://schemas.microsoft.com/office/thememl/2012/main" name="Circuit" id="{0AC2F7E7-15F5-431C-B2A2-456FE929F56C}" vid="{0911B802-464C-4241-8DD9-B60FF88E379F}"/>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simplesheets.co/"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852BE-66BB-4034-8FF4-D25A61864FC8}">
  <sheetPr codeName="Sheet2"/>
  <dimension ref="A2:R63"/>
  <sheetViews>
    <sheetView showGridLines="0" showRowColHeaders="0" tabSelected="1" topLeftCell="B1" zoomScaleNormal="100" workbookViewId="0">
      <selection activeCell="H2" sqref="H2"/>
    </sheetView>
  </sheetViews>
  <sheetFormatPr defaultColWidth="0" defaultRowHeight="12.75" x14ac:dyDescent="0.2"/>
  <cols>
    <col min="1" max="1" width="3.5" style="2" hidden="1" customWidth="1"/>
    <col min="2" max="2" width="0.875" style="4" customWidth="1"/>
    <col min="3" max="3" width="22.5" style="4" customWidth="1"/>
    <col min="4" max="4" width="0.875" style="4" customWidth="1"/>
    <col min="5" max="5" width="3.5" style="2" customWidth="1"/>
    <col min="6" max="6" width="17.5" style="2" customWidth="1"/>
    <col min="7" max="7" width="14" style="2" customWidth="1"/>
    <col min="8" max="8" width="6.625" style="2" customWidth="1"/>
    <col min="9" max="9" width="91.375" style="2" customWidth="1"/>
    <col min="10" max="10" width="8.875" style="2" customWidth="1"/>
    <col min="11" max="16384" width="7.875" style="2" hidden="1"/>
  </cols>
  <sheetData>
    <row r="2" spans="3:9" x14ac:dyDescent="0.2">
      <c r="C2" s="13" t="s">
        <v>0</v>
      </c>
      <c r="F2" s="1" t="s">
        <v>1</v>
      </c>
      <c r="H2" s="1" t="s">
        <v>49</v>
      </c>
    </row>
    <row r="4" spans="3:9" ht="13.15" customHeight="1" x14ac:dyDescent="0.2">
      <c r="C4" s="95" t="s">
        <v>57</v>
      </c>
      <c r="F4" s="1" t="s">
        <v>2</v>
      </c>
      <c r="H4" s="143" t="s">
        <v>60</v>
      </c>
      <c r="I4" s="143"/>
    </row>
    <row r="5" spans="3:9" ht="26.1" customHeight="1" x14ac:dyDescent="0.2">
      <c r="C5" s="95" t="s">
        <v>13</v>
      </c>
    </row>
    <row r="6" spans="3:9" ht="13.15" customHeight="1" x14ac:dyDescent="0.2">
      <c r="C6" s="95" t="s">
        <v>15</v>
      </c>
      <c r="H6" s="143" t="s">
        <v>85</v>
      </c>
      <c r="I6" s="143"/>
    </row>
    <row r="7" spans="3:9" x14ac:dyDescent="0.2">
      <c r="C7" s="95" t="s">
        <v>12</v>
      </c>
    </row>
    <row r="8" spans="3:9" x14ac:dyDescent="0.2">
      <c r="C8" s="15"/>
      <c r="H8" s="143"/>
      <c r="I8" s="143"/>
    </row>
    <row r="9" spans="3:9" x14ac:dyDescent="0.2">
      <c r="H9" s="8"/>
      <c r="I9" s="8"/>
    </row>
    <row r="11" spans="3:9" x14ac:dyDescent="0.2">
      <c r="F11" s="1" t="s">
        <v>3</v>
      </c>
      <c r="H11" s="2">
        <v>2</v>
      </c>
    </row>
    <row r="13" spans="3:9" x14ac:dyDescent="0.2">
      <c r="F13" s="1" t="s">
        <v>4</v>
      </c>
    </row>
    <row r="14" spans="3:9" ht="30" customHeight="1" x14ac:dyDescent="0.2">
      <c r="G14" s="9" t="s">
        <v>57</v>
      </c>
      <c r="H14" s="144" t="s">
        <v>66</v>
      </c>
      <c r="I14" s="144"/>
    </row>
    <row r="15" spans="3:9" ht="12.4" customHeight="1" x14ac:dyDescent="0.2">
      <c r="G15" s="10" t="s">
        <v>13</v>
      </c>
      <c r="H15" s="144" t="s">
        <v>67</v>
      </c>
      <c r="I15" s="144"/>
    </row>
    <row r="16" spans="3:9" ht="12.4" customHeight="1" x14ac:dyDescent="0.2">
      <c r="G16" s="11"/>
      <c r="H16" s="144" t="s">
        <v>68</v>
      </c>
      <c r="I16" s="144"/>
    </row>
    <row r="17" spans="6:9" ht="24" customHeight="1" x14ac:dyDescent="0.2">
      <c r="G17" s="11"/>
      <c r="H17" s="144" t="s">
        <v>69</v>
      </c>
      <c r="I17" s="144"/>
    </row>
    <row r="18" spans="6:9" ht="33.950000000000003" customHeight="1" x14ac:dyDescent="0.2">
      <c r="F18" s="16" t="s">
        <v>5</v>
      </c>
      <c r="G18" s="10" t="s">
        <v>12</v>
      </c>
      <c r="H18" s="140" t="s">
        <v>17</v>
      </c>
      <c r="I18" s="140"/>
    </row>
    <row r="19" spans="6:9" ht="19.899999999999999" customHeight="1" x14ac:dyDescent="0.2">
      <c r="G19" s="10"/>
      <c r="H19" s="141" t="s">
        <v>18</v>
      </c>
      <c r="I19" s="141"/>
    </row>
    <row r="20" spans="6:9" ht="21" customHeight="1" x14ac:dyDescent="0.2">
      <c r="G20" s="12" t="s">
        <v>6</v>
      </c>
      <c r="H20" s="144" t="s">
        <v>70</v>
      </c>
      <c r="I20" s="144"/>
    </row>
    <row r="21" spans="6:9" ht="19.899999999999999" customHeight="1" x14ac:dyDescent="0.2">
      <c r="G21" s="12" t="s">
        <v>7</v>
      </c>
      <c r="H21" s="144" t="s">
        <v>71</v>
      </c>
      <c r="I21" s="144"/>
    </row>
    <row r="22" spans="6:9" ht="26.65" customHeight="1" x14ac:dyDescent="0.2">
      <c r="G22" s="14" t="s">
        <v>8</v>
      </c>
      <c r="H22" s="145" t="s">
        <v>9</v>
      </c>
      <c r="I22" s="145"/>
    </row>
    <row r="23" spans="6:9" ht="7.5" customHeight="1" x14ac:dyDescent="0.2">
      <c r="G23" s="14"/>
      <c r="H23" s="94"/>
      <c r="I23" s="94"/>
    </row>
    <row r="24" spans="6:9" ht="21.75" customHeight="1" x14ac:dyDescent="0.2">
      <c r="G24" s="10" t="s">
        <v>57</v>
      </c>
      <c r="H24" s="140" t="s">
        <v>72</v>
      </c>
      <c r="I24" s="140"/>
    </row>
    <row r="25" spans="6:9" ht="13.15" hidden="1" customHeight="1" x14ac:dyDescent="0.2">
      <c r="G25" s="10" t="s">
        <v>20</v>
      </c>
      <c r="H25" s="142" t="s">
        <v>19</v>
      </c>
      <c r="I25" s="142"/>
    </row>
    <row r="26" spans="6:9" ht="21" customHeight="1" x14ac:dyDescent="0.2">
      <c r="G26" s="10"/>
      <c r="H26" s="139" t="s">
        <v>82</v>
      </c>
      <c r="I26" s="139"/>
    </row>
    <row r="27" spans="6:9" ht="16.5" customHeight="1" x14ac:dyDescent="0.2">
      <c r="G27" s="14" t="s">
        <v>6</v>
      </c>
      <c r="H27" s="137" t="s">
        <v>76</v>
      </c>
      <c r="I27" s="137"/>
    </row>
    <row r="28" spans="6:9" ht="16.5" customHeight="1" x14ac:dyDescent="0.2">
      <c r="G28" s="3" t="s">
        <v>7</v>
      </c>
      <c r="H28" s="137" t="s">
        <v>73</v>
      </c>
      <c r="I28" s="137"/>
    </row>
    <row r="29" spans="6:9" ht="16.5" customHeight="1" x14ac:dyDescent="0.2">
      <c r="G29" s="3" t="s">
        <v>8</v>
      </c>
      <c r="H29" s="137" t="s">
        <v>74</v>
      </c>
      <c r="I29" s="137"/>
    </row>
    <row r="30" spans="6:9" ht="16.5" customHeight="1" x14ac:dyDescent="0.2">
      <c r="G30" s="3" t="s">
        <v>77</v>
      </c>
      <c r="H30" s="137" t="s">
        <v>75</v>
      </c>
      <c r="I30" s="137"/>
    </row>
    <row r="31" spans="6:9" ht="26.25" customHeight="1" x14ac:dyDescent="0.2">
      <c r="G31" s="134" t="s">
        <v>83</v>
      </c>
      <c r="H31" s="138" t="s">
        <v>84</v>
      </c>
      <c r="I31" s="138"/>
    </row>
    <row r="32" spans="6:9" ht="16.5" customHeight="1" x14ac:dyDescent="0.2">
      <c r="H32" s="3"/>
    </row>
    <row r="33" spans="6:18" x14ac:dyDescent="0.2">
      <c r="H33" s="3"/>
    </row>
    <row r="34" spans="6:18" x14ac:dyDescent="0.2">
      <c r="F34" s="1" t="s">
        <v>86</v>
      </c>
      <c r="G34" s="3"/>
      <c r="H34" s="136" t="s">
        <v>87</v>
      </c>
      <c r="L34" s="157"/>
      <c r="M34" s="157"/>
      <c r="N34" s="157"/>
      <c r="O34" s="157"/>
      <c r="P34" s="157"/>
      <c r="Q34" s="157"/>
      <c r="R34" s="157"/>
    </row>
    <row r="35" spans="6:18" x14ac:dyDescent="0.2">
      <c r="H35" s="136" t="s">
        <v>88</v>
      </c>
      <c r="L35" s="157"/>
      <c r="M35" s="157"/>
      <c r="N35" s="157"/>
      <c r="O35" s="157"/>
      <c r="P35" s="157"/>
      <c r="Q35" s="157"/>
      <c r="R35" s="157"/>
    </row>
    <row r="36" spans="6:18" x14ac:dyDescent="0.2">
      <c r="L36" s="157"/>
      <c r="M36" s="157"/>
      <c r="N36" s="157"/>
      <c r="O36" s="157"/>
      <c r="P36" s="157"/>
      <c r="Q36" s="157"/>
      <c r="R36" s="157"/>
    </row>
    <row r="37" spans="6:18" x14ac:dyDescent="0.2">
      <c r="G37" s="158" t="s">
        <v>89</v>
      </c>
      <c r="H37" s="2" t="s">
        <v>90</v>
      </c>
      <c r="L37" s="157"/>
      <c r="M37" s="157"/>
      <c r="N37" s="157"/>
      <c r="O37" s="157"/>
      <c r="P37" s="157"/>
      <c r="Q37" s="157"/>
      <c r="R37" s="157"/>
    </row>
    <row r="38" spans="6:18" x14ac:dyDescent="0.2">
      <c r="H38" s="3"/>
      <c r="L38" s="157"/>
      <c r="M38" s="157"/>
      <c r="N38" s="157"/>
      <c r="O38" s="157"/>
      <c r="P38" s="157"/>
      <c r="Q38" s="157"/>
      <c r="R38" s="157"/>
    </row>
    <row r="39" spans="6:18" x14ac:dyDescent="0.2">
      <c r="H39" s="3"/>
      <c r="L39" s="157"/>
      <c r="M39" s="157"/>
      <c r="N39" s="157"/>
      <c r="O39" s="157"/>
      <c r="P39" s="157"/>
      <c r="Q39" s="157"/>
      <c r="R39" s="157"/>
    </row>
    <row r="40" spans="6:18" x14ac:dyDescent="0.2">
      <c r="H40" s="3"/>
      <c r="L40" s="157"/>
      <c r="M40" s="157"/>
      <c r="N40" s="157"/>
      <c r="O40" s="157"/>
      <c r="P40" s="157"/>
      <c r="Q40" s="157"/>
      <c r="R40" s="157"/>
    </row>
    <row r="41" spans="6:18" x14ac:dyDescent="0.2">
      <c r="H41" s="3"/>
      <c r="L41" s="157"/>
      <c r="M41" s="157"/>
      <c r="N41" s="157"/>
      <c r="O41" s="157"/>
      <c r="P41" s="157"/>
      <c r="Q41" s="157"/>
      <c r="R41" s="157"/>
    </row>
    <row r="42" spans="6:18" x14ac:dyDescent="0.2">
      <c r="H42" s="3"/>
      <c r="L42" s="157"/>
      <c r="M42" s="157"/>
      <c r="N42" s="157"/>
      <c r="O42" s="157"/>
      <c r="P42" s="157"/>
      <c r="Q42" s="157"/>
      <c r="R42" s="157"/>
    </row>
    <row r="43" spans="6:18" x14ac:dyDescent="0.2">
      <c r="G43" s="158" t="s">
        <v>91</v>
      </c>
      <c r="H43" s="2" t="s">
        <v>92</v>
      </c>
      <c r="L43" s="157"/>
      <c r="M43" s="157"/>
      <c r="N43" s="157"/>
      <c r="O43" s="157"/>
      <c r="P43" s="157"/>
      <c r="Q43" s="157"/>
      <c r="R43" s="157"/>
    </row>
    <row r="44" spans="6:18" x14ac:dyDescent="0.2">
      <c r="L44" s="157"/>
      <c r="M44" s="157"/>
      <c r="N44" s="157"/>
      <c r="O44" s="157"/>
      <c r="P44" s="157"/>
      <c r="Q44" s="157"/>
      <c r="R44" s="157"/>
    </row>
    <row r="45" spans="6:18" x14ac:dyDescent="0.2">
      <c r="G45" s="158" t="s">
        <v>93</v>
      </c>
      <c r="H45" s="2" t="s">
        <v>94</v>
      </c>
      <c r="L45" s="157"/>
      <c r="M45" s="157"/>
      <c r="N45" s="157"/>
      <c r="O45" s="157"/>
      <c r="P45" s="157"/>
      <c r="Q45" s="157"/>
      <c r="R45" s="157"/>
    </row>
    <row r="46" spans="6:18" x14ac:dyDescent="0.2">
      <c r="L46" s="157"/>
      <c r="M46" s="157"/>
      <c r="N46" s="157"/>
      <c r="O46" s="157"/>
      <c r="P46" s="157"/>
      <c r="Q46" s="157"/>
      <c r="R46" s="157"/>
    </row>
    <row r="47" spans="6:18" x14ac:dyDescent="0.2">
      <c r="L47" s="157"/>
      <c r="M47" s="157"/>
      <c r="N47" s="157"/>
      <c r="O47" s="157"/>
      <c r="P47" s="157"/>
      <c r="Q47" s="157"/>
      <c r="R47" s="157"/>
    </row>
    <row r="48" spans="6:18" x14ac:dyDescent="0.2">
      <c r="L48" s="157"/>
      <c r="M48" s="157"/>
      <c r="N48" s="157"/>
      <c r="O48" s="157"/>
      <c r="P48" s="157"/>
      <c r="Q48" s="157"/>
      <c r="R48" s="157"/>
    </row>
    <row r="49" spans="6:18" x14ac:dyDescent="0.2">
      <c r="L49" s="157"/>
      <c r="M49" s="157"/>
      <c r="N49" s="157"/>
      <c r="O49" s="157"/>
      <c r="P49" s="157"/>
      <c r="Q49" s="157"/>
      <c r="R49" s="157"/>
    </row>
    <row r="50" spans="6:18" x14ac:dyDescent="0.2">
      <c r="L50" s="157"/>
      <c r="M50" s="157"/>
      <c r="N50" s="157"/>
      <c r="O50" s="157"/>
      <c r="P50" s="157"/>
      <c r="Q50" s="157"/>
      <c r="R50" s="157"/>
    </row>
    <row r="51" spans="6:18" x14ac:dyDescent="0.2">
      <c r="G51" s="158" t="s">
        <v>95</v>
      </c>
      <c r="H51" s="2" t="s">
        <v>96</v>
      </c>
      <c r="L51" s="157"/>
      <c r="M51" s="157"/>
      <c r="N51" s="157"/>
      <c r="O51" s="157"/>
      <c r="P51" s="157"/>
      <c r="Q51" s="157"/>
      <c r="R51" s="157"/>
    </row>
    <row r="52" spans="6:18" x14ac:dyDescent="0.2">
      <c r="L52" s="157"/>
      <c r="M52" s="157"/>
      <c r="N52" s="157"/>
      <c r="O52" s="157"/>
      <c r="P52" s="157"/>
      <c r="Q52" s="157"/>
      <c r="R52" s="157"/>
    </row>
    <row r="53" spans="6:18" x14ac:dyDescent="0.2">
      <c r="L53" s="157"/>
      <c r="M53" s="157"/>
      <c r="N53" s="157"/>
      <c r="O53" s="157"/>
      <c r="P53" s="157"/>
      <c r="Q53" s="157"/>
      <c r="R53" s="157"/>
    </row>
    <row r="54" spans="6:18" x14ac:dyDescent="0.2">
      <c r="L54" s="157"/>
      <c r="M54" s="157"/>
      <c r="N54" s="157"/>
      <c r="O54" s="157"/>
      <c r="P54" s="157"/>
      <c r="Q54" s="157"/>
      <c r="R54" s="157"/>
    </row>
    <row r="55" spans="6:18" x14ac:dyDescent="0.2">
      <c r="L55" s="157"/>
      <c r="M55" s="157"/>
      <c r="N55" s="157"/>
      <c r="O55" s="157"/>
      <c r="P55" s="157"/>
      <c r="Q55" s="157"/>
      <c r="R55" s="157"/>
    </row>
    <row r="56" spans="6:18" x14ac:dyDescent="0.2">
      <c r="L56" s="157"/>
      <c r="M56" s="157"/>
      <c r="N56" s="157"/>
      <c r="O56" s="157"/>
      <c r="P56" s="157"/>
      <c r="Q56" s="157"/>
      <c r="R56" s="157"/>
    </row>
    <row r="57" spans="6:18" x14ac:dyDescent="0.2">
      <c r="H57" s="136"/>
      <c r="L57" s="157"/>
      <c r="M57" s="157"/>
      <c r="N57" s="157"/>
      <c r="O57" s="157"/>
      <c r="P57" s="157"/>
      <c r="Q57" s="157"/>
      <c r="R57" s="157"/>
    </row>
    <row r="58" spans="6:18" x14ac:dyDescent="0.2">
      <c r="H58" s="157" t="s">
        <v>97</v>
      </c>
      <c r="L58" s="157"/>
      <c r="M58" s="157"/>
      <c r="N58" s="157"/>
      <c r="O58" s="157"/>
      <c r="P58" s="157"/>
      <c r="Q58" s="157"/>
      <c r="R58" s="157"/>
    </row>
    <row r="59" spans="6:18" ht="14.25" x14ac:dyDescent="0.2">
      <c r="H59" s="159" t="s">
        <v>98</v>
      </c>
      <c r="L59" s="157"/>
      <c r="M59" s="157"/>
      <c r="N59" s="157"/>
      <c r="O59" s="157"/>
      <c r="P59" s="157"/>
      <c r="Q59" s="157"/>
      <c r="R59" s="157"/>
    </row>
    <row r="60" spans="6:18" x14ac:dyDescent="0.2">
      <c r="H60" s="157" t="s">
        <v>99</v>
      </c>
      <c r="L60" s="157"/>
      <c r="M60" s="157"/>
      <c r="N60" s="157"/>
      <c r="O60" s="157"/>
      <c r="P60" s="157"/>
      <c r="Q60" s="157"/>
      <c r="R60" s="157"/>
    </row>
    <row r="61" spans="6:18" x14ac:dyDescent="0.2">
      <c r="H61" s="157" t="s">
        <v>100</v>
      </c>
      <c r="L61" s="157"/>
      <c r="M61" s="157"/>
      <c r="N61" s="157"/>
      <c r="O61" s="157"/>
      <c r="P61" s="157"/>
      <c r="Q61" s="157"/>
      <c r="R61" s="157"/>
    </row>
    <row r="62" spans="6:18" x14ac:dyDescent="0.2">
      <c r="H62" s="157" t="s">
        <v>101</v>
      </c>
      <c r="L62" s="157"/>
      <c r="M62" s="157"/>
      <c r="N62" s="157"/>
      <c r="O62" s="157"/>
      <c r="P62" s="157"/>
      <c r="Q62" s="157"/>
      <c r="R62" s="157"/>
    </row>
    <row r="63" spans="6:18" x14ac:dyDescent="0.2">
      <c r="F63" s="157"/>
      <c r="G63" s="157"/>
      <c r="H63" s="157"/>
      <c r="I63" s="157"/>
      <c r="J63" s="157"/>
      <c r="K63" s="157"/>
      <c r="L63" s="157"/>
      <c r="M63" s="157"/>
      <c r="N63" s="157"/>
      <c r="O63" s="157"/>
      <c r="P63" s="157"/>
      <c r="Q63" s="157"/>
      <c r="R63" s="157"/>
    </row>
  </sheetData>
  <mergeCells count="20">
    <mergeCell ref="H24:I24"/>
    <mergeCell ref="H19:I19"/>
    <mergeCell ref="H25:I25"/>
    <mergeCell ref="H27:I27"/>
    <mergeCell ref="H4:I4"/>
    <mergeCell ref="H6:I6"/>
    <mergeCell ref="H8:I8"/>
    <mergeCell ref="H14:I14"/>
    <mergeCell ref="H15:I15"/>
    <mergeCell ref="H16:I16"/>
    <mergeCell ref="H17:I17"/>
    <mergeCell ref="H18:I18"/>
    <mergeCell ref="H22:I22"/>
    <mergeCell ref="H20:I20"/>
    <mergeCell ref="H21:I21"/>
    <mergeCell ref="H30:I30"/>
    <mergeCell ref="H29:I29"/>
    <mergeCell ref="H28:I28"/>
    <mergeCell ref="H31:I31"/>
    <mergeCell ref="H26:I26"/>
  </mergeCells>
  <conditionalFormatting sqref="H11">
    <cfRule type="iconSet" priority="1">
      <iconSet reverse="1">
        <cfvo type="percent" val="0"/>
        <cfvo type="num" val="2"/>
        <cfvo type="num" val="3" gte="0"/>
      </iconSet>
    </cfRule>
  </conditionalFormatting>
  <hyperlinks>
    <hyperlink ref="C4" location="'Sales Forecast'!A1" display="Sales Forecast" xr:uid="{340D0C11-91E7-4D71-A5E1-300945863199}"/>
    <hyperlink ref="C5" location="Dashboard!A1" display="Dashboard" xr:uid="{EF7991EE-C711-46E2-A590-AD3307250BBE}"/>
    <hyperlink ref="C6" location="Lists!A1" display="Lists" xr:uid="{F47B17F5-7597-4C92-9B67-483ACCCEC1D6}"/>
    <hyperlink ref="C7" location="Settings!A1" display="Settings" xr:uid="{886297F0-AB0B-40D2-9F6F-DD097D8211FB}"/>
    <hyperlink ref="H59" r:id="rId1" xr:uid="{4A3DF65E-44BD-4E16-BA09-7657BCC404EC}"/>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A62EF-9934-4C8C-A478-4F4B8D570594}">
  <sheetPr codeName="ForecastSht"/>
  <dimension ref="A1:EO233"/>
  <sheetViews>
    <sheetView showGridLines="0" showRowColHeaders="0" topLeftCell="M119" zoomScale="90" zoomScaleNormal="90" workbookViewId="0">
      <selection activeCell="M10" sqref="M10"/>
    </sheetView>
  </sheetViews>
  <sheetFormatPr defaultColWidth="0" defaultRowHeight="12.75" zeroHeight="1" x14ac:dyDescent="0.2"/>
  <cols>
    <col min="1" max="12" width="0" style="26" hidden="1" customWidth="1"/>
    <col min="13" max="13" width="15.625" style="26" customWidth="1"/>
    <col min="14" max="14" width="11.5" style="81" bestFit="1" customWidth="1"/>
    <col min="15" max="19" width="7.875" style="26" customWidth="1"/>
    <col min="20" max="25" width="9.375" style="26" customWidth="1"/>
    <col min="26" max="26" width="14.75" style="26" bestFit="1" customWidth="1"/>
    <col min="27" max="40" width="14.75" style="110" hidden="1" customWidth="1"/>
    <col min="41" max="41" width="5" style="26" customWidth="1"/>
    <col min="42" max="42" width="15.625" style="26" customWidth="1"/>
    <col min="43" max="43" width="12.75" style="27" bestFit="1" customWidth="1"/>
    <col min="44" max="49" width="8.5" style="26" customWidth="1"/>
    <col min="50" max="54" width="7.875" style="26" customWidth="1"/>
    <col min="55" max="55" width="16.125" style="26" bestFit="1" customWidth="1"/>
    <col min="56" max="69" width="16.125" style="110" hidden="1" customWidth="1"/>
    <col min="70" max="70" width="5" style="26" customWidth="1"/>
    <col min="71" max="71" width="21.75" style="26" customWidth="1"/>
    <col min="72" max="83" width="7.875" style="26" customWidth="1"/>
    <col min="84" max="84" width="16.125" style="26" customWidth="1"/>
    <col min="85" max="85" width="6.375" style="110" hidden="1" customWidth="1"/>
    <col min="86" max="98" width="16.125" style="110" hidden="1" customWidth="1"/>
    <col min="99" max="99" width="5" style="26" customWidth="1"/>
    <col min="100" max="100" width="25.5" style="26" bestFit="1" customWidth="1"/>
    <col min="101" max="103" width="12.25" style="26" customWidth="1"/>
    <col min="104" max="104" width="9.5" style="26" customWidth="1"/>
    <col min="105" max="111" width="7.875" style="26" hidden="1" customWidth="1"/>
    <col min="112" max="112" width="16.125" style="26" hidden="1" customWidth="1"/>
    <col min="113" max="113" width="5" style="26" hidden="1" customWidth="1"/>
    <col min="114" max="115" width="0" style="26" hidden="1" customWidth="1"/>
    <col min="116" max="117" width="12.25" style="26" hidden="1" customWidth="1"/>
    <col min="118" max="125" width="7.875" style="26" hidden="1" customWidth="1"/>
    <col min="126" max="126" width="16.125" style="26" hidden="1" customWidth="1"/>
    <col min="127" max="127" width="5" style="26" hidden="1" customWidth="1"/>
    <col min="128" max="129" width="0" style="26" hidden="1" customWidth="1"/>
    <col min="130" max="131" width="12.25" style="26" hidden="1" customWidth="1"/>
    <col min="132" max="139" width="7.875" style="26" hidden="1" customWidth="1"/>
    <col min="140" max="140" width="16.125" style="26" hidden="1" customWidth="1"/>
    <col min="141" max="141" width="5" style="26" hidden="1" customWidth="1"/>
    <col min="142" max="143" width="0" style="26" hidden="1" customWidth="1"/>
    <col min="144" max="145" width="12.25" style="26" hidden="1" customWidth="1"/>
    <col min="146" max="16384" width="9.5" style="26" hidden="1"/>
  </cols>
  <sheetData>
    <row r="1" spans="13:103" s="83" customFormat="1" ht="16.350000000000001" customHeight="1" x14ac:dyDescent="0.25">
      <c r="M1" s="147" t="s">
        <v>16</v>
      </c>
      <c r="N1" s="147"/>
      <c r="O1" s="147"/>
      <c r="P1" s="147"/>
      <c r="Q1" s="147" t="s">
        <v>13</v>
      </c>
      <c r="R1" s="147"/>
      <c r="S1" s="147"/>
      <c r="T1" s="147" t="s">
        <v>15</v>
      </c>
      <c r="U1" s="147"/>
      <c r="V1" s="147"/>
      <c r="W1" s="147"/>
      <c r="X1" s="147" t="s">
        <v>12</v>
      </c>
      <c r="Y1" s="147"/>
      <c r="Z1" s="147"/>
      <c r="AA1" s="97"/>
      <c r="AB1" s="97"/>
      <c r="AC1" s="97"/>
      <c r="AD1" s="97"/>
      <c r="AE1" s="97"/>
      <c r="AF1" s="97"/>
      <c r="AG1" s="97"/>
      <c r="AH1" s="97"/>
      <c r="AI1" s="97"/>
      <c r="AJ1" s="97"/>
      <c r="AK1" s="97"/>
      <c r="AL1" s="97"/>
      <c r="AM1" s="97"/>
      <c r="AN1" s="97"/>
      <c r="AO1" s="147"/>
      <c r="AP1" s="147"/>
      <c r="AQ1" s="147"/>
      <c r="BD1" s="120"/>
      <c r="BE1" s="120"/>
      <c r="BF1" s="120"/>
      <c r="BG1" s="120"/>
      <c r="BH1" s="120"/>
      <c r="BI1" s="120"/>
      <c r="BJ1" s="120"/>
      <c r="BK1" s="120"/>
      <c r="BL1" s="120"/>
      <c r="BM1" s="120"/>
      <c r="BN1" s="120"/>
      <c r="BO1" s="120"/>
      <c r="BP1" s="120"/>
      <c r="BQ1" s="120"/>
      <c r="BS1" s="84"/>
      <c r="CG1" s="120"/>
      <c r="CH1" s="120"/>
      <c r="CI1" s="120"/>
      <c r="CJ1" s="120"/>
      <c r="CK1" s="120"/>
      <c r="CL1" s="120"/>
      <c r="CM1" s="120"/>
      <c r="CN1" s="120"/>
      <c r="CO1" s="120"/>
      <c r="CP1" s="120"/>
      <c r="CQ1" s="120"/>
      <c r="CR1" s="120"/>
      <c r="CS1" s="120"/>
      <c r="CT1" s="120"/>
      <c r="CV1" s="84"/>
    </row>
    <row r="2" spans="13:103" s="18" customFormat="1" ht="53.1" customHeight="1" x14ac:dyDescent="0.2">
      <c r="N2" s="88"/>
      <c r="AA2" s="98"/>
      <c r="AB2" s="98"/>
      <c r="AC2" s="98"/>
      <c r="AD2" s="98"/>
      <c r="AE2" s="98"/>
      <c r="AF2" s="98"/>
      <c r="AG2" s="98"/>
      <c r="AH2" s="98"/>
      <c r="AI2" s="98"/>
      <c r="AJ2" s="98"/>
      <c r="AK2" s="98"/>
      <c r="AL2" s="98"/>
      <c r="AM2" s="98"/>
      <c r="AN2" s="98"/>
      <c r="BD2" s="98"/>
      <c r="BE2" s="98"/>
      <c r="BF2" s="98"/>
      <c r="BG2" s="98"/>
      <c r="BH2" s="98"/>
      <c r="BI2" s="98"/>
      <c r="BJ2" s="98"/>
      <c r="BK2" s="98"/>
      <c r="BL2" s="98"/>
      <c r="BM2" s="98"/>
      <c r="BN2" s="98"/>
      <c r="BO2" s="98"/>
      <c r="BP2" s="98"/>
      <c r="BQ2" s="98"/>
      <c r="CG2" s="98"/>
      <c r="CH2" s="98"/>
      <c r="CI2" s="98"/>
      <c r="CJ2" s="98"/>
      <c r="CK2" s="98"/>
      <c r="CL2" s="98"/>
      <c r="CM2" s="98"/>
      <c r="CN2" s="98"/>
      <c r="CO2" s="98"/>
      <c r="CP2" s="98"/>
      <c r="CQ2" s="98"/>
      <c r="CR2" s="98"/>
      <c r="CS2" s="98"/>
      <c r="CT2" s="98"/>
    </row>
    <row r="3" spans="13:103" s="28" customFormat="1" ht="22.7" customHeight="1" x14ac:dyDescent="0.2">
      <c r="M3" s="45" t="s">
        <v>52</v>
      </c>
      <c r="N3" s="30"/>
      <c r="AA3" s="99"/>
      <c r="AB3" s="99"/>
      <c r="AC3" s="99"/>
      <c r="AD3" s="99"/>
      <c r="AE3" s="99"/>
      <c r="AF3" s="99"/>
      <c r="AG3" s="99"/>
      <c r="AH3" s="99"/>
      <c r="AI3" s="99"/>
      <c r="AJ3" s="99"/>
      <c r="AK3" s="99"/>
      <c r="AL3" s="99"/>
      <c r="AM3" s="99"/>
      <c r="AN3" s="99"/>
      <c r="AP3" s="45" t="s">
        <v>47</v>
      </c>
      <c r="AQ3" s="45"/>
      <c r="BD3" s="99"/>
      <c r="BE3" s="99"/>
      <c r="BF3" s="99"/>
      <c r="BG3" s="99"/>
      <c r="BH3" s="99"/>
      <c r="BI3" s="99"/>
      <c r="BJ3" s="99"/>
      <c r="BK3" s="99"/>
      <c r="BL3" s="99"/>
      <c r="BM3" s="99"/>
      <c r="BN3" s="99"/>
      <c r="BO3" s="99"/>
      <c r="BP3" s="99"/>
      <c r="BQ3" s="99"/>
      <c r="BS3" s="45" t="s">
        <v>46</v>
      </c>
      <c r="BT3" s="45"/>
      <c r="CG3" s="99"/>
      <c r="CH3" s="99"/>
      <c r="CI3" s="99"/>
      <c r="CJ3" s="99"/>
      <c r="CK3" s="99"/>
      <c r="CL3" s="99"/>
      <c r="CM3" s="99"/>
      <c r="CN3" s="99"/>
      <c r="CO3" s="99"/>
      <c r="CP3" s="99"/>
      <c r="CQ3" s="99"/>
      <c r="CR3" s="99"/>
      <c r="CS3" s="99"/>
      <c r="CT3" s="99"/>
      <c r="CV3" s="45" t="s">
        <v>45</v>
      </c>
    </row>
    <row r="4" spans="13:103" s="127" customFormat="1" ht="18" customHeight="1" x14ac:dyDescent="0.2">
      <c r="M4" s="124"/>
      <c r="N4" s="125"/>
      <c r="O4" s="126" t="s">
        <v>48</v>
      </c>
      <c r="P4" s="148">
        <v>44075</v>
      </c>
      <c r="Q4" s="148"/>
      <c r="S4" s="128"/>
      <c r="CY4" s="129"/>
    </row>
    <row r="5" spans="13:103" s="38" customFormat="1" ht="13.5" customHeight="1" x14ac:dyDescent="0.2">
      <c r="Z5" s="44" t="s">
        <v>44</v>
      </c>
      <c r="AA5" s="100"/>
      <c r="AB5" s="100"/>
      <c r="AC5" s="100"/>
      <c r="AD5" s="100"/>
      <c r="AE5" s="100"/>
      <c r="AF5" s="100"/>
      <c r="AG5" s="100"/>
      <c r="AH5" s="100"/>
      <c r="AI5" s="100"/>
      <c r="AJ5" s="100"/>
      <c r="AK5" s="100"/>
      <c r="AL5" s="100"/>
      <c r="AM5" s="100"/>
      <c r="AN5" s="100"/>
      <c r="BC5" s="44" t="s">
        <v>43</v>
      </c>
      <c r="BD5" s="100"/>
      <c r="BE5" s="100"/>
      <c r="BF5" s="100"/>
      <c r="BG5" s="100"/>
      <c r="BH5" s="100"/>
      <c r="BI5" s="100"/>
      <c r="BJ5" s="100"/>
      <c r="BK5" s="100"/>
      <c r="BL5" s="100"/>
      <c r="BM5" s="100"/>
      <c r="BN5" s="100"/>
      <c r="BO5" s="100"/>
      <c r="BP5" s="100"/>
      <c r="BQ5" s="100"/>
      <c r="CF5" s="44" t="s">
        <v>42</v>
      </c>
      <c r="CG5" s="100"/>
      <c r="CH5" s="100"/>
      <c r="CI5" s="100"/>
      <c r="CJ5" s="100"/>
      <c r="CK5" s="100"/>
      <c r="CL5" s="100"/>
      <c r="CM5" s="100"/>
      <c r="CN5" s="100"/>
      <c r="CO5" s="100"/>
      <c r="CP5" s="100"/>
      <c r="CQ5" s="100"/>
      <c r="CR5" s="100"/>
      <c r="CS5" s="100"/>
      <c r="CT5" s="100"/>
      <c r="CW5" s="42" t="s">
        <v>41</v>
      </c>
      <c r="CX5" s="42" t="s">
        <v>53</v>
      </c>
      <c r="CY5" s="42" t="s">
        <v>40</v>
      </c>
    </row>
    <row r="6" spans="13:103" s="38" customFormat="1" ht="15" customHeight="1" x14ac:dyDescent="0.2">
      <c r="M6" s="51" t="s">
        <v>38</v>
      </c>
      <c r="N6" s="52">
        <f>P4</f>
        <v>44075</v>
      </c>
      <c r="O6" s="52">
        <f t="shared" ref="O6:Y6" si="0">EDATE(N6,1)</f>
        <v>44105</v>
      </c>
      <c r="P6" s="52">
        <f t="shared" si="0"/>
        <v>44136</v>
      </c>
      <c r="Q6" s="52">
        <f t="shared" si="0"/>
        <v>44166</v>
      </c>
      <c r="R6" s="52">
        <f t="shared" si="0"/>
        <v>44197</v>
      </c>
      <c r="S6" s="52">
        <f t="shared" si="0"/>
        <v>44228</v>
      </c>
      <c r="T6" s="52">
        <f t="shared" si="0"/>
        <v>44256</v>
      </c>
      <c r="U6" s="52">
        <f t="shared" si="0"/>
        <v>44287</v>
      </c>
      <c r="V6" s="52">
        <f t="shared" si="0"/>
        <v>44317</v>
      </c>
      <c r="W6" s="52">
        <f t="shared" si="0"/>
        <v>44348</v>
      </c>
      <c r="X6" s="52">
        <f t="shared" si="0"/>
        <v>44378</v>
      </c>
      <c r="Y6" s="52">
        <f t="shared" si="0"/>
        <v>44409</v>
      </c>
      <c r="Z6" s="53" t="s">
        <v>39</v>
      </c>
      <c r="AA6" s="101"/>
      <c r="AB6" s="115"/>
      <c r="AC6" s="116">
        <f>P4</f>
        <v>44075</v>
      </c>
      <c r="AD6" s="116">
        <f t="shared" ref="AD6" si="1">EDATE(AC6,1)</f>
        <v>44105</v>
      </c>
      <c r="AE6" s="116">
        <f t="shared" ref="AE6" si="2">EDATE(AD6,1)</f>
        <v>44136</v>
      </c>
      <c r="AF6" s="116">
        <f t="shared" ref="AF6" si="3">EDATE(AE6,1)</f>
        <v>44166</v>
      </c>
      <c r="AG6" s="116">
        <f t="shared" ref="AG6" si="4">EDATE(AF6,1)</f>
        <v>44197</v>
      </c>
      <c r="AH6" s="116">
        <f t="shared" ref="AH6" si="5">EDATE(AG6,1)</f>
        <v>44228</v>
      </c>
      <c r="AI6" s="116">
        <f t="shared" ref="AI6" si="6">EDATE(AH6,1)</f>
        <v>44256</v>
      </c>
      <c r="AJ6" s="116">
        <f t="shared" ref="AJ6" si="7">EDATE(AI6,1)</f>
        <v>44287</v>
      </c>
      <c r="AK6" s="116">
        <f t="shared" ref="AK6" si="8">EDATE(AJ6,1)</f>
        <v>44317</v>
      </c>
      <c r="AL6" s="116">
        <f t="shared" ref="AL6" si="9">EDATE(AK6,1)</f>
        <v>44348</v>
      </c>
      <c r="AM6" s="116">
        <f t="shared" ref="AM6" si="10">EDATE(AL6,1)</f>
        <v>44378</v>
      </c>
      <c r="AN6" s="116">
        <f t="shared" ref="AN6" si="11">EDATE(AM6,1)</f>
        <v>44409</v>
      </c>
      <c r="AP6" s="51" t="s">
        <v>38</v>
      </c>
      <c r="AQ6" s="52">
        <f>EDATE(Y6,1)</f>
        <v>44440</v>
      </c>
      <c r="AR6" s="52">
        <f t="shared" ref="AR6:BB6" si="12">EDATE(AQ6,1)</f>
        <v>44470</v>
      </c>
      <c r="AS6" s="52">
        <f t="shared" si="12"/>
        <v>44501</v>
      </c>
      <c r="AT6" s="52">
        <f t="shared" si="12"/>
        <v>44531</v>
      </c>
      <c r="AU6" s="52">
        <f t="shared" si="12"/>
        <v>44562</v>
      </c>
      <c r="AV6" s="52">
        <f t="shared" si="12"/>
        <v>44593</v>
      </c>
      <c r="AW6" s="52">
        <f t="shared" si="12"/>
        <v>44621</v>
      </c>
      <c r="AX6" s="52">
        <f t="shared" si="12"/>
        <v>44652</v>
      </c>
      <c r="AY6" s="52">
        <f t="shared" si="12"/>
        <v>44682</v>
      </c>
      <c r="AZ6" s="52">
        <f t="shared" si="12"/>
        <v>44713</v>
      </c>
      <c r="BA6" s="52">
        <f t="shared" si="12"/>
        <v>44743</v>
      </c>
      <c r="BB6" s="52">
        <f t="shared" si="12"/>
        <v>44774</v>
      </c>
      <c r="BC6" s="53" t="s">
        <v>39</v>
      </c>
      <c r="BD6" s="101"/>
      <c r="BE6" s="122"/>
      <c r="BF6" s="116">
        <f>AQ6</f>
        <v>44440</v>
      </c>
      <c r="BG6" s="116">
        <f t="shared" ref="BG6" si="13">EDATE(BF6,1)</f>
        <v>44470</v>
      </c>
      <c r="BH6" s="116">
        <f t="shared" ref="BH6" si="14">EDATE(BG6,1)</f>
        <v>44501</v>
      </c>
      <c r="BI6" s="116">
        <f t="shared" ref="BI6" si="15">EDATE(BH6,1)</f>
        <v>44531</v>
      </c>
      <c r="BJ6" s="116">
        <f t="shared" ref="BJ6" si="16">EDATE(BI6,1)</f>
        <v>44562</v>
      </c>
      <c r="BK6" s="116">
        <f t="shared" ref="BK6" si="17">EDATE(BJ6,1)</f>
        <v>44593</v>
      </c>
      <c r="BL6" s="116">
        <f t="shared" ref="BL6" si="18">EDATE(BK6,1)</f>
        <v>44621</v>
      </c>
      <c r="BM6" s="116">
        <f t="shared" ref="BM6" si="19">EDATE(BL6,1)</f>
        <v>44652</v>
      </c>
      <c r="BN6" s="116">
        <f t="shared" ref="BN6" si="20">EDATE(BM6,1)</f>
        <v>44682</v>
      </c>
      <c r="BO6" s="116">
        <f t="shared" ref="BO6" si="21">EDATE(BN6,1)</f>
        <v>44713</v>
      </c>
      <c r="BP6" s="116">
        <f t="shared" ref="BP6" si="22">EDATE(BO6,1)</f>
        <v>44743</v>
      </c>
      <c r="BQ6" s="116">
        <f t="shared" ref="BQ6" si="23">EDATE(BP6,1)</f>
        <v>44774</v>
      </c>
      <c r="BS6" s="51" t="s">
        <v>38</v>
      </c>
      <c r="BT6" s="52">
        <f>EDATE(BB6,1)</f>
        <v>44805</v>
      </c>
      <c r="BU6" s="52">
        <f t="shared" ref="BU6:CE6" si="24">EDATE(BT6,1)</f>
        <v>44835</v>
      </c>
      <c r="BV6" s="52">
        <f t="shared" si="24"/>
        <v>44866</v>
      </c>
      <c r="BW6" s="52">
        <f t="shared" si="24"/>
        <v>44896</v>
      </c>
      <c r="BX6" s="52">
        <f t="shared" si="24"/>
        <v>44927</v>
      </c>
      <c r="BY6" s="52">
        <f t="shared" si="24"/>
        <v>44958</v>
      </c>
      <c r="BZ6" s="52">
        <f t="shared" si="24"/>
        <v>44986</v>
      </c>
      <c r="CA6" s="52">
        <f t="shared" si="24"/>
        <v>45017</v>
      </c>
      <c r="CB6" s="52">
        <f t="shared" si="24"/>
        <v>45047</v>
      </c>
      <c r="CC6" s="52">
        <f t="shared" si="24"/>
        <v>45078</v>
      </c>
      <c r="CD6" s="52">
        <f t="shared" si="24"/>
        <v>45108</v>
      </c>
      <c r="CE6" s="52">
        <f t="shared" si="24"/>
        <v>45139</v>
      </c>
      <c r="CF6" s="53" t="s">
        <v>39</v>
      </c>
      <c r="CG6" s="101"/>
      <c r="CH6" s="122"/>
      <c r="CI6" s="116">
        <f>BT6</f>
        <v>44805</v>
      </c>
      <c r="CJ6" s="116">
        <f t="shared" ref="CJ6" si="25">EDATE(CI6,1)</f>
        <v>44835</v>
      </c>
      <c r="CK6" s="116">
        <f t="shared" ref="CK6" si="26">EDATE(CJ6,1)</f>
        <v>44866</v>
      </c>
      <c r="CL6" s="116">
        <f t="shared" ref="CL6" si="27">EDATE(CK6,1)</f>
        <v>44896</v>
      </c>
      <c r="CM6" s="116">
        <f t="shared" ref="CM6" si="28">EDATE(CL6,1)</f>
        <v>44927</v>
      </c>
      <c r="CN6" s="116">
        <f t="shared" ref="CN6" si="29">EDATE(CM6,1)</f>
        <v>44958</v>
      </c>
      <c r="CO6" s="116">
        <f t="shared" ref="CO6" si="30">EDATE(CN6,1)</f>
        <v>44986</v>
      </c>
      <c r="CP6" s="116">
        <f t="shared" ref="CP6" si="31">EDATE(CO6,1)</f>
        <v>45017</v>
      </c>
      <c r="CQ6" s="116">
        <f t="shared" ref="CQ6" si="32">EDATE(CP6,1)</f>
        <v>45047</v>
      </c>
      <c r="CR6" s="116">
        <f t="shared" ref="CR6" si="33">EDATE(CQ6,1)</f>
        <v>45078</v>
      </c>
      <c r="CS6" s="116">
        <f t="shared" ref="CS6" si="34">EDATE(CR6,1)</f>
        <v>45108</v>
      </c>
      <c r="CT6" s="116">
        <f t="shared" ref="CT6" si="35">EDATE(CS6,1)</f>
        <v>45139</v>
      </c>
      <c r="CV6" s="51" t="s">
        <v>38</v>
      </c>
      <c r="CW6" s="64" t="s">
        <v>37</v>
      </c>
      <c r="CX6" s="64" t="s">
        <v>37</v>
      </c>
      <c r="CY6" s="64" t="s">
        <v>37</v>
      </c>
    </row>
    <row r="7" spans="13:103" s="38" customFormat="1" ht="15" customHeight="1" x14ac:dyDescent="0.2">
      <c r="M7" s="135" t="s">
        <v>54</v>
      </c>
      <c r="N7" s="130">
        <v>500</v>
      </c>
      <c r="O7" s="130">
        <v>525</v>
      </c>
      <c r="P7" s="130">
        <v>550</v>
      </c>
      <c r="Q7" s="130">
        <v>575</v>
      </c>
      <c r="R7" s="130">
        <v>550</v>
      </c>
      <c r="S7" s="130">
        <v>525</v>
      </c>
      <c r="T7" s="130">
        <v>525</v>
      </c>
      <c r="U7" s="130">
        <v>550</v>
      </c>
      <c r="V7" s="130">
        <v>575</v>
      </c>
      <c r="W7" s="130">
        <v>600</v>
      </c>
      <c r="X7" s="130">
        <v>650</v>
      </c>
      <c r="Y7" s="130">
        <v>650</v>
      </c>
      <c r="Z7" s="55">
        <f t="shared" ref="Z7:Z9" si="36">IF(SUM(N7:Y7)=0,"",SUM(N7:Y7))</f>
        <v>6775</v>
      </c>
      <c r="AA7" s="102"/>
      <c r="AB7" s="117" t="str">
        <f>$H$170</f>
        <v>Product 2</v>
      </c>
      <c r="AC7" s="117">
        <f>INDEX(N$7:N$31,MATCH($AB7,$M$7:$M$31,0))</f>
        <v>1500</v>
      </c>
      <c r="AD7" s="117">
        <f t="shared" ref="AD7:AI7" si="37">INDEX(O$7:O$31,MATCH($AB7,$M$7:$M$31,0))</f>
        <v>1000</v>
      </c>
      <c r="AE7" s="117">
        <f t="shared" si="37"/>
        <v>1000</v>
      </c>
      <c r="AF7" s="117">
        <f t="shared" si="37"/>
        <v>1250</v>
      </c>
      <c r="AG7" s="117">
        <f t="shared" si="37"/>
        <v>1250</v>
      </c>
      <c r="AH7" s="117">
        <f t="shared" si="37"/>
        <v>1500</v>
      </c>
      <c r="AI7" s="117">
        <f t="shared" si="37"/>
        <v>1500</v>
      </c>
      <c r="AJ7" s="117">
        <f t="shared" ref="AJ7" si="38">INDEX(U$7:U$31,MATCH($AB7,$M$7:$M$31,0))</f>
        <v>1750</v>
      </c>
      <c r="AK7" s="117">
        <f t="shared" ref="AK7" si="39">INDEX(V$7:V$31,MATCH($AB7,$M$7:$M$31,0))</f>
        <v>2000</v>
      </c>
      <c r="AL7" s="117">
        <f t="shared" ref="AL7" si="40">INDEX(W$7:W$31,MATCH($AB7,$M$7:$M$31,0))</f>
        <v>2500</v>
      </c>
      <c r="AM7" s="117">
        <f t="shared" ref="AM7:AN7" si="41">INDEX(X$7:X$31,MATCH($AB7,$M$7:$M$31,0))</f>
        <v>3000</v>
      </c>
      <c r="AN7" s="117">
        <f t="shared" si="41"/>
        <v>3000</v>
      </c>
      <c r="AP7" s="65" t="str">
        <f t="shared" ref="AP7:AP31" si="42">IF(M7=0,"",M7)</f>
        <v>Product 1</v>
      </c>
      <c r="AQ7" s="54">
        <f t="shared" ref="AQ7:AQ31" si="43">N7*(AQ61+1)</f>
        <v>480.76923076923077</v>
      </c>
      <c r="AR7" s="54">
        <f t="shared" ref="AR7:AR31" si="44">O7*(AR61+1)</f>
        <v>504</v>
      </c>
      <c r="AS7" s="54">
        <f t="shared" ref="AS7:AS31" si="45">P7*(AS61+1)</f>
        <v>527.08333333333337</v>
      </c>
      <c r="AT7" s="54">
        <f t="shared" ref="AT7:AT31" si="46">Q7*(AT61+1)</f>
        <v>550</v>
      </c>
      <c r="AU7" s="54">
        <f t="shared" ref="AU7:AU31" si="47">R7*(AU61+1)</f>
        <v>575</v>
      </c>
      <c r="AV7" s="54">
        <f t="shared" ref="AV7:AV31" si="48">S7*(AV61+1)</f>
        <v>547.82608695652175</v>
      </c>
      <c r="AW7" s="54">
        <f t="shared" ref="AW7:AW31" si="49">T7*(AW61+1)</f>
        <v>525</v>
      </c>
      <c r="AX7" s="54">
        <f t="shared" ref="AX7:AX31" si="50">U7*(AX61+1)</f>
        <v>572.91666666666674</v>
      </c>
      <c r="AY7" s="54">
        <f t="shared" ref="AY7:AY31" si="51">V7*(AY61+1)</f>
        <v>598</v>
      </c>
      <c r="AZ7" s="54">
        <f t="shared" ref="AZ7:AZ31" si="52">W7*(AZ61+1)</f>
        <v>623.07692307692309</v>
      </c>
      <c r="BA7" s="54">
        <f t="shared" ref="BA7:BA31" si="53">X7*(BA61+1)</f>
        <v>674.07407407407402</v>
      </c>
      <c r="BB7" s="54">
        <f t="shared" ref="BB7:BB31" si="54">Y7*(BB61+1)</f>
        <v>673.21428571428578</v>
      </c>
      <c r="BC7" s="55">
        <f t="shared" ref="BC7:BC9" si="55">IF(SUM(AQ7:BB7)=0,"",SUM(AQ7:BB7))</f>
        <v>6850.9606005910355</v>
      </c>
      <c r="BD7" s="102"/>
      <c r="BE7" s="117" t="str">
        <f>$H$170</f>
        <v>Product 2</v>
      </c>
      <c r="BF7" s="117">
        <f>INDEX(AQ$7:AQ$31,MATCH($BE7,$AP$7:$AP$31,0))</f>
        <v>1000</v>
      </c>
      <c r="BG7" s="117">
        <f t="shared" ref="BG7:BQ7" si="56">INDEX(AR$7:AR$31,MATCH($BE7,$AP$7:$AP$31,0))</f>
        <v>750</v>
      </c>
      <c r="BH7" s="117">
        <f t="shared" si="56"/>
        <v>1000</v>
      </c>
      <c r="BI7" s="117">
        <f t="shared" si="56"/>
        <v>1458.3333333333335</v>
      </c>
      <c r="BJ7" s="117">
        <f t="shared" si="56"/>
        <v>1250</v>
      </c>
      <c r="BK7" s="117">
        <f t="shared" si="56"/>
        <v>1714.2857142857142</v>
      </c>
      <c r="BL7" s="117">
        <f>INDEX(AW$7:AW$31,MATCH($BE7,$AP$7:$AP$31,0))</f>
        <v>1500</v>
      </c>
      <c r="BM7" s="117">
        <f t="shared" si="56"/>
        <v>1968.75</v>
      </c>
      <c r="BN7" s="117">
        <f t="shared" si="56"/>
        <v>2222.2222222222222</v>
      </c>
      <c r="BO7" s="117">
        <f t="shared" si="56"/>
        <v>3000</v>
      </c>
      <c r="BP7" s="117">
        <f t="shared" si="56"/>
        <v>3500</v>
      </c>
      <c r="BQ7" s="117">
        <f t="shared" si="56"/>
        <v>3000</v>
      </c>
      <c r="BS7" s="65" t="str">
        <f t="shared" ref="BS7:BS31" si="57">IF(M7=0,"",M7)</f>
        <v>Product 1</v>
      </c>
      <c r="BT7" s="54">
        <f>AQ7*(BT61+1)</f>
        <v>497.34748010610082</v>
      </c>
      <c r="BU7" s="54">
        <f>AR7*(BU61+1)</f>
        <v>470.40000000000003</v>
      </c>
      <c r="BV7" s="54">
        <f t="shared" ref="BV7:BV31" si="58">AS7*(BV61+1)</f>
        <v>489.43452380952385</v>
      </c>
      <c r="BW7" s="54">
        <f t="shared" ref="BW7:BW31" si="59">AT7*(BW61+1)</f>
        <v>550</v>
      </c>
      <c r="BX7" s="54">
        <f t="shared" ref="BX7:BX31" si="60">AU7*(BX61+1)</f>
        <v>597.11538461538464</v>
      </c>
      <c r="BY7" s="54">
        <f t="shared" ref="BY7:BY31" si="61">AV7*(BY61+1)</f>
        <v>568.1159420289855</v>
      </c>
      <c r="BZ7" s="54">
        <f t="shared" ref="BZ7:BZ31" si="62">AW7*(BZ61+1)</f>
        <v>525</v>
      </c>
      <c r="CA7" s="54">
        <f t="shared" ref="CA7:CA31" si="63">AX7*(CA61+1)</f>
        <v>593.37797619047637</v>
      </c>
      <c r="CB7" s="54">
        <f t="shared" ref="CB7:CB31" si="64">AY7*(CB61+1)</f>
        <v>618.62068965517244</v>
      </c>
      <c r="CC7" s="54">
        <f t="shared" ref="CC7:CC31" si="65">AZ7*(CC61+1)</f>
        <v>664.61538461538464</v>
      </c>
      <c r="CD7" s="54">
        <f t="shared" ref="CD7:CD31" si="66">BA7*(CD61+1)</f>
        <v>716.2037037037037</v>
      </c>
      <c r="CE7" s="54">
        <f t="shared" ref="CE7:CE31" si="67">BB7*(CE61+1)</f>
        <v>712.81512605042019</v>
      </c>
      <c r="CF7" s="55">
        <f t="shared" ref="CF7:CF9" si="68">IF(SUM(BT7:CE7)=0,"",SUM(BT7:CE7))</f>
        <v>7003.0462107751518</v>
      </c>
      <c r="CG7" s="102"/>
      <c r="CH7" s="117" t="str">
        <f>$H$170</f>
        <v>Product 2</v>
      </c>
      <c r="CI7" s="117">
        <f>INDEX(BT$7:BT$31,MATCH($CH7,$BS$7:$BS$31,0))</f>
        <v>857.14285714285711</v>
      </c>
      <c r="CJ7" s="117">
        <f t="shared" ref="CJ7:CT7" si="69">INDEX(BU$7:BU$31,MATCH($CH7,$BS$7:$BS$31,0))</f>
        <v>500</v>
      </c>
      <c r="CK7" s="117">
        <f t="shared" si="69"/>
        <v>1000</v>
      </c>
      <c r="CL7" s="117">
        <f t="shared" si="69"/>
        <v>1640.6250000000002</v>
      </c>
      <c r="CM7" s="117">
        <f t="shared" si="69"/>
        <v>1250</v>
      </c>
      <c r="CN7" s="117">
        <f t="shared" si="69"/>
        <v>1904.7619047619048</v>
      </c>
      <c r="CO7" s="117">
        <f t="shared" si="69"/>
        <v>1500</v>
      </c>
      <c r="CP7" s="117">
        <f t="shared" si="69"/>
        <v>2165.625</v>
      </c>
      <c r="CQ7" s="117">
        <f t="shared" si="69"/>
        <v>2424.242424242424</v>
      </c>
      <c r="CR7" s="117">
        <f t="shared" si="69"/>
        <v>3500</v>
      </c>
      <c r="CS7" s="117">
        <f t="shared" si="69"/>
        <v>4000</v>
      </c>
      <c r="CT7" s="117">
        <f t="shared" si="69"/>
        <v>3000</v>
      </c>
      <c r="CU7" s="40"/>
      <c r="CV7" s="65" t="str">
        <f t="shared" ref="CV7:CV31" si="70">IF(M7=0,"",M7)</f>
        <v>Product 1</v>
      </c>
      <c r="CW7" s="69">
        <f>IFERROR(IF($M7="","",(BC7/Z7)-1),"")</f>
        <v>1.1211896766204488E-2</v>
      </c>
      <c r="CX7" s="69">
        <f>IFERROR(IF($M7="","",(CF7/Z7)-1),"")</f>
        <v>3.3659957309985611E-2</v>
      </c>
      <c r="CY7" s="69">
        <f>IFERROR(IF($M7="","",(CF7/BC7)-1),"")</f>
        <v>2.2199165788662656E-2</v>
      </c>
    </row>
    <row r="8" spans="13:103" s="38" customFormat="1" ht="15" customHeight="1" x14ac:dyDescent="0.2">
      <c r="M8" s="135" t="s">
        <v>55</v>
      </c>
      <c r="N8" s="130">
        <v>1500</v>
      </c>
      <c r="O8" s="130">
        <v>1000</v>
      </c>
      <c r="P8" s="130">
        <v>1000</v>
      </c>
      <c r="Q8" s="130">
        <v>1250</v>
      </c>
      <c r="R8" s="130">
        <v>1250</v>
      </c>
      <c r="S8" s="130">
        <v>1500</v>
      </c>
      <c r="T8" s="130">
        <v>1500</v>
      </c>
      <c r="U8" s="130">
        <v>1750</v>
      </c>
      <c r="V8" s="130">
        <v>2000</v>
      </c>
      <c r="W8" s="130">
        <v>2500</v>
      </c>
      <c r="X8" s="130">
        <v>3000</v>
      </c>
      <c r="Y8" s="130">
        <v>3000</v>
      </c>
      <c r="Z8" s="55">
        <f t="shared" si="36"/>
        <v>21250</v>
      </c>
      <c r="AA8" s="102"/>
      <c r="AB8" s="117" t="str">
        <f>$H$171</f>
        <v>Product 3</v>
      </c>
      <c r="AC8" s="117">
        <f t="shared" ref="AC8:AC9" si="71">INDEX(N$7:N$31,MATCH($AB8,$M$7:$M$31,0))</f>
        <v>150</v>
      </c>
      <c r="AD8" s="117">
        <f t="shared" ref="AD8:AD9" si="72">INDEX(O$7:O$31,MATCH($AB8,$M$7:$M$31,0))</f>
        <v>200</v>
      </c>
      <c r="AE8" s="117">
        <f t="shared" ref="AE8:AE9" si="73">INDEX(P$7:P$31,MATCH($AB8,$M$7:$M$31,0))</f>
        <v>250</v>
      </c>
      <c r="AF8" s="117">
        <f t="shared" ref="AF8:AF9" si="74">INDEX(Q$7:Q$31,MATCH($AB8,$M$7:$M$31,0))</f>
        <v>300</v>
      </c>
      <c r="AG8" s="117">
        <f t="shared" ref="AG8:AG9" si="75">INDEX(R$7:R$31,MATCH($AB8,$M$7:$M$31,0))</f>
        <v>350</v>
      </c>
      <c r="AH8" s="117">
        <f t="shared" ref="AH8:AH9" si="76">INDEX(S$7:S$31,MATCH($AB8,$M$7:$M$31,0))</f>
        <v>400</v>
      </c>
      <c r="AI8" s="117">
        <f t="shared" ref="AI8:AI9" si="77">INDEX(T$7:T$31,MATCH($AB8,$M$7:$M$31,0))</f>
        <v>400</v>
      </c>
      <c r="AJ8" s="117">
        <f t="shared" ref="AJ8:AJ9" si="78">INDEX(U$7:U$31,MATCH($AB8,$M$7:$M$31,0))</f>
        <v>350</v>
      </c>
      <c r="AK8" s="117">
        <f t="shared" ref="AK8:AK9" si="79">INDEX(V$7:V$31,MATCH($AB8,$M$7:$M$31,0))</f>
        <v>350</v>
      </c>
      <c r="AL8" s="117">
        <f t="shared" ref="AL8:AL9" si="80">INDEX(W$7:W$31,MATCH($AB8,$M$7:$M$31,0))</f>
        <v>300</v>
      </c>
      <c r="AM8" s="117">
        <f t="shared" ref="AM8:AM9" si="81">INDEX(X$7:X$31,MATCH($AB8,$M$7:$M$31,0))</f>
        <v>300</v>
      </c>
      <c r="AN8" s="117">
        <f t="shared" ref="AN8:AN9" si="82">INDEX(Y$7:Y$31,MATCH($AB8,$M$7:$M$31,0))</f>
        <v>300</v>
      </c>
      <c r="AP8" s="65" t="str">
        <f t="shared" si="42"/>
        <v>Product 2</v>
      </c>
      <c r="AQ8" s="54">
        <f t="shared" si="43"/>
        <v>1000</v>
      </c>
      <c r="AR8" s="54">
        <f t="shared" si="44"/>
        <v>750</v>
      </c>
      <c r="AS8" s="54">
        <f t="shared" si="45"/>
        <v>1000</v>
      </c>
      <c r="AT8" s="54">
        <f t="shared" si="46"/>
        <v>1458.3333333333335</v>
      </c>
      <c r="AU8" s="54">
        <f t="shared" si="47"/>
        <v>1250</v>
      </c>
      <c r="AV8" s="54">
        <f t="shared" si="48"/>
        <v>1714.2857142857142</v>
      </c>
      <c r="AW8" s="54">
        <f t="shared" si="49"/>
        <v>1500</v>
      </c>
      <c r="AX8" s="54">
        <f t="shared" si="50"/>
        <v>1968.75</v>
      </c>
      <c r="AY8" s="54">
        <f t="shared" si="51"/>
        <v>2222.2222222222222</v>
      </c>
      <c r="AZ8" s="54">
        <f t="shared" si="52"/>
        <v>3000</v>
      </c>
      <c r="BA8" s="54">
        <f t="shared" si="53"/>
        <v>3500</v>
      </c>
      <c r="BB8" s="54">
        <f t="shared" si="54"/>
        <v>3000</v>
      </c>
      <c r="BC8" s="55">
        <f t="shared" si="55"/>
        <v>22363.591269841272</v>
      </c>
      <c r="BD8" s="102"/>
      <c r="BE8" s="117" t="str">
        <f>$H$171</f>
        <v>Product 3</v>
      </c>
      <c r="BF8" s="117">
        <f t="shared" ref="BF8:BF9" si="83">INDEX(AQ$7:AQ$31,MATCH($BE8,$AP$7:$AP$31,0))</f>
        <v>150</v>
      </c>
      <c r="BG8" s="117">
        <f t="shared" ref="BG8:BG9" si="84">INDEX(AR$7:AR$31,MATCH($BE8,$AP$7:$AP$31,0))</f>
        <v>166.66666666666669</v>
      </c>
      <c r="BH8" s="117">
        <f t="shared" ref="BH8:BH9" si="85">INDEX(AS$7:AS$31,MATCH($BE8,$AP$7:$AP$31,0))</f>
        <v>300</v>
      </c>
      <c r="BI8" s="117">
        <f t="shared" ref="BI8:BI9" si="86">INDEX(AT$7:AT$31,MATCH($BE8,$AP$7:$AP$31,0))</f>
        <v>350</v>
      </c>
      <c r="BJ8" s="117">
        <f t="shared" ref="BJ8:BJ9" si="87">INDEX(AU$7:AU$31,MATCH($BE8,$AP$7:$AP$31,0))</f>
        <v>400</v>
      </c>
      <c r="BK8" s="117">
        <f t="shared" ref="BK8:BK9" si="88">INDEX(AV$7:AV$31,MATCH($BE8,$AP$7:$AP$31,0))</f>
        <v>450</v>
      </c>
      <c r="BL8" s="117">
        <f t="shared" ref="BL8:BL9" si="89">INDEX(AW$7:AW$31,MATCH($BE8,$AP$7:$AP$31,0))</f>
        <v>444.44444444444446</v>
      </c>
      <c r="BM8" s="117">
        <f t="shared" ref="BM8:BM9" si="90">INDEX(AX$7:AX$31,MATCH($BE8,$AP$7:$AP$31,0))</f>
        <v>280</v>
      </c>
      <c r="BN8" s="117">
        <f t="shared" ref="BN8:BN9" si="91">INDEX(AY$7:AY$31,MATCH($BE8,$AP$7:$AP$31,0))</f>
        <v>350</v>
      </c>
      <c r="BO8" s="117">
        <f t="shared" ref="BO8:BO9" si="92">INDEX(AZ$7:AZ$31,MATCH($BE8,$AP$7:$AP$31,0))</f>
        <v>262.5</v>
      </c>
      <c r="BP8" s="117">
        <f t="shared" ref="BP8:BP9" si="93">INDEX(BA$7:BA$31,MATCH($BE8,$AP$7:$AP$31,0))</f>
        <v>300</v>
      </c>
      <c r="BQ8" s="117">
        <f t="shared" ref="BQ8:BQ9" si="94">INDEX(BB$7:BB$31,MATCH($BE8,$AP$7:$AP$31,0))</f>
        <v>278.57142857142856</v>
      </c>
      <c r="BS8" s="65" t="str">
        <f t="shared" si="57"/>
        <v>Product 2</v>
      </c>
      <c r="BT8" s="54">
        <f t="shared" ref="BT8:BT31" si="95">AQ8*(BT62+1)</f>
        <v>857.14285714285711</v>
      </c>
      <c r="BU8" s="54">
        <f t="shared" ref="BU8:BU31" si="96">AR8*(BU62+1)</f>
        <v>500</v>
      </c>
      <c r="BV8" s="54">
        <f t="shared" si="58"/>
        <v>1000</v>
      </c>
      <c r="BW8" s="54">
        <f t="shared" si="59"/>
        <v>1640.6250000000002</v>
      </c>
      <c r="BX8" s="54">
        <f t="shared" si="60"/>
        <v>1250</v>
      </c>
      <c r="BY8" s="54">
        <f t="shared" si="61"/>
        <v>1904.7619047619048</v>
      </c>
      <c r="BZ8" s="54">
        <f t="shared" si="62"/>
        <v>1500</v>
      </c>
      <c r="CA8" s="54">
        <f t="shared" si="63"/>
        <v>2165.625</v>
      </c>
      <c r="CB8" s="54">
        <f t="shared" si="64"/>
        <v>2424.242424242424</v>
      </c>
      <c r="CC8" s="54">
        <f t="shared" si="65"/>
        <v>3500</v>
      </c>
      <c r="CD8" s="54">
        <f t="shared" si="66"/>
        <v>4000</v>
      </c>
      <c r="CE8" s="54">
        <f t="shared" si="67"/>
        <v>3000</v>
      </c>
      <c r="CF8" s="55">
        <f t="shared" si="68"/>
        <v>23742.397186147187</v>
      </c>
      <c r="CG8" s="102"/>
      <c r="CH8" s="117" t="str">
        <f>$H$171</f>
        <v>Product 3</v>
      </c>
      <c r="CI8" s="117">
        <f>INDEX(BT$7:BT$31,MATCH($CH8,$BS$7:$BS$31,0))</f>
        <v>150</v>
      </c>
      <c r="CJ8" s="117">
        <f t="shared" ref="CJ8:CJ9" si="97">INDEX(BU$7:BU$31,MATCH($CH8,$BS$7:$BS$31,0))</f>
        <v>179.4871794871795</v>
      </c>
      <c r="CK8" s="117">
        <f t="shared" ref="CK8:CK9" si="98">INDEX(BV$7:BV$31,MATCH($CH8,$BS$7:$BS$31,0))</f>
        <v>342.85714285714283</v>
      </c>
      <c r="CL8" s="117">
        <f t="shared" ref="CL8:CL9" si="99">INDEX(BW$7:BW$31,MATCH($CH8,$BS$7:$BS$31,0))</f>
        <v>393.75</v>
      </c>
      <c r="CM8" s="117">
        <f>INDEX(BX$7:BX$31,MATCH($CH8,$BS$7:$BS$31,0))</f>
        <v>444.44444444444446</v>
      </c>
      <c r="CN8" s="117">
        <f t="shared" ref="CN8:CN9" si="100">INDEX(BY$7:BY$31,MATCH($CH8,$BS$7:$BS$31,0))</f>
        <v>495.00000000000006</v>
      </c>
      <c r="CO8" s="117">
        <f t="shared" ref="CO8:CO9" si="101">INDEX(BZ$7:BZ$31,MATCH($CH8,$BS$7:$BS$31,0))</f>
        <v>484.84848484848482</v>
      </c>
      <c r="CP8" s="117">
        <f t="shared" ref="CP8:CP9" si="102">INDEX(CA$7:CA$31,MATCH($CH8,$BS$7:$BS$31,0))</f>
        <v>233.33333333333334</v>
      </c>
      <c r="CQ8" s="117">
        <f t="shared" ref="CQ8:CQ9" si="103">INDEX(CB$7:CB$31,MATCH($CH8,$BS$7:$BS$31,0))</f>
        <v>350</v>
      </c>
      <c r="CR8" s="117">
        <f t="shared" ref="CR8:CR9" si="104">INDEX(CC$7:CC$31,MATCH($CH8,$BS$7:$BS$31,0))</f>
        <v>236.25</v>
      </c>
      <c r="CS8" s="117">
        <f t="shared" ref="CS8:CS9" si="105">INDEX(CD$7:CD$31,MATCH($CH8,$BS$7:$BS$31,0))</f>
        <v>300</v>
      </c>
      <c r="CT8" s="117">
        <f t="shared" ref="CT8:CT9" si="106">INDEX(CE$7:CE$31,MATCH($CH8,$BS$7:$BS$31,0))</f>
        <v>263.09523809523807</v>
      </c>
      <c r="CU8" s="40"/>
      <c r="CV8" s="65" t="str">
        <f t="shared" si="70"/>
        <v>Product 2</v>
      </c>
      <c r="CW8" s="69">
        <f t="shared" ref="CW8:CW31" si="107">IFERROR(IF($M8="","",(BC8/Z8)-1),"")</f>
        <v>5.2404295051353911E-2</v>
      </c>
      <c r="CX8" s="69">
        <f t="shared" ref="CX8:CX31" si="108">IFERROR(IF($M8="","",(CF8/Z8)-1),"")</f>
        <v>0.11728927934810285</v>
      </c>
      <c r="CY8" s="69">
        <f t="shared" ref="CY8:CY31" si="109">IFERROR(IF($M8="","",(CF8/BC8)-1),"")</f>
        <v>6.1654047405405921E-2</v>
      </c>
    </row>
    <row r="9" spans="13:103" s="38" customFormat="1" ht="15" customHeight="1" x14ac:dyDescent="0.2">
      <c r="M9" s="135" t="s">
        <v>56</v>
      </c>
      <c r="N9" s="130">
        <v>150</v>
      </c>
      <c r="O9" s="130">
        <v>200</v>
      </c>
      <c r="P9" s="130">
        <v>250</v>
      </c>
      <c r="Q9" s="130">
        <v>300</v>
      </c>
      <c r="R9" s="130">
        <v>350</v>
      </c>
      <c r="S9" s="130">
        <v>400</v>
      </c>
      <c r="T9" s="130">
        <v>400</v>
      </c>
      <c r="U9" s="130">
        <v>350</v>
      </c>
      <c r="V9" s="130">
        <v>350</v>
      </c>
      <c r="W9" s="130">
        <v>300</v>
      </c>
      <c r="X9" s="130">
        <v>300</v>
      </c>
      <c r="Y9" s="130">
        <v>300</v>
      </c>
      <c r="Z9" s="55">
        <f t="shared" si="36"/>
        <v>3650</v>
      </c>
      <c r="AA9" s="102"/>
      <c r="AB9" s="117" t="str">
        <f>$H$172</f>
        <v>Product 1</v>
      </c>
      <c r="AC9" s="117">
        <f t="shared" si="71"/>
        <v>500</v>
      </c>
      <c r="AD9" s="117">
        <f t="shared" si="72"/>
        <v>525</v>
      </c>
      <c r="AE9" s="117">
        <f t="shared" si="73"/>
        <v>550</v>
      </c>
      <c r="AF9" s="117">
        <f t="shared" si="74"/>
        <v>575</v>
      </c>
      <c r="AG9" s="117">
        <f t="shared" si="75"/>
        <v>550</v>
      </c>
      <c r="AH9" s="117">
        <f t="shared" si="76"/>
        <v>525</v>
      </c>
      <c r="AI9" s="117">
        <f t="shared" si="77"/>
        <v>525</v>
      </c>
      <c r="AJ9" s="117">
        <f t="shared" si="78"/>
        <v>550</v>
      </c>
      <c r="AK9" s="117">
        <f t="shared" si="79"/>
        <v>575</v>
      </c>
      <c r="AL9" s="117">
        <f t="shared" si="80"/>
        <v>600</v>
      </c>
      <c r="AM9" s="117">
        <f t="shared" si="81"/>
        <v>650</v>
      </c>
      <c r="AN9" s="117">
        <f t="shared" si="82"/>
        <v>650</v>
      </c>
      <c r="AP9" s="65" t="str">
        <f t="shared" si="42"/>
        <v>Product 3</v>
      </c>
      <c r="AQ9" s="54">
        <f t="shared" si="43"/>
        <v>150</v>
      </c>
      <c r="AR9" s="54">
        <f t="shared" si="44"/>
        <v>166.66666666666669</v>
      </c>
      <c r="AS9" s="54">
        <f t="shared" si="45"/>
        <v>300</v>
      </c>
      <c r="AT9" s="54">
        <f t="shared" si="46"/>
        <v>350</v>
      </c>
      <c r="AU9" s="54">
        <f t="shared" si="47"/>
        <v>400</v>
      </c>
      <c r="AV9" s="54">
        <f t="shared" si="48"/>
        <v>450</v>
      </c>
      <c r="AW9" s="54">
        <f t="shared" si="49"/>
        <v>444.44444444444446</v>
      </c>
      <c r="AX9" s="54">
        <f t="shared" si="50"/>
        <v>280</v>
      </c>
      <c r="AY9" s="54">
        <f t="shared" si="51"/>
        <v>350</v>
      </c>
      <c r="AZ9" s="54">
        <f t="shared" si="52"/>
        <v>262.5</v>
      </c>
      <c r="BA9" s="54">
        <f t="shared" si="53"/>
        <v>300</v>
      </c>
      <c r="BB9" s="54">
        <f t="shared" si="54"/>
        <v>278.57142857142856</v>
      </c>
      <c r="BC9" s="55">
        <f t="shared" si="55"/>
        <v>3732.1825396825398</v>
      </c>
      <c r="BD9" s="102"/>
      <c r="BE9" s="117" t="str">
        <f>$H$172</f>
        <v>Product 1</v>
      </c>
      <c r="BF9" s="117">
        <f t="shared" si="83"/>
        <v>480.76923076923077</v>
      </c>
      <c r="BG9" s="117">
        <f t="shared" si="84"/>
        <v>504</v>
      </c>
      <c r="BH9" s="117">
        <f t="shared" si="85"/>
        <v>527.08333333333337</v>
      </c>
      <c r="BI9" s="117">
        <f t="shared" si="86"/>
        <v>550</v>
      </c>
      <c r="BJ9" s="117">
        <f t="shared" si="87"/>
        <v>575</v>
      </c>
      <c r="BK9" s="117">
        <f t="shared" si="88"/>
        <v>547.82608695652175</v>
      </c>
      <c r="BL9" s="117">
        <f t="shared" si="89"/>
        <v>525</v>
      </c>
      <c r="BM9" s="117">
        <f t="shared" si="90"/>
        <v>572.91666666666674</v>
      </c>
      <c r="BN9" s="117">
        <f t="shared" si="91"/>
        <v>598</v>
      </c>
      <c r="BO9" s="117">
        <f t="shared" si="92"/>
        <v>623.07692307692309</v>
      </c>
      <c r="BP9" s="117">
        <f t="shared" si="93"/>
        <v>674.07407407407402</v>
      </c>
      <c r="BQ9" s="117">
        <f t="shared" si="94"/>
        <v>673.21428571428578</v>
      </c>
      <c r="BS9" s="65" t="str">
        <f t="shared" si="57"/>
        <v>Product 3</v>
      </c>
      <c r="BT9" s="54">
        <f t="shared" si="95"/>
        <v>150</v>
      </c>
      <c r="BU9" s="54">
        <f t="shared" si="96"/>
        <v>179.4871794871795</v>
      </c>
      <c r="BV9" s="54">
        <f t="shared" si="58"/>
        <v>342.85714285714283</v>
      </c>
      <c r="BW9" s="54">
        <f t="shared" si="59"/>
        <v>393.75</v>
      </c>
      <c r="BX9" s="54">
        <f t="shared" si="60"/>
        <v>444.44444444444446</v>
      </c>
      <c r="BY9" s="54">
        <f t="shared" si="61"/>
        <v>495.00000000000006</v>
      </c>
      <c r="BZ9" s="54">
        <f t="shared" si="62"/>
        <v>484.84848484848482</v>
      </c>
      <c r="CA9" s="54">
        <f t="shared" si="63"/>
        <v>233.33333333333334</v>
      </c>
      <c r="CB9" s="54">
        <f t="shared" si="64"/>
        <v>350</v>
      </c>
      <c r="CC9" s="54">
        <f t="shared" si="65"/>
        <v>236.25</v>
      </c>
      <c r="CD9" s="54">
        <f t="shared" si="66"/>
        <v>300</v>
      </c>
      <c r="CE9" s="54">
        <f t="shared" si="67"/>
        <v>263.09523809523807</v>
      </c>
      <c r="CF9" s="55">
        <f t="shared" si="68"/>
        <v>3873.0658230658232</v>
      </c>
      <c r="CG9" s="102"/>
      <c r="CH9" s="117" t="str">
        <f>$H$172</f>
        <v>Product 1</v>
      </c>
      <c r="CI9" s="117">
        <f t="shared" ref="CI9" si="110">INDEX(BT$7:BT$31,MATCH($CH9,$BS$7:$BS$31,0))</f>
        <v>497.34748010610082</v>
      </c>
      <c r="CJ9" s="117">
        <f t="shared" si="97"/>
        <v>470.40000000000003</v>
      </c>
      <c r="CK9" s="117">
        <f t="shared" si="98"/>
        <v>489.43452380952385</v>
      </c>
      <c r="CL9" s="117">
        <f t="shared" si="99"/>
        <v>550</v>
      </c>
      <c r="CM9" s="117">
        <f t="shared" ref="CM9" si="111">INDEX(BX$7:BX$31,MATCH($CH9,$BS$7:$BS$31,0))</f>
        <v>597.11538461538464</v>
      </c>
      <c r="CN9" s="117">
        <f t="shared" si="100"/>
        <v>568.1159420289855</v>
      </c>
      <c r="CO9" s="117">
        <f t="shared" si="101"/>
        <v>525</v>
      </c>
      <c r="CP9" s="117">
        <f t="shared" si="102"/>
        <v>593.37797619047637</v>
      </c>
      <c r="CQ9" s="117">
        <f t="shared" si="103"/>
        <v>618.62068965517244</v>
      </c>
      <c r="CR9" s="117">
        <f t="shared" si="104"/>
        <v>664.61538461538464</v>
      </c>
      <c r="CS9" s="117">
        <f t="shared" si="105"/>
        <v>716.2037037037037</v>
      </c>
      <c r="CT9" s="117">
        <f t="shared" si="106"/>
        <v>712.81512605042019</v>
      </c>
      <c r="CU9" s="40"/>
      <c r="CV9" s="65" t="str">
        <f t="shared" si="70"/>
        <v>Product 3</v>
      </c>
      <c r="CW9" s="69">
        <f t="shared" si="107"/>
        <v>2.2515764296586305E-2</v>
      </c>
      <c r="CX9" s="69">
        <f t="shared" si="108"/>
        <v>6.1113924127622843E-2</v>
      </c>
      <c r="CY9" s="69">
        <f t="shared" si="109"/>
        <v>3.7748229590953253E-2</v>
      </c>
    </row>
    <row r="10" spans="13:103" s="38" customFormat="1" ht="15" customHeight="1" x14ac:dyDescent="0.2">
      <c r="M10" s="135"/>
      <c r="N10" s="130"/>
      <c r="O10" s="130"/>
      <c r="P10" s="130"/>
      <c r="Q10" s="130"/>
      <c r="R10" s="130"/>
      <c r="S10" s="130"/>
      <c r="T10" s="130"/>
      <c r="U10" s="130"/>
      <c r="V10" s="130"/>
      <c r="W10" s="130"/>
      <c r="X10" s="130"/>
      <c r="Y10" s="130"/>
      <c r="Z10" s="55" t="str">
        <f>IF(SUM(N10:Y10)=0,"",SUM(N10:Y10))</f>
        <v/>
      </c>
      <c r="AA10" s="102"/>
      <c r="AB10" s="102" t="str">
        <f t="shared" ref="AB10:AB31" si="112">H173</f>
        <v/>
      </c>
      <c r="AC10" s="102"/>
      <c r="AD10" s="102"/>
      <c r="AE10" s="102"/>
      <c r="AF10" s="102"/>
      <c r="AG10" s="102"/>
      <c r="AH10" s="102"/>
      <c r="AI10" s="102"/>
      <c r="AJ10" s="102"/>
      <c r="AK10" s="102"/>
      <c r="AL10" s="102"/>
      <c r="AM10" s="102"/>
      <c r="AN10" s="102"/>
      <c r="AP10" s="65" t="str">
        <f t="shared" si="42"/>
        <v/>
      </c>
      <c r="AQ10" s="91">
        <f t="shared" si="43"/>
        <v>0</v>
      </c>
      <c r="AR10" s="91">
        <f t="shared" si="44"/>
        <v>0</v>
      </c>
      <c r="AS10" s="91">
        <f t="shared" si="45"/>
        <v>0</v>
      </c>
      <c r="AT10" s="91">
        <f t="shared" si="46"/>
        <v>0</v>
      </c>
      <c r="AU10" s="91">
        <f t="shared" si="47"/>
        <v>0</v>
      </c>
      <c r="AV10" s="91">
        <f t="shared" si="48"/>
        <v>0</v>
      </c>
      <c r="AW10" s="91">
        <f t="shared" si="49"/>
        <v>0</v>
      </c>
      <c r="AX10" s="91">
        <f t="shared" si="50"/>
        <v>0</v>
      </c>
      <c r="AY10" s="91">
        <f t="shared" si="51"/>
        <v>0</v>
      </c>
      <c r="AZ10" s="91">
        <f t="shared" si="52"/>
        <v>0</v>
      </c>
      <c r="BA10" s="91">
        <f t="shared" si="53"/>
        <v>0</v>
      </c>
      <c r="BB10" s="91">
        <f t="shared" si="54"/>
        <v>0</v>
      </c>
      <c r="BC10" s="55" t="str">
        <f>IF(SUM(AQ10:BB10)=0,"",SUM(AQ10:BB10))</f>
        <v/>
      </c>
      <c r="BD10" s="102"/>
      <c r="BE10" s="102"/>
      <c r="BF10" s="102"/>
      <c r="BG10" s="102"/>
      <c r="BH10" s="102"/>
      <c r="BI10" s="102"/>
      <c r="BJ10" s="102"/>
      <c r="BK10" s="102"/>
      <c r="BL10" s="102"/>
      <c r="BM10" s="102"/>
      <c r="BN10" s="102"/>
      <c r="BO10" s="102"/>
      <c r="BP10" s="102"/>
      <c r="BQ10" s="102"/>
      <c r="BS10" s="65" t="str">
        <f t="shared" si="57"/>
        <v/>
      </c>
      <c r="BT10" s="91">
        <f t="shared" si="95"/>
        <v>0</v>
      </c>
      <c r="BU10" s="91">
        <f t="shared" si="96"/>
        <v>0</v>
      </c>
      <c r="BV10" s="91">
        <f t="shared" si="58"/>
        <v>0</v>
      </c>
      <c r="BW10" s="91">
        <f t="shared" si="59"/>
        <v>0</v>
      </c>
      <c r="BX10" s="91">
        <f t="shared" si="60"/>
        <v>0</v>
      </c>
      <c r="BY10" s="91">
        <f t="shared" si="61"/>
        <v>0</v>
      </c>
      <c r="BZ10" s="91">
        <f t="shared" si="62"/>
        <v>0</v>
      </c>
      <c r="CA10" s="91">
        <f t="shared" si="63"/>
        <v>0</v>
      </c>
      <c r="CB10" s="91">
        <f t="shared" si="64"/>
        <v>0</v>
      </c>
      <c r="CC10" s="91">
        <f t="shared" si="65"/>
        <v>0</v>
      </c>
      <c r="CD10" s="91">
        <f t="shared" si="66"/>
        <v>0</v>
      </c>
      <c r="CE10" s="91">
        <f t="shared" si="67"/>
        <v>0</v>
      </c>
      <c r="CF10" s="55" t="str">
        <f>IF(SUM(BT10:CE10)=0,"",SUM(BT10:CE10))</f>
        <v/>
      </c>
      <c r="CG10" s="102"/>
      <c r="CH10" s="102"/>
      <c r="CI10" s="102"/>
      <c r="CJ10" s="102"/>
      <c r="CK10" s="102"/>
      <c r="CL10" s="102"/>
      <c r="CM10" s="102"/>
      <c r="CN10" s="102"/>
      <c r="CO10" s="102"/>
      <c r="CP10" s="102"/>
      <c r="CQ10" s="102"/>
      <c r="CR10" s="102"/>
      <c r="CS10" s="102"/>
      <c r="CT10" s="102"/>
      <c r="CU10" s="40"/>
      <c r="CV10" s="65" t="str">
        <f t="shared" si="70"/>
        <v/>
      </c>
      <c r="CW10" s="69" t="str">
        <f t="shared" si="107"/>
        <v/>
      </c>
      <c r="CX10" s="69" t="str">
        <f t="shared" si="108"/>
        <v/>
      </c>
      <c r="CY10" s="69" t="str">
        <f t="shared" si="109"/>
        <v/>
      </c>
    </row>
    <row r="11" spans="13:103" s="38" customFormat="1" ht="15" customHeight="1" x14ac:dyDescent="0.2">
      <c r="M11" s="135"/>
      <c r="N11" s="130"/>
      <c r="O11" s="130"/>
      <c r="P11" s="130"/>
      <c r="Q11" s="130"/>
      <c r="R11" s="130"/>
      <c r="S11" s="130"/>
      <c r="T11" s="130"/>
      <c r="U11" s="130"/>
      <c r="V11" s="130"/>
      <c r="W11" s="130"/>
      <c r="X11" s="130"/>
      <c r="Y11" s="130"/>
      <c r="Z11" s="55" t="str">
        <f t="shared" ref="Z11:Z31" si="113">IF(SUM(N11:Y11)=0,"",SUM(N11:Y11))</f>
        <v/>
      </c>
      <c r="AA11" s="102"/>
      <c r="AB11" s="102" t="str">
        <f t="shared" si="112"/>
        <v/>
      </c>
      <c r="AC11" s="102"/>
      <c r="AD11" s="102"/>
      <c r="AE11" s="102"/>
      <c r="AF11" s="102"/>
      <c r="AG11" s="102"/>
      <c r="AH11" s="102"/>
      <c r="AI11" s="102"/>
      <c r="AJ11" s="102"/>
      <c r="AK11" s="102"/>
      <c r="AL11" s="102"/>
      <c r="AM11" s="102"/>
      <c r="AN11" s="102"/>
      <c r="AP11" s="65" t="str">
        <f t="shared" si="42"/>
        <v/>
      </c>
      <c r="AQ11" s="91">
        <f t="shared" si="43"/>
        <v>0</v>
      </c>
      <c r="AR11" s="91">
        <f t="shared" si="44"/>
        <v>0</v>
      </c>
      <c r="AS11" s="91">
        <f t="shared" si="45"/>
        <v>0</v>
      </c>
      <c r="AT11" s="91">
        <f t="shared" si="46"/>
        <v>0</v>
      </c>
      <c r="AU11" s="91">
        <f t="shared" si="47"/>
        <v>0</v>
      </c>
      <c r="AV11" s="91">
        <f t="shared" si="48"/>
        <v>0</v>
      </c>
      <c r="AW11" s="91">
        <f t="shared" si="49"/>
        <v>0</v>
      </c>
      <c r="AX11" s="91">
        <f t="shared" si="50"/>
        <v>0</v>
      </c>
      <c r="AY11" s="91">
        <f t="shared" si="51"/>
        <v>0</v>
      </c>
      <c r="AZ11" s="91">
        <f t="shared" si="52"/>
        <v>0</v>
      </c>
      <c r="BA11" s="91">
        <f t="shared" si="53"/>
        <v>0</v>
      </c>
      <c r="BB11" s="91">
        <f t="shared" si="54"/>
        <v>0</v>
      </c>
      <c r="BC11" s="55" t="str">
        <f t="shared" ref="BC11:BC31" si="114">IF(SUM(AQ11:BB11)=0,"",SUM(AQ11:BB11))</f>
        <v/>
      </c>
      <c r="BD11" s="102"/>
      <c r="BE11" s="102"/>
      <c r="BF11" s="102"/>
      <c r="BG11" s="102"/>
      <c r="BH11" s="102"/>
      <c r="BI11" s="102"/>
      <c r="BJ11" s="102"/>
      <c r="BK11" s="102"/>
      <c r="BL11" s="102"/>
      <c r="BM11" s="102"/>
      <c r="BN11" s="102"/>
      <c r="BO11" s="102"/>
      <c r="BP11" s="102"/>
      <c r="BQ11" s="102"/>
      <c r="BS11" s="65" t="str">
        <f t="shared" si="57"/>
        <v/>
      </c>
      <c r="BT11" s="91">
        <f t="shared" si="95"/>
        <v>0</v>
      </c>
      <c r="BU11" s="91">
        <f t="shared" si="96"/>
        <v>0</v>
      </c>
      <c r="BV11" s="91">
        <f t="shared" si="58"/>
        <v>0</v>
      </c>
      <c r="BW11" s="91">
        <f t="shared" si="59"/>
        <v>0</v>
      </c>
      <c r="BX11" s="91">
        <f t="shared" si="60"/>
        <v>0</v>
      </c>
      <c r="BY11" s="91">
        <f t="shared" si="61"/>
        <v>0</v>
      </c>
      <c r="BZ11" s="91">
        <f t="shared" si="62"/>
        <v>0</v>
      </c>
      <c r="CA11" s="91">
        <f t="shared" si="63"/>
        <v>0</v>
      </c>
      <c r="CB11" s="91">
        <f t="shared" si="64"/>
        <v>0</v>
      </c>
      <c r="CC11" s="91">
        <f t="shared" si="65"/>
        <v>0</v>
      </c>
      <c r="CD11" s="91">
        <f t="shared" si="66"/>
        <v>0</v>
      </c>
      <c r="CE11" s="91">
        <f t="shared" si="67"/>
        <v>0</v>
      </c>
      <c r="CF11" s="55" t="str">
        <f t="shared" ref="CF11:CF31" si="115">IF(SUM(BT11:CE11)=0,"",SUM(BT11:CE11))</f>
        <v/>
      </c>
      <c r="CG11" s="102"/>
      <c r="CH11" s="102"/>
      <c r="CI11" s="102"/>
      <c r="CJ11" s="102"/>
      <c r="CK11" s="102"/>
      <c r="CL11" s="102"/>
      <c r="CM11" s="102"/>
      <c r="CN11" s="102"/>
      <c r="CO11" s="102"/>
      <c r="CP11" s="102"/>
      <c r="CQ11" s="102"/>
      <c r="CR11" s="102"/>
      <c r="CS11" s="102"/>
      <c r="CT11" s="102"/>
      <c r="CU11" s="40"/>
      <c r="CV11" s="65" t="str">
        <f t="shared" si="70"/>
        <v/>
      </c>
      <c r="CW11" s="69" t="str">
        <f t="shared" si="107"/>
        <v/>
      </c>
      <c r="CX11" s="69" t="str">
        <f t="shared" si="108"/>
        <v/>
      </c>
      <c r="CY11" s="69" t="str">
        <f t="shared" si="109"/>
        <v/>
      </c>
    </row>
    <row r="12" spans="13:103" s="38" customFormat="1" ht="15" customHeight="1" x14ac:dyDescent="0.2">
      <c r="M12" s="135"/>
      <c r="N12" s="130"/>
      <c r="O12" s="130"/>
      <c r="P12" s="130"/>
      <c r="Q12" s="130"/>
      <c r="R12" s="130"/>
      <c r="S12" s="130"/>
      <c r="T12" s="130"/>
      <c r="U12" s="130"/>
      <c r="V12" s="130"/>
      <c r="W12" s="130"/>
      <c r="X12" s="130"/>
      <c r="Y12" s="130"/>
      <c r="Z12" s="55" t="str">
        <f t="shared" si="113"/>
        <v/>
      </c>
      <c r="AA12" s="102"/>
      <c r="AB12" s="102" t="str">
        <f t="shared" si="112"/>
        <v/>
      </c>
      <c r="AC12" s="102"/>
      <c r="AD12" s="102"/>
      <c r="AE12" s="102"/>
      <c r="AF12" s="102"/>
      <c r="AG12" s="102"/>
      <c r="AH12" s="102"/>
      <c r="AI12" s="102"/>
      <c r="AJ12" s="102"/>
      <c r="AK12" s="102"/>
      <c r="AL12" s="102"/>
      <c r="AM12" s="102"/>
      <c r="AN12" s="102"/>
      <c r="AP12" s="65" t="str">
        <f t="shared" si="42"/>
        <v/>
      </c>
      <c r="AQ12" s="91">
        <f t="shared" si="43"/>
        <v>0</v>
      </c>
      <c r="AR12" s="91">
        <f t="shared" si="44"/>
        <v>0</v>
      </c>
      <c r="AS12" s="91">
        <f t="shared" si="45"/>
        <v>0</v>
      </c>
      <c r="AT12" s="91">
        <f t="shared" si="46"/>
        <v>0</v>
      </c>
      <c r="AU12" s="91">
        <f t="shared" si="47"/>
        <v>0</v>
      </c>
      <c r="AV12" s="91">
        <f t="shared" si="48"/>
        <v>0</v>
      </c>
      <c r="AW12" s="91">
        <f t="shared" si="49"/>
        <v>0</v>
      </c>
      <c r="AX12" s="91">
        <f t="shared" si="50"/>
        <v>0</v>
      </c>
      <c r="AY12" s="91">
        <f t="shared" si="51"/>
        <v>0</v>
      </c>
      <c r="AZ12" s="91">
        <f t="shared" si="52"/>
        <v>0</v>
      </c>
      <c r="BA12" s="91">
        <f t="shared" si="53"/>
        <v>0</v>
      </c>
      <c r="BB12" s="91">
        <f t="shared" si="54"/>
        <v>0</v>
      </c>
      <c r="BC12" s="55" t="str">
        <f t="shared" si="114"/>
        <v/>
      </c>
      <c r="BD12" s="102"/>
      <c r="BE12" s="102"/>
      <c r="BF12" s="102"/>
      <c r="BG12" s="102"/>
      <c r="BH12" s="102"/>
      <c r="BI12" s="102"/>
      <c r="BJ12" s="102"/>
      <c r="BK12" s="102"/>
      <c r="BL12" s="102"/>
      <c r="BM12" s="102"/>
      <c r="BN12" s="102"/>
      <c r="BO12" s="102"/>
      <c r="BP12" s="102"/>
      <c r="BQ12" s="102"/>
      <c r="BS12" s="65" t="str">
        <f t="shared" si="57"/>
        <v/>
      </c>
      <c r="BT12" s="91">
        <f t="shared" si="95"/>
        <v>0</v>
      </c>
      <c r="BU12" s="91">
        <f t="shared" si="96"/>
        <v>0</v>
      </c>
      <c r="BV12" s="91">
        <f t="shared" si="58"/>
        <v>0</v>
      </c>
      <c r="BW12" s="91">
        <f t="shared" si="59"/>
        <v>0</v>
      </c>
      <c r="BX12" s="91">
        <f t="shared" si="60"/>
        <v>0</v>
      </c>
      <c r="BY12" s="91">
        <f t="shared" si="61"/>
        <v>0</v>
      </c>
      <c r="BZ12" s="91">
        <f t="shared" si="62"/>
        <v>0</v>
      </c>
      <c r="CA12" s="91">
        <f t="shared" si="63"/>
        <v>0</v>
      </c>
      <c r="CB12" s="91">
        <f t="shared" si="64"/>
        <v>0</v>
      </c>
      <c r="CC12" s="91">
        <f t="shared" si="65"/>
        <v>0</v>
      </c>
      <c r="CD12" s="91">
        <f t="shared" si="66"/>
        <v>0</v>
      </c>
      <c r="CE12" s="91">
        <f t="shared" si="67"/>
        <v>0</v>
      </c>
      <c r="CF12" s="55" t="str">
        <f t="shared" si="115"/>
        <v/>
      </c>
      <c r="CG12" s="102"/>
      <c r="CH12" s="102"/>
      <c r="CI12" s="102"/>
      <c r="CJ12" s="102"/>
      <c r="CK12" s="102"/>
      <c r="CL12" s="102"/>
      <c r="CM12" s="102"/>
      <c r="CN12" s="102"/>
      <c r="CO12" s="102"/>
      <c r="CP12" s="102"/>
      <c r="CQ12" s="102"/>
      <c r="CR12" s="102"/>
      <c r="CS12" s="102"/>
      <c r="CT12" s="102"/>
      <c r="CU12" s="40"/>
      <c r="CV12" s="65" t="str">
        <f t="shared" si="70"/>
        <v/>
      </c>
      <c r="CW12" s="69" t="str">
        <f t="shared" si="107"/>
        <v/>
      </c>
      <c r="CX12" s="69" t="str">
        <f t="shared" si="108"/>
        <v/>
      </c>
      <c r="CY12" s="69" t="str">
        <f t="shared" si="109"/>
        <v/>
      </c>
    </row>
    <row r="13" spans="13:103" s="38" customFormat="1" ht="15" customHeight="1" x14ac:dyDescent="0.2">
      <c r="M13" s="135"/>
      <c r="N13" s="130"/>
      <c r="O13" s="130"/>
      <c r="P13" s="130"/>
      <c r="Q13" s="130"/>
      <c r="R13" s="130"/>
      <c r="S13" s="130"/>
      <c r="T13" s="130"/>
      <c r="U13" s="130"/>
      <c r="V13" s="130"/>
      <c r="W13" s="130"/>
      <c r="X13" s="130"/>
      <c r="Y13" s="130"/>
      <c r="Z13" s="55" t="str">
        <f t="shared" si="113"/>
        <v/>
      </c>
      <c r="AA13" s="102"/>
      <c r="AB13" s="102" t="str">
        <f t="shared" si="112"/>
        <v/>
      </c>
      <c r="AC13" s="102"/>
      <c r="AD13" s="102"/>
      <c r="AE13" s="102"/>
      <c r="AF13" s="102"/>
      <c r="AG13" s="102"/>
      <c r="AH13" s="102"/>
      <c r="AI13" s="102"/>
      <c r="AJ13" s="102"/>
      <c r="AK13" s="102"/>
      <c r="AL13" s="102"/>
      <c r="AM13" s="102"/>
      <c r="AN13" s="102"/>
      <c r="AP13" s="65" t="str">
        <f t="shared" si="42"/>
        <v/>
      </c>
      <c r="AQ13" s="91">
        <f t="shared" si="43"/>
        <v>0</v>
      </c>
      <c r="AR13" s="91">
        <f t="shared" si="44"/>
        <v>0</v>
      </c>
      <c r="AS13" s="91">
        <f t="shared" si="45"/>
        <v>0</v>
      </c>
      <c r="AT13" s="91">
        <f t="shared" si="46"/>
        <v>0</v>
      </c>
      <c r="AU13" s="91">
        <f t="shared" si="47"/>
        <v>0</v>
      </c>
      <c r="AV13" s="91">
        <f t="shared" si="48"/>
        <v>0</v>
      </c>
      <c r="AW13" s="91">
        <f t="shared" si="49"/>
        <v>0</v>
      </c>
      <c r="AX13" s="91">
        <f t="shared" si="50"/>
        <v>0</v>
      </c>
      <c r="AY13" s="91">
        <f t="shared" si="51"/>
        <v>0</v>
      </c>
      <c r="AZ13" s="91">
        <f t="shared" si="52"/>
        <v>0</v>
      </c>
      <c r="BA13" s="91">
        <f t="shared" si="53"/>
        <v>0</v>
      </c>
      <c r="BB13" s="91">
        <f t="shared" si="54"/>
        <v>0</v>
      </c>
      <c r="BC13" s="55" t="str">
        <f t="shared" si="114"/>
        <v/>
      </c>
      <c r="BD13" s="102"/>
      <c r="BE13" s="102"/>
      <c r="BF13" s="102"/>
      <c r="BG13" s="102"/>
      <c r="BH13" s="102"/>
      <c r="BI13" s="102"/>
      <c r="BJ13" s="102"/>
      <c r="BK13" s="102"/>
      <c r="BL13" s="102"/>
      <c r="BM13" s="102"/>
      <c r="BN13" s="102"/>
      <c r="BO13" s="102"/>
      <c r="BP13" s="102"/>
      <c r="BQ13" s="102"/>
      <c r="BS13" s="65" t="str">
        <f t="shared" si="57"/>
        <v/>
      </c>
      <c r="BT13" s="91">
        <f t="shared" si="95"/>
        <v>0</v>
      </c>
      <c r="BU13" s="91">
        <f t="shared" si="96"/>
        <v>0</v>
      </c>
      <c r="BV13" s="91">
        <f t="shared" si="58"/>
        <v>0</v>
      </c>
      <c r="BW13" s="91">
        <f t="shared" si="59"/>
        <v>0</v>
      </c>
      <c r="BX13" s="91">
        <f t="shared" si="60"/>
        <v>0</v>
      </c>
      <c r="BY13" s="91">
        <f t="shared" si="61"/>
        <v>0</v>
      </c>
      <c r="BZ13" s="91">
        <f t="shared" si="62"/>
        <v>0</v>
      </c>
      <c r="CA13" s="91">
        <f t="shared" si="63"/>
        <v>0</v>
      </c>
      <c r="CB13" s="91">
        <f t="shared" si="64"/>
        <v>0</v>
      </c>
      <c r="CC13" s="91">
        <f t="shared" si="65"/>
        <v>0</v>
      </c>
      <c r="CD13" s="91">
        <f t="shared" si="66"/>
        <v>0</v>
      </c>
      <c r="CE13" s="91">
        <f t="shared" si="67"/>
        <v>0</v>
      </c>
      <c r="CF13" s="55" t="str">
        <f t="shared" si="115"/>
        <v/>
      </c>
      <c r="CG13" s="102"/>
      <c r="CH13" s="102"/>
      <c r="CI13" s="102"/>
      <c r="CJ13" s="102"/>
      <c r="CK13" s="102"/>
      <c r="CL13" s="102"/>
      <c r="CM13" s="102"/>
      <c r="CN13" s="102"/>
      <c r="CO13" s="102"/>
      <c r="CP13" s="102"/>
      <c r="CQ13" s="102"/>
      <c r="CR13" s="102"/>
      <c r="CS13" s="102"/>
      <c r="CT13" s="102"/>
      <c r="CU13" s="40"/>
      <c r="CV13" s="65" t="str">
        <f t="shared" si="70"/>
        <v/>
      </c>
      <c r="CW13" s="69" t="str">
        <f t="shared" si="107"/>
        <v/>
      </c>
      <c r="CX13" s="69" t="str">
        <f t="shared" si="108"/>
        <v/>
      </c>
      <c r="CY13" s="69" t="str">
        <f t="shared" si="109"/>
        <v/>
      </c>
    </row>
    <row r="14" spans="13:103" s="38" customFormat="1" ht="15" customHeight="1" x14ac:dyDescent="0.2">
      <c r="M14" s="135"/>
      <c r="N14" s="130"/>
      <c r="O14" s="130"/>
      <c r="P14" s="130"/>
      <c r="Q14" s="130"/>
      <c r="R14" s="130"/>
      <c r="S14" s="130"/>
      <c r="T14" s="130"/>
      <c r="U14" s="130"/>
      <c r="V14" s="130"/>
      <c r="W14" s="130"/>
      <c r="X14" s="130"/>
      <c r="Y14" s="130"/>
      <c r="Z14" s="55" t="str">
        <f t="shared" si="113"/>
        <v/>
      </c>
      <c r="AA14" s="102"/>
      <c r="AB14" s="102" t="str">
        <f t="shared" si="112"/>
        <v/>
      </c>
      <c r="AC14" s="102"/>
      <c r="AD14" s="102"/>
      <c r="AE14" s="102"/>
      <c r="AF14" s="102"/>
      <c r="AG14" s="102"/>
      <c r="AH14" s="102"/>
      <c r="AI14" s="102"/>
      <c r="AJ14" s="102"/>
      <c r="AK14" s="102"/>
      <c r="AL14" s="102"/>
      <c r="AM14" s="102"/>
      <c r="AN14" s="102"/>
      <c r="AP14" s="65" t="str">
        <f t="shared" si="42"/>
        <v/>
      </c>
      <c r="AQ14" s="91">
        <f t="shared" si="43"/>
        <v>0</v>
      </c>
      <c r="AR14" s="91">
        <f t="shared" si="44"/>
        <v>0</v>
      </c>
      <c r="AS14" s="91">
        <f t="shared" si="45"/>
        <v>0</v>
      </c>
      <c r="AT14" s="91">
        <f t="shared" si="46"/>
        <v>0</v>
      </c>
      <c r="AU14" s="91">
        <f t="shared" si="47"/>
        <v>0</v>
      </c>
      <c r="AV14" s="91">
        <f t="shared" si="48"/>
        <v>0</v>
      </c>
      <c r="AW14" s="91">
        <f t="shared" si="49"/>
        <v>0</v>
      </c>
      <c r="AX14" s="91">
        <f t="shared" si="50"/>
        <v>0</v>
      </c>
      <c r="AY14" s="91">
        <f t="shared" si="51"/>
        <v>0</v>
      </c>
      <c r="AZ14" s="91">
        <f t="shared" si="52"/>
        <v>0</v>
      </c>
      <c r="BA14" s="91">
        <f t="shared" si="53"/>
        <v>0</v>
      </c>
      <c r="BB14" s="91">
        <f t="shared" si="54"/>
        <v>0</v>
      </c>
      <c r="BC14" s="55" t="str">
        <f t="shared" si="114"/>
        <v/>
      </c>
      <c r="BD14" s="102"/>
      <c r="BE14" s="102"/>
      <c r="BF14" s="102"/>
      <c r="BG14" s="102"/>
      <c r="BH14" s="102"/>
      <c r="BI14" s="102"/>
      <c r="BJ14" s="102"/>
      <c r="BK14" s="102"/>
      <c r="BL14" s="102"/>
      <c r="BM14" s="102"/>
      <c r="BN14" s="102"/>
      <c r="BO14" s="102"/>
      <c r="BP14" s="102"/>
      <c r="BQ14" s="102"/>
      <c r="BS14" s="65" t="str">
        <f t="shared" si="57"/>
        <v/>
      </c>
      <c r="BT14" s="91">
        <f t="shared" si="95"/>
        <v>0</v>
      </c>
      <c r="BU14" s="91">
        <f t="shared" si="96"/>
        <v>0</v>
      </c>
      <c r="BV14" s="91">
        <f t="shared" si="58"/>
        <v>0</v>
      </c>
      <c r="BW14" s="91">
        <f t="shared" si="59"/>
        <v>0</v>
      </c>
      <c r="BX14" s="91">
        <f t="shared" si="60"/>
        <v>0</v>
      </c>
      <c r="BY14" s="91">
        <f t="shared" si="61"/>
        <v>0</v>
      </c>
      <c r="BZ14" s="91">
        <f t="shared" si="62"/>
        <v>0</v>
      </c>
      <c r="CA14" s="91">
        <f t="shared" si="63"/>
        <v>0</v>
      </c>
      <c r="CB14" s="91">
        <f t="shared" si="64"/>
        <v>0</v>
      </c>
      <c r="CC14" s="91">
        <f t="shared" si="65"/>
        <v>0</v>
      </c>
      <c r="CD14" s="91">
        <f t="shared" si="66"/>
        <v>0</v>
      </c>
      <c r="CE14" s="91">
        <f t="shared" si="67"/>
        <v>0</v>
      </c>
      <c r="CF14" s="55" t="str">
        <f t="shared" si="115"/>
        <v/>
      </c>
      <c r="CG14" s="102"/>
      <c r="CH14" s="102"/>
      <c r="CI14" s="102"/>
      <c r="CJ14" s="102"/>
      <c r="CK14" s="102"/>
      <c r="CL14" s="102"/>
      <c r="CM14" s="102"/>
      <c r="CN14" s="102"/>
      <c r="CO14" s="102"/>
      <c r="CP14" s="102"/>
      <c r="CQ14" s="102"/>
      <c r="CR14" s="102"/>
      <c r="CS14" s="102"/>
      <c r="CT14" s="102"/>
      <c r="CU14" s="40"/>
      <c r="CV14" s="65" t="str">
        <f t="shared" si="70"/>
        <v/>
      </c>
      <c r="CW14" s="69" t="str">
        <f t="shared" si="107"/>
        <v/>
      </c>
      <c r="CX14" s="69" t="str">
        <f t="shared" si="108"/>
        <v/>
      </c>
      <c r="CY14" s="69" t="str">
        <f t="shared" si="109"/>
        <v/>
      </c>
    </row>
    <row r="15" spans="13:103" s="38" customFormat="1" ht="15" customHeight="1" x14ac:dyDescent="0.2">
      <c r="M15" s="135"/>
      <c r="N15" s="130"/>
      <c r="O15" s="130"/>
      <c r="P15" s="130"/>
      <c r="Q15" s="130"/>
      <c r="R15" s="130"/>
      <c r="S15" s="130"/>
      <c r="T15" s="130"/>
      <c r="U15" s="130"/>
      <c r="V15" s="130"/>
      <c r="W15" s="130"/>
      <c r="X15" s="130"/>
      <c r="Y15" s="130"/>
      <c r="Z15" s="55" t="str">
        <f t="shared" si="113"/>
        <v/>
      </c>
      <c r="AA15" s="102"/>
      <c r="AB15" s="102" t="str">
        <f t="shared" si="112"/>
        <v/>
      </c>
      <c r="AC15" s="102"/>
      <c r="AD15" s="102"/>
      <c r="AE15" s="102"/>
      <c r="AF15" s="102"/>
      <c r="AG15" s="102"/>
      <c r="AH15" s="102"/>
      <c r="AI15" s="102"/>
      <c r="AJ15" s="102"/>
      <c r="AK15" s="102"/>
      <c r="AL15" s="102"/>
      <c r="AM15" s="102"/>
      <c r="AN15" s="102"/>
      <c r="AP15" s="65" t="str">
        <f t="shared" si="42"/>
        <v/>
      </c>
      <c r="AQ15" s="91">
        <f t="shared" si="43"/>
        <v>0</v>
      </c>
      <c r="AR15" s="91">
        <f t="shared" si="44"/>
        <v>0</v>
      </c>
      <c r="AS15" s="91">
        <f t="shared" si="45"/>
        <v>0</v>
      </c>
      <c r="AT15" s="91">
        <f t="shared" si="46"/>
        <v>0</v>
      </c>
      <c r="AU15" s="91">
        <f t="shared" si="47"/>
        <v>0</v>
      </c>
      <c r="AV15" s="91">
        <f t="shared" si="48"/>
        <v>0</v>
      </c>
      <c r="AW15" s="91">
        <f t="shared" si="49"/>
        <v>0</v>
      </c>
      <c r="AX15" s="91">
        <f t="shared" si="50"/>
        <v>0</v>
      </c>
      <c r="AY15" s="91">
        <f t="shared" si="51"/>
        <v>0</v>
      </c>
      <c r="AZ15" s="91">
        <f t="shared" si="52"/>
        <v>0</v>
      </c>
      <c r="BA15" s="91">
        <f t="shared" si="53"/>
        <v>0</v>
      </c>
      <c r="BB15" s="91">
        <f t="shared" si="54"/>
        <v>0</v>
      </c>
      <c r="BC15" s="55" t="str">
        <f t="shared" si="114"/>
        <v/>
      </c>
      <c r="BD15" s="102"/>
      <c r="BE15" s="102"/>
      <c r="BF15" s="102"/>
      <c r="BG15" s="102"/>
      <c r="BH15" s="102"/>
      <c r="BI15" s="102"/>
      <c r="BJ15" s="102"/>
      <c r="BK15" s="102"/>
      <c r="BL15" s="102"/>
      <c r="BM15" s="102"/>
      <c r="BN15" s="102"/>
      <c r="BO15" s="102"/>
      <c r="BP15" s="102"/>
      <c r="BQ15" s="102"/>
      <c r="BS15" s="65" t="str">
        <f t="shared" si="57"/>
        <v/>
      </c>
      <c r="BT15" s="91">
        <f t="shared" si="95"/>
        <v>0</v>
      </c>
      <c r="BU15" s="91">
        <f t="shared" si="96"/>
        <v>0</v>
      </c>
      <c r="BV15" s="91">
        <f t="shared" si="58"/>
        <v>0</v>
      </c>
      <c r="BW15" s="91">
        <f t="shared" si="59"/>
        <v>0</v>
      </c>
      <c r="BX15" s="91">
        <f t="shared" si="60"/>
        <v>0</v>
      </c>
      <c r="BY15" s="91">
        <f t="shared" si="61"/>
        <v>0</v>
      </c>
      <c r="BZ15" s="91">
        <f t="shared" si="62"/>
        <v>0</v>
      </c>
      <c r="CA15" s="91">
        <f t="shared" si="63"/>
        <v>0</v>
      </c>
      <c r="CB15" s="91">
        <f t="shared" si="64"/>
        <v>0</v>
      </c>
      <c r="CC15" s="91">
        <f t="shared" si="65"/>
        <v>0</v>
      </c>
      <c r="CD15" s="91">
        <f t="shared" si="66"/>
        <v>0</v>
      </c>
      <c r="CE15" s="91">
        <f t="shared" si="67"/>
        <v>0</v>
      </c>
      <c r="CF15" s="55" t="str">
        <f t="shared" si="115"/>
        <v/>
      </c>
      <c r="CG15" s="102"/>
      <c r="CH15" s="102"/>
      <c r="CI15" s="102"/>
      <c r="CJ15" s="102"/>
      <c r="CK15" s="102"/>
      <c r="CL15" s="102"/>
      <c r="CM15" s="102"/>
      <c r="CN15" s="102"/>
      <c r="CO15" s="102"/>
      <c r="CP15" s="102"/>
      <c r="CQ15" s="102"/>
      <c r="CR15" s="102"/>
      <c r="CS15" s="102"/>
      <c r="CT15" s="102"/>
      <c r="CU15" s="40"/>
      <c r="CV15" s="65" t="str">
        <f t="shared" si="70"/>
        <v/>
      </c>
      <c r="CW15" s="69" t="str">
        <f t="shared" si="107"/>
        <v/>
      </c>
      <c r="CX15" s="69" t="str">
        <f t="shared" si="108"/>
        <v/>
      </c>
      <c r="CY15" s="69" t="str">
        <f t="shared" si="109"/>
        <v/>
      </c>
    </row>
    <row r="16" spans="13:103" s="38" customFormat="1" ht="15" customHeight="1" x14ac:dyDescent="0.2">
      <c r="M16" s="135"/>
      <c r="N16" s="130"/>
      <c r="O16" s="130"/>
      <c r="P16" s="130"/>
      <c r="Q16" s="130"/>
      <c r="R16" s="130"/>
      <c r="S16" s="130"/>
      <c r="T16" s="130"/>
      <c r="U16" s="130"/>
      <c r="V16" s="130"/>
      <c r="W16" s="130"/>
      <c r="X16" s="130"/>
      <c r="Y16" s="130"/>
      <c r="Z16" s="55" t="str">
        <f t="shared" si="113"/>
        <v/>
      </c>
      <c r="AA16" s="102"/>
      <c r="AB16" s="102" t="str">
        <f t="shared" si="112"/>
        <v/>
      </c>
      <c r="AC16" s="102"/>
      <c r="AD16" s="102"/>
      <c r="AE16" s="102"/>
      <c r="AF16" s="102"/>
      <c r="AG16" s="102"/>
      <c r="AH16" s="102"/>
      <c r="AI16" s="102"/>
      <c r="AJ16" s="102"/>
      <c r="AK16" s="102"/>
      <c r="AL16" s="102"/>
      <c r="AM16" s="102"/>
      <c r="AN16" s="102"/>
      <c r="AP16" s="65" t="str">
        <f t="shared" si="42"/>
        <v/>
      </c>
      <c r="AQ16" s="91">
        <f t="shared" si="43"/>
        <v>0</v>
      </c>
      <c r="AR16" s="91">
        <f t="shared" si="44"/>
        <v>0</v>
      </c>
      <c r="AS16" s="91">
        <f t="shared" si="45"/>
        <v>0</v>
      </c>
      <c r="AT16" s="91">
        <f t="shared" si="46"/>
        <v>0</v>
      </c>
      <c r="AU16" s="91">
        <f t="shared" si="47"/>
        <v>0</v>
      </c>
      <c r="AV16" s="91">
        <f t="shared" si="48"/>
        <v>0</v>
      </c>
      <c r="AW16" s="91">
        <f t="shared" si="49"/>
        <v>0</v>
      </c>
      <c r="AX16" s="91">
        <f t="shared" si="50"/>
        <v>0</v>
      </c>
      <c r="AY16" s="91">
        <f t="shared" si="51"/>
        <v>0</v>
      </c>
      <c r="AZ16" s="91">
        <f t="shared" si="52"/>
        <v>0</v>
      </c>
      <c r="BA16" s="91">
        <f t="shared" si="53"/>
        <v>0</v>
      </c>
      <c r="BB16" s="91">
        <f t="shared" si="54"/>
        <v>0</v>
      </c>
      <c r="BC16" s="55" t="str">
        <f t="shared" si="114"/>
        <v/>
      </c>
      <c r="BD16" s="102"/>
      <c r="BE16" s="102"/>
      <c r="BF16" s="102"/>
      <c r="BG16" s="102"/>
      <c r="BH16" s="102"/>
      <c r="BI16" s="102"/>
      <c r="BJ16" s="102"/>
      <c r="BK16" s="102"/>
      <c r="BL16" s="102"/>
      <c r="BM16" s="102"/>
      <c r="BN16" s="102"/>
      <c r="BO16" s="102"/>
      <c r="BP16" s="102"/>
      <c r="BQ16" s="102"/>
      <c r="BS16" s="65" t="str">
        <f t="shared" si="57"/>
        <v/>
      </c>
      <c r="BT16" s="91">
        <f t="shared" si="95"/>
        <v>0</v>
      </c>
      <c r="BU16" s="91">
        <f t="shared" si="96"/>
        <v>0</v>
      </c>
      <c r="BV16" s="91">
        <f t="shared" si="58"/>
        <v>0</v>
      </c>
      <c r="BW16" s="91">
        <f t="shared" si="59"/>
        <v>0</v>
      </c>
      <c r="BX16" s="91">
        <f t="shared" si="60"/>
        <v>0</v>
      </c>
      <c r="BY16" s="91">
        <f t="shared" si="61"/>
        <v>0</v>
      </c>
      <c r="BZ16" s="91">
        <f t="shared" si="62"/>
        <v>0</v>
      </c>
      <c r="CA16" s="91">
        <f t="shared" si="63"/>
        <v>0</v>
      </c>
      <c r="CB16" s="91">
        <f t="shared" si="64"/>
        <v>0</v>
      </c>
      <c r="CC16" s="91">
        <f t="shared" si="65"/>
        <v>0</v>
      </c>
      <c r="CD16" s="91">
        <f t="shared" si="66"/>
        <v>0</v>
      </c>
      <c r="CE16" s="91">
        <f t="shared" si="67"/>
        <v>0</v>
      </c>
      <c r="CF16" s="55" t="str">
        <f t="shared" si="115"/>
        <v/>
      </c>
      <c r="CG16" s="102"/>
      <c r="CH16" s="102"/>
      <c r="CI16" s="102"/>
      <c r="CJ16" s="102"/>
      <c r="CK16" s="102"/>
      <c r="CL16" s="102"/>
      <c r="CM16" s="102"/>
      <c r="CN16" s="102"/>
      <c r="CO16" s="102"/>
      <c r="CP16" s="102"/>
      <c r="CQ16" s="102"/>
      <c r="CR16" s="102"/>
      <c r="CS16" s="102"/>
      <c r="CT16" s="102"/>
      <c r="CU16" s="40"/>
      <c r="CV16" s="65" t="str">
        <f t="shared" si="70"/>
        <v/>
      </c>
      <c r="CW16" s="69" t="str">
        <f t="shared" si="107"/>
        <v/>
      </c>
      <c r="CX16" s="69" t="str">
        <f t="shared" si="108"/>
        <v/>
      </c>
      <c r="CY16" s="69" t="str">
        <f t="shared" si="109"/>
        <v/>
      </c>
    </row>
    <row r="17" spans="13:103" s="38" customFormat="1" ht="15" hidden="1" customHeight="1" x14ac:dyDescent="0.2">
      <c r="M17" s="135"/>
      <c r="N17" s="130"/>
      <c r="O17" s="130"/>
      <c r="P17" s="130"/>
      <c r="Q17" s="130"/>
      <c r="R17" s="130"/>
      <c r="S17" s="130"/>
      <c r="T17" s="130"/>
      <c r="U17" s="130"/>
      <c r="V17" s="130"/>
      <c r="W17" s="130"/>
      <c r="X17" s="130"/>
      <c r="Y17" s="130"/>
      <c r="Z17" s="55" t="str">
        <f t="shared" si="113"/>
        <v/>
      </c>
      <c r="AA17" s="102"/>
      <c r="AB17" s="102" t="str">
        <f t="shared" si="112"/>
        <v/>
      </c>
      <c r="AC17" s="102"/>
      <c r="AD17" s="102"/>
      <c r="AE17" s="102"/>
      <c r="AF17" s="102"/>
      <c r="AG17" s="102"/>
      <c r="AH17" s="102"/>
      <c r="AI17" s="102"/>
      <c r="AJ17" s="102"/>
      <c r="AK17" s="102"/>
      <c r="AL17" s="102"/>
      <c r="AM17" s="102"/>
      <c r="AN17" s="102"/>
      <c r="AP17" s="65" t="str">
        <f t="shared" si="42"/>
        <v/>
      </c>
      <c r="AQ17" s="91">
        <f t="shared" si="43"/>
        <v>0</v>
      </c>
      <c r="AR17" s="91">
        <f t="shared" si="44"/>
        <v>0</v>
      </c>
      <c r="AS17" s="91">
        <f t="shared" si="45"/>
        <v>0</v>
      </c>
      <c r="AT17" s="91">
        <f t="shared" si="46"/>
        <v>0</v>
      </c>
      <c r="AU17" s="91">
        <f t="shared" si="47"/>
        <v>0</v>
      </c>
      <c r="AV17" s="91">
        <f t="shared" si="48"/>
        <v>0</v>
      </c>
      <c r="AW17" s="91">
        <f t="shared" si="49"/>
        <v>0</v>
      </c>
      <c r="AX17" s="91">
        <f t="shared" si="50"/>
        <v>0</v>
      </c>
      <c r="AY17" s="91">
        <f t="shared" si="51"/>
        <v>0</v>
      </c>
      <c r="AZ17" s="91">
        <f t="shared" si="52"/>
        <v>0</v>
      </c>
      <c r="BA17" s="91">
        <f t="shared" si="53"/>
        <v>0</v>
      </c>
      <c r="BB17" s="91">
        <f t="shared" si="54"/>
        <v>0</v>
      </c>
      <c r="BC17" s="55" t="str">
        <f t="shared" si="114"/>
        <v/>
      </c>
      <c r="BD17" s="102"/>
      <c r="BE17" s="102"/>
      <c r="BF17" s="102"/>
      <c r="BG17" s="102"/>
      <c r="BH17" s="102"/>
      <c r="BI17" s="102"/>
      <c r="BJ17" s="102"/>
      <c r="BK17" s="102"/>
      <c r="BL17" s="102"/>
      <c r="BM17" s="102"/>
      <c r="BN17" s="102"/>
      <c r="BO17" s="102"/>
      <c r="BP17" s="102"/>
      <c r="BQ17" s="102"/>
      <c r="BS17" s="65" t="str">
        <f t="shared" si="57"/>
        <v/>
      </c>
      <c r="BT17" s="91">
        <f t="shared" si="95"/>
        <v>0</v>
      </c>
      <c r="BU17" s="91">
        <f t="shared" si="96"/>
        <v>0</v>
      </c>
      <c r="BV17" s="91">
        <f t="shared" si="58"/>
        <v>0</v>
      </c>
      <c r="BW17" s="91">
        <f t="shared" si="59"/>
        <v>0</v>
      </c>
      <c r="BX17" s="91">
        <f t="shared" si="60"/>
        <v>0</v>
      </c>
      <c r="BY17" s="91">
        <f t="shared" si="61"/>
        <v>0</v>
      </c>
      <c r="BZ17" s="91">
        <f t="shared" si="62"/>
        <v>0</v>
      </c>
      <c r="CA17" s="91">
        <f t="shared" si="63"/>
        <v>0</v>
      </c>
      <c r="CB17" s="91">
        <f t="shared" si="64"/>
        <v>0</v>
      </c>
      <c r="CC17" s="91">
        <f t="shared" si="65"/>
        <v>0</v>
      </c>
      <c r="CD17" s="91">
        <f t="shared" si="66"/>
        <v>0</v>
      </c>
      <c r="CE17" s="91">
        <f t="shared" si="67"/>
        <v>0</v>
      </c>
      <c r="CF17" s="55" t="str">
        <f t="shared" si="115"/>
        <v/>
      </c>
      <c r="CG17" s="102"/>
      <c r="CH17" s="102"/>
      <c r="CI17" s="102"/>
      <c r="CJ17" s="102"/>
      <c r="CK17" s="102"/>
      <c r="CL17" s="102"/>
      <c r="CM17" s="102"/>
      <c r="CN17" s="102"/>
      <c r="CO17" s="102"/>
      <c r="CP17" s="102"/>
      <c r="CQ17" s="102"/>
      <c r="CR17" s="102"/>
      <c r="CS17" s="102"/>
      <c r="CT17" s="102"/>
      <c r="CU17" s="40"/>
      <c r="CV17" s="65" t="str">
        <f t="shared" si="70"/>
        <v/>
      </c>
      <c r="CW17" s="69" t="str">
        <f t="shared" si="107"/>
        <v/>
      </c>
      <c r="CX17" s="69" t="str">
        <f t="shared" si="108"/>
        <v/>
      </c>
      <c r="CY17" s="69" t="str">
        <f t="shared" si="109"/>
        <v/>
      </c>
    </row>
    <row r="18" spans="13:103" s="38" customFormat="1" ht="15" hidden="1" customHeight="1" x14ac:dyDescent="0.2">
      <c r="M18" s="135"/>
      <c r="N18" s="130"/>
      <c r="O18" s="130"/>
      <c r="P18" s="130"/>
      <c r="Q18" s="130"/>
      <c r="R18" s="130"/>
      <c r="S18" s="130"/>
      <c r="T18" s="130"/>
      <c r="U18" s="130"/>
      <c r="V18" s="130"/>
      <c r="W18" s="130"/>
      <c r="X18" s="130"/>
      <c r="Y18" s="130"/>
      <c r="Z18" s="55" t="str">
        <f t="shared" si="113"/>
        <v/>
      </c>
      <c r="AA18" s="102"/>
      <c r="AB18" s="102" t="str">
        <f t="shared" si="112"/>
        <v/>
      </c>
      <c r="AC18" s="102"/>
      <c r="AD18" s="102"/>
      <c r="AE18" s="102"/>
      <c r="AF18" s="102"/>
      <c r="AG18" s="102"/>
      <c r="AH18" s="102"/>
      <c r="AI18" s="102"/>
      <c r="AJ18" s="102"/>
      <c r="AK18" s="102"/>
      <c r="AL18" s="102"/>
      <c r="AM18" s="102"/>
      <c r="AN18" s="102"/>
      <c r="AP18" s="65" t="str">
        <f t="shared" si="42"/>
        <v/>
      </c>
      <c r="AQ18" s="91">
        <f t="shared" si="43"/>
        <v>0</v>
      </c>
      <c r="AR18" s="91">
        <f t="shared" si="44"/>
        <v>0</v>
      </c>
      <c r="AS18" s="91">
        <f t="shared" si="45"/>
        <v>0</v>
      </c>
      <c r="AT18" s="91">
        <f t="shared" si="46"/>
        <v>0</v>
      </c>
      <c r="AU18" s="91">
        <f t="shared" si="47"/>
        <v>0</v>
      </c>
      <c r="AV18" s="91">
        <f t="shared" si="48"/>
        <v>0</v>
      </c>
      <c r="AW18" s="91">
        <f t="shared" si="49"/>
        <v>0</v>
      </c>
      <c r="AX18" s="91">
        <f t="shared" si="50"/>
        <v>0</v>
      </c>
      <c r="AY18" s="91">
        <f t="shared" si="51"/>
        <v>0</v>
      </c>
      <c r="AZ18" s="91">
        <f t="shared" si="52"/>
        <v>0</v>
      </c>
      <c r="BA18" s="91">
        <f t="shared" si="53"/>
        <v>0</v>
      </c>
      <c r="BB18" s="91">
        <f t="shared" si="54"/>
        <v>0</v>
      </c>
      <c r="BC18" s="55" t="str">
        <f t="shared" si="114"/>
        <v/>
      </c>
      <c r="BD18" s="102"/>
      <c r="BE18" s="102"/>
      <c r="BF18" s="102"/>
      <c r="BG18" s="102"/>
      <c r="BH18" s="102"/>
      <c r="BI18" s="102"/>
      <c r="BJ18" s="102"/>
      <c r="BK18" s="102"/>
      <c r="BL18" s="102"/>
      <c r="BM18" s="102"/>
      <c r="BN18" s="102"/>
      <c r="BO18" s="102"/>
      <c r="BP18" s="102"/>
      <c r="BQ18" s="102"/>
      <c r="BS18" s="65" t="str">
        <f t="shared" si="57"/>
        <v/>
      </c>
      <c r="BT18" s="91">
        <f t="shared" si="95"/>
        <v>0</v>
      </c>
      <c r="BU18" s="91">
        <f t="shared" si="96"/>
        <v>0</v>
      </c>
      <c r="BV18" s="91">
        <f t="shared" si="58"/>
        <v>0</v>
      </c>
      <c r="BW18" s="91">
        <f t="shared" si="59"/>
        <v>0</v>
      </c>
      <c r="BX18" s="91">
        <f t="shared" si="60"/>
        <v>0</v>
      </c>
      <c r="BY18" s="91">
        <f t="shared" si="61"/>
        <v>0</v>
      </c>
      <c r="BZ18" s="91">
        <f t="shared" si="62"/>
        <v>0</v>
      </c>
      <c r="CA18" s="91">
        <f t="shared" si="63"/>
        <v>0</v>
      </c>
      <c r="CB18" s="91">
        <f t="shared" si="64"/>
        <v>0</v>
      </c>
      <c r="CC18" s="91">
        <f t="shared" si="65"/>
        <v>0</v>
      </c>
      <c r="CD18" s="91">
        <f t="shared" si="66"/>
        <v>0</v>
      </c>
      <c r="CE18" s="91">
        <f t="shared" si="67"/>
        <v>0</v>
      </c>
      <c r="CF18" s="55" t="str">
        <f t="shared" si="115"/>
        <v/>
      </c>
      <c r="CG18" s="102"/>
      <c r="CH18" s="102"/>
      <c r="CI18" s="102"/>
      <c r="CJ18" s="102"/>
      <c r="CK18" s="102"/>
      <c r="CL18" s="102"/>
      <c r="CM18" s="102"/>
      <c r="CN18" s="102"/>
      <c r="CO18" s="102"/>
      <c r="CP18" s="102"/>
      <c r="CQ18" s="102"/>
      <c r="CR18" s="102"/>
      <c r="CS18" s="102"/>
      <c r="CT18" s="102"/>
      <c r="CU18" s="40"/>
      <c r="CV18" s="65" t="str">
        <f t="shared" si="70"/>
        <v/>
      </c>
      <c r="CW18" s="69" t="str">
        <f t="shared" si="107"/>
        <v/>
      </c>
      <c r="CX18" s="69" t="str">
        <f t="shared" si="108"/>
        <v/>
      </c>
      <c r="CY18" s="69" t="str">
        <f t="shared" si="109"/>
        <v/>
      </c>
    </row>
    <row r="19" spans="13:103" s="38" customFormat="1" ht="15" hidden="1" customHeight="1" x14ac:dyDescent="0.2">
      <c r="M19" s="135"/>
      <c r="N19" s="130"/>
      <c r="O19" s="130"/>
      <c r="P19" s="130"/>
      <c r="Q19" s="130"/>
      <c r="R19" s="130"/>
      <c r="S19" s="130"/>
      <c r="T19" s="130"/>
      <c r="U19" s="130"/>
      <c r="V19" s="130"/>
      <c r="W19" s="130"/>
      <c r="X19" s="130"/>
      <c r="Y19" s="130"/>
      <c r="Z19" s="55" t="str">
        <f t="shared" si="113"/>
        <v/>
      </c>
      <c r="AA19" s="102"/>
      <c r="AB19" s="102" t="str">
        <f t="shared" si="112"/>
        <v/>
      </c>
      <c r="AC19" s="102"/>
      <c r="AD19" s="102"/>
      <c r="AE19" s="102"/>
      <c r="AF19" s="102"/>
      <c r="AG19" s="102"/>
      <c r="AH19" s="102"/>
      <c r="AI19" s="102"/>
      <c r="AJ19" s="102"/>
      <c r="AK19" s="102"/>
      <c r="AL19" s="102"/>
      <c r="AM19" s="102"/>
      <c r="AN19" s="102"/>
      <c r="AP19" s="65" t="str">
        <f t="shared" si="42"/>
        <v/>
      </c>
      <c r="AQ19" s="91">
        <f t="shared" si="43"/>
        <v>0</v>
      </c>
      <c r="AR19" s="91">
        <f t="shared" si="44"/>
        <v>0</v>
      </c>
      <c r="AS19" s="91">
        <f t="shared" si="45"/>
        <v>0</v>
      </c>
      <c r="AT19" s="91">
        <f t="shared" si="46"/>
        <v>0</v>
      </c>
      <c r="AU19" s="91">
        <f t="shared" si="47"/>
        <v>0</v>
      </c>
      <c r="AV19" s="91">
        <f t="shared" si="48"/>
        <v>0</v>
      </c>
      <c r="AW19" s="91">
        <f t="shared" si="49"/>
        <v>0</v>
      </c>
      <c r="AX19" s="91">
        <f t="shared" si="50"/>
        <v>0</v>
      </c>
      <c r="AY19" s="91">
        <f t="shared" si="51"/>
        <v>0</v>
      </c>
      <c r="AZ19" s="91">
        <f t="shared" si="52"/>
        <v>0</v>
      </c>
      <c r="BA19" s="91">
        <f t="shared" si="53"/>
        <v>0</v>
      </c>
      <c r="BB19" s="91">
        <f t="shared" si="54"/>
        <v>0</v>
      </c>
      <c r="BC19" s="55" t="str">
        <f t="shared" si="114"/>
        <v/>
      </c>
      <c r="BD19" s="102"/>
      <c r="BE19" s="102"/>
      <c r="BF19" s="102"/>
      <c r="BG19" s="102"/>
      <c r="BH19" s="102"/>
      <c r="BI19" s="102"/>
      <c r="BJ19" s="102"/>
      <c r="BK19" s="102"/>
      <c r="BL19" s="102"/>
      <c r="BM19" s="102"/>
      <c r="BN19" s="102"/>
      <c r="BO19" s="102"/>
      <c r="BP19" s="102"/>
      <c r="BQ19" s="102"/>
      <c r="BS19" s="65" t="str">
        <f t="shared" si="57"/>
        <v/>
      </c>
      <c r="BT19" s="91">
        <f t="shared" si="95"/>
        <v>0</v>
      </c>
      <c r="BU19" s="91">
        <f t="shared" si="96"/>
        <v>0</v>
      </c>
      <c r="BV19" s="91">
        <f t="shared" si="58"/>
        <v>0</v>
      </c>
      <c r="BW19" s="91">
        <f t="shared" si="59"/>
        <v>0</v>
      </c>
      <c r="BX19" s="91">
        <f t="shared" si="60"/>
        <v>0</v>
      </c>
      <c r="BY19" s="91">
        <f t="shared" si="61"/>
        <v>0</v>
      </c>
      <c r="BZ19" s="91">
        <f t="shared" si="62"/>
        <v>0</v>
      </c>
      <c r="CA19" s="91">
        <f t="shared" si="63"/>
        <v>0</v>
      </c>
      <c r="CB19" s="91">
        <f t="shared" si="64"/>
        <v>0</v>
      </c>
      <c r="CC19" s="91">
        <f t="shared" si="65"/>
        <v>0</v>
      </c>
      <c r="CD19" s="91">
        <f t="shared" si="66"/>
        <v>0</v>
      </c>
      <c r="CE19" s="91">
        <f t="shared" si="67"/>
        <v>0</v>
      </c>
      <c r="CF19" s="55" t="str">
        <f t="shared" si="115"/>
        <v/>
      </c>
      <c r="CG19" s="102"/>
      <c r="CH19" s="102"/>
      <c r="CI19" s="102"/>
      <c r="CJ19" s="102"/>
      <c r="CK19" s="102"/>
      <c r="CL19" s="102"/>
      <c r="CM19" s="102"/>
      <c r="CN19" s="102"/>
      <c r="CO19" s="102"/>
      <c r="CP19" s="102"/>
      <c r="CQ19" s="102"/>
      <c r="CR19" s="102"/>
      <c r="CS19" s="102"/>
      <c r="CT19" s="102"/>
      <c r="CU19" s="40"/>
      <c r="CV19" s="65" t="str">
        <f t="shared" si="70"/>
        <v/>
      </c>
      <c r="CW19" s="69" t="str">
        <f t="shared" si="107"/>
        <v/>
      </c>
      <c r="CX19" s="69" t="str">
        <f t="shared" si="108"/>
        <v/>
      </c>
      <c r="CY19" s="69" t="str">
        <f t="shared" si="109"/>
        <v/>
      </c>
    </row>
    <row r="20" spans="13:103" s="38" customFormat="1" ht="15" hidden="1" customHeight="1" x14ac:dyDescent="0.2">
      <c r="M20" s="135"/>
      <c r="N20" s="130"/>
      <c r="O20" s="130"/>
      <c r="P20" s="130"/>
      <c r="Q20" s="130"/>
      <c r="R20" s="130"/>
      <c r="S20" s="130"/>
      <c r="T20" s="130"/>
      <c r="U20" s="130"/>
      <c r="V20" s="130"/>
      <c r="W20" s="130"/>
      <c r="X20" s="130"/>
      <c r="Y20" s="130"/>
      <c r="Z20" s="55" t="str">
        <f t="shared" si="113"/>
        <v/>
      </c>
      <c r="AA20" s="102"/>
      <c r="AB20" s="102" t="str">
        <f t="shared" si="112"/>
        <v/>
      </c>
      <c r="AC20" s="102"/>
      <c r="AD20" s="102"/>
      <c r="AE20" s="102"/>
      <c r="AF20" s="102"/>
      <c r="AG20" s="102"/>
      <c r="AH20" s="102"/>
      <c r="AI20" s="102"/>
      <c r="AJ20" s="102"/>
      <c r="AK20" s="102"/>
      <c r="AL20" s="102"/>
      <c r="AM20" s="102"/>
      <c r="AN20" s="102"/>
      <c r="AP20" s="65" t="str">
        <f t="shared" si="42"/>
        <v/>
      </c>
      <c r="AQ20" s="91">
        <f t="shared" si="43"/>
        <v>0</v>
      </c>
      <c r="AR20" s="91">
        <f t="shared" si="44"/>
        <v>0</v>
      </c>
      <c r="AS20" s="91">
        <f t="shared" si="45"/>
        <v>0</v>
      </c>
      <c r="AT20" s="91">
        <f t="shared" si="46"/>
        <v>0</v>
      </c>
      <c r="AU20" s="91">
        <f t="shared" si="47"/>
        <v>0</v>
      </c>
      <c r="AV20" s="91">
        <f t="shared" si="48"/>
        <v>0</v>
      </c>
      <c r="AW20" s="91">
        <f t="shared" si="49"/>
        <v>0</v>
      </c>
      <c r="AX20" s="91">
        <f t="shared" si="50"/>
        <v>0</v>
      </c>
      <c r="AY20" s="91">
        <f t="shared" si="51"/>
        <v>0</v>
      </c>
      <c r="AZ20" s="91">
        <f t="shared" si="52"/>
        <v>0</v>
      </c>
      <c r="BA20" s="91">
        <f t="shared" si="53"/>
        <v>0</v>
      </c>
      <c r="BB20" s="91">
        <f t="shared" si="54"/>
        <v>0</v>
      </c>
      <c r="BC20" s="55" t="str">
        <f t="shared" si="114"/>
        <v/>
      </c>
      <c r="BD20" s="102"/>
      <c r="BE20" s="102"/>
      <c r="BF20" s="102"/>
      <c r="BG20" s="102"/>
      <c r="BH20" s="102"/>
      <c r="BI20" s="102"/>
      <c r="BJ20" s="102"/>
      <c r="BK20" s="102"/>
      <c r="BL20" s="102"/>
      <c r="BM20" s="102"/>
      <c r="BN20" s="102"/>
      <c r="BO20" s="102"/>
      <c r="BP20" s="102"/>
      <c r="BQ20" s="102"/>
      <c r="BS20" s="65" t="str">
        <f t="shared" si="57"/>
        <v/>
      </c>
      <c r="BT20" s="91">
        <f t="shared" si="95"/>
        <v>0</v>
      </c>
      <c r="BU20" s="91">
        <f t="shared" si="96"/>
        <v>0</v>
      </c>
      <c r="BV20" s="91">
        <f t="shared" si="58"/>
        <v>0</v>
      </c>
      <c r="BW20" s="91">
        <f t="shared" si="59"/>
        <v>0</v>
      </c>
      <c r="BX20" s="91">
        <f t="shared" si="60"/>
        <v>0</v>
      </c>
      <c r="BY20" s="91">
        <f t="shared" si="61"/>
        <v>0</v>
      </c>
      <c r="BZ20" s="91">
        <f t="shared" si="62"/>
        <v>0</v>
      </c>
      <c r="CA20" s="91">
        <f t="shared" si="63"/>
        <v>0</v>
      </c>
      <c r="CB20" s="91">
        <f t="shared" si="64"/>
        <v>0</v>
      </c>
      <c r="CC20" s="91">
        <f t="shared" si="65"/>
        <v>0</v>
      </c>
      <c r="CD20" s="91">
        <f t="shared" si="66"/>
        <v>0</v>
      </c>
      <c r="CE20" s="91">
        <f t="shared" si="67"/>
        <v>0</v>
      </c>
      <c r="CF20" s="55" t="str">
        <f t="shared" si="115"/>
        <v/>
      </c>
      <c r="CG20" s="102"/>
      <c r="CH20" s="102"/>
      <c r="CI20" s="102"/>
      <c r="CJ20" s="102"/>
      <c r="CK20" s="102"/>
      <c r="CL20" s="102"/>
      <c r="CM20" s="102"/>
      <c r="CN20" s="102"/>
      <c r="CO20" s="102"/>
      <c r="CP20" s="102"/>
      <c r="CQ20" s="102"/>
      <c r="CR20" s="102"/>
      <c r="CS20" s="102"/>
      <c r="CT20" s="102"/>
      <c r="CU20" s="40"/>
      <c r="CV20" s="65" t="str">
        <f t="shared" si="70"/>
        <v/>
      </c>
      <c r="CW20" s="69" t="str">
        <f t="shared" si="107"/>
        <v/>
      </c>
      <c r="CX20" s="69" t="str">
        <f t="shared" si="108"/>
        <v/>
      </c>
      <c r="CY20" s="69" t="str">
        <f t="shared" si="109"/>
        <v/>
      </c>
    </row>
    <row r="21" spans="13:103" s="38" customFormat="1" ht="15" hidden="1" customHeight="1" x14ac:dyDescent="0.2">
      <c r="M21" s="135"/>
      <c r="N21" s="130"/>
      <c r="O21" s="130"/>
      <c r="P21" s="130"/>
      <c r="Q21" s="130"/>
      <c r="R21" s="130"/>
      <c r="S21" s="130"/>
      <c r="T21" s="130"/>
      <c r="U21" s="130"/>
      <c r="V21" s="130"/>
      <c r="W21" s="130"/>
      <c r="X21" s="130"/>
      <c r="Y21" s="130"/>
      <c r="Z21" s="55" t="str">
        <f t="shared" si="113"/>
        <v/>
      </c>
      <c r="AA21" s="102"/>
      <c r="AB21" s="102" t="str">
        <f t="shared" si="112"/>
        <v/>
      </c>
      <c r="AC21" s="102"/>
      <c r="AD21" s="102"/>
      <c r="AE21" s="102"/>
      <c r="AF21" s="102"/>
      <c r="AG21" s="102"/>
      <c r="AH21" s="102"/>
      <c r="AI21" s="102"/>
      <c r="AJ21" s="102"/>
      <c r="AK21" s="102"/>
      <c r="AL21" s="102"/>
      <c r="AM21" s="102"/>
      <c r="AN21" s="102"/>
      <c r="AP21" s="65" t="str">
        <f t="shared" si="42"/>
        <v/>
      </c>
      <c r="AQ21" s="91">
        <f t="shared" si="43"/>
        <v>0</v>
      </c>
      <c r="AR21" s="91">
        <f t="shared" si="44"/>
        <v>0</v>
      </c>
      <c r="AS21" s="91">
        <f t="shared" si="45"/>
        <v>0</v>
      </c>
      <c r="AT21" s="91">
        <f t="shared" si="46"/>
        <v>0</v>
      </c>
      <c r="AU21" s="91">
        <f t="shared" si="47"/>
        <v>0</v>
      </c>
      <c r="AV21" s="91">
        <f t="shared" si="48"/>
        <v>0</v>
      </c>
      <c r="AW21" s="91">
        <f t="shared" si="49"/>
        <v>0</v>
      </c>
      <c r="AX21" s="91">
        <f t="shared" si="50"/>
        <v>0</v>
      </c>
      <c r="AY21" s="91">
        <f t="shared" si="51"/>
        <v>0</v>
      </c>
      <c r="AZ21" s="91">
        <f t="shared" si="52"/>
        <v>0</v>
      </c>
      <c r="BA21" s="91">
        <f t="shared" si="53"/>
        <v>0</v>
      </c>
      <c r="BB21" s="91">
        <f t="shared" si="54"/>
        <v>0</v>
      </c>
      <c r="BC21" s="55" t="str">
        <f t="shared" si="114"/>
        <v/>
      </c>
      <c r="BD21" s="102"/>
      <c r="BE21" s="102"/>
      <c r="BF21" s="102"/>
      <c r="BG21" s="102"/>
      <c r="BH21" s="102"/>
      <c r="BI21" s="102"/>
      <c r="BJ21" s="102"/>
      <c r="BK21" s="102"/>
      <c r="BL21" s="102"/>
      <c r="BM21" s="102"/>
      <c r="BN21" s="102"/>
      <c r="BO21" s="102"/>
      <c r="BP21" s="102"/>
      <c r="BQ21" s="102"/>
      <c r="BS21" s="65" t="str">
        <f t="shared" si="57"/>
        <v/>
      </c>
      <c r="BT21" s="91">
        <f t="shared" si="95"/>
        <v>0</v>
      </c>
      <c r="BU21" s="91">
        <f t="shared" si="96"/>
        <v>0</v>
      </c>
      <c r="BV21" s="91">
        <f t="shared" si="58"/>
        <v>0</v>
      </c>
      <c r="BW21" s="91">
        <f t="shared" si="59"/>
        <v>0</v>
      </c>
      <c r="BX21" s="91">
        <f t="shared" si="60"/>
        <v>0</v>
      </c>
      <c r="BY21" s="91">
        <f t="shared" si="61"/>
        <v>0</v>
      </c>
      <c r="BZ21" s="91">
        <f t="shared" si="62"/>
        <v>0</v>
      </c>
      <c r="CA21" s="91">
        <f t="shared" si="63"/>
        <v>0</v>
      </c>
      <c r="CB21" s="91">
        <f t="shared" si="64"/>
        <v>0</v>
      </c>
      <c r="CC21" s="91">
        <f t="shared" si="65"/>
        <v>0</v>
      </c>
      <c r="CD21" s="91">
        <f t="shared" si="66"/>
        <v>0</v>
      </c>
      <c r="CE21" s="91">
        <f t="shared" si="67"/>
        <v>0</v>
      </c>
      <c r="CF21" s="55" t="str">
        <f t="shared" si="115"/>
        <v/>
      </c>
      <c r="CG21" s="102"/>
      <c r="CH21" s="102"/>
      <c r="CI21" s="102"/>
      <c r="CJ21" s="102"/>
      <c r="CK21" s="102"/>
      <c r="CL21" s="102"/>
      <c r="CM21" s="102"/>
      <c r="CN21" s="102"/>
      <c r="CO21" s="102"/>
      <c r="CP21" s="102"/>
      <c r="CQ21" s="102"/>
      <c r="CR21" s="102"/>
      <c r="CS21" s="102"/>
      <c r="CT21" s="102"/>
      <c r="CU21" s="40"/>
      <c r="CV21" s="65" t="str">
        <f t="shared" si="70"/>
        <v/>
      </c>
      <c r="CW21" s="69" t="str">
        <f t="shared" si="107"/>
        <v/>
      </c>
      <c r="CX21" s="69" t="str">
        <f t="shared" si="108"/>
        <v/>
      </c>
      <c r="CY21" s="69" t="str">
        <f t="shared" si="109"/>
        <v/>
      </c>
    </row>
    <row r="22" spans="13:103" s="38" customFormat="1" ht="15" hidden="1" customHeight="1" x14ac:dyDescent="0.2">
      <c r="M22" s="135"/>
      <c r="N22" s="130"/>
      <c r="O22" s="130"/>
      <c r="P22" s="130"/>
      <c r="Q22" s="130"/>
      <c r="R22" s="130"/>
      <c r="S22" s="130"/>
      <c r="T22" s="130"/>
      <c r="U22" s="130"/>
      <c r="V22" s="130"/>
      <c r="W22" s="130"/>
      <c r="X22" s="130"/>
      <c r="Y22" s="130"/>
      <c r="Z22" s="55" t="str">
        <f t="shared" si="113"/>
        <v/>
      </c>
      <c r="AA22" s="102"/>
      <c r="AB22" s="102" t="str">
        <f t="shared" si="112"/>
        <v/>
      </c>
      <c r="AC22" s="102"/>
      <c r="AD22" s="102"/>
      <c r="AE22" s="102"/>
      <c r="AF22" s="102"/>
      <c r="AG22" s="102"/>
      <c r="AH22" s="102"/>
      <c r="AI22" s="102"/>
      <c r="AJ22" s="102"/>
      <c r="AK22" s="102"/>
      <c r="AL22" s="102"/>
      <c r="AM22" s="102"/>
      <c r="AN22" s="102"/>
      <c r="AP22" s="65" t="str">
        <f t="shared" si="42"/>
        <v/>
      </c>
      <c r="AQ22" s="91">
        <f t="shared" si="43"/>
        <v>0</v>
      </c>
      <c r="AR22" s="91">
        <f t="shared" si="44"/>
        <v>0</v>
      </c>
      <c r="AS22" s="91">
        <f t="shared" si="45"/>
        <v>0</v>
      </c>
      <c r="AT22" s="91">
        <f t="shared" si="46"/>
        <v>0</v>
      </c>
      <c r="AU22" s="91">
        <f t="shared" si="47"/>
        <v>0</v>
      </c>
      <c r="AV22" s="91">
        <f t="shared" si="48"/>
        <v>0</v>
      </c>
      <c r="AW22" s="91">
        <f t="shared" si="49"/>
        <v>0</v>
      </c>
      <c r="AX22" s="91">
        <f t="shared" si="50"/>
        <v>0</v>
      </c>
      <c r="AY22" s="91">
        <f t="shared" si="51"/>
        <v>0</v>
      </c>
      <c r="AZ22" s="91">
        <f t="shared" si="52"/>
        <v>0</v>
      </c>
      <c r="BA22" s="91">
        <f t="shared" si="53"/>
        <v>0</v>
      </c>
      <c r="BB22" s="91">
        <f t="shared" si="54"/>
        <v>0</v>
      </c>
      <c r="BC22" s="55" t="str">
        <f t="shared" si="114"/>
        <v/>
      </c>
      <c r="BD22" s="102"/>
      <c r="BE22" s="102"/>
      <c r="BF22" s="102"/>
      <c r="BG22" s="102"/>
      <c r="BH22" s="102"/>
      <c r="BI22" s="102"/>
      <c r="BJ22" s="102"/>
      <c r="BK22" s="102"/>
      <c r="BL22" s="102"/>
      <c r="BM22" s="102"/>
      <c r="BN22" s="102"/>
      <c r="BO22" s="102"/>
      <c r="BP22" s="102"/>
      <c r="BQ22" s="102"/>
      <c r="BS22" s="65" t="str">
        <f t="shared" si="57"/>
        <v/>
      </c>
      <c r="BT22" s="91">
        <f t="shared" si="95"/>
        <v>0</v>
      </c>
      <c r="BU22" s="91">
        <f t="shared" si="96"/>
        <v>0</v>
      </c>
      <c r="BV22" s="91">
        <f t="shared" si="58"/>
        <v>0</v>
      </c>
      <c r="BW22" s="91">
        <f t="shared" si="59"/>
        <v>0</v>
      </c>
      <c r="BX22" s="91">
        <f t="shared" si="60"/>
        <v>0</v>
      </c>
      <c r="BY22" s="91">
        <f t="shared" si="61"/>
        <v>0</v>
      </c>
      <c r="BZ22" s="91">
        <f t="shared" si="62"/>
        <v>0</v>
      </c>
      <c r="CA22" s="91">
        <f t="shared" si="63"/>
        <v>0</v>
      </c>
      <c r="CB22" s="91">
        <f t="shared" si="64"/>
        <v>0</v>
      </c>
      <c r="CC22" s="91">
        <f t="shared" si="65"/>
        <v>0</v>
      </c>
      <c r="CD22" s="91">
        <f t="shared" si="66"/>
        <v>0</v>
      </c>
      <c r="CE22" s="91">
        <f t="shared" si="67"/>
        <v>0</v>
      </c>
      <c r="CF22" s="55" t="str">
        <f t="shared" si="115"/>
        <v/>
      </c>
      <c r="CG22" s="102"/>
      <c r="CH22" s="102"/>
      <c r="CI22" s="102"/>
      <c r="CJ22" s="102"/>
      <c r="CK22" s="102"/>
      <c r="CL22" s="102"/>
      <c r="CM22" s="102"/>
      <c r="CN22" s="102"/>
      <c r="CO22" s="102"/>
      <c r="CP22" s="102"/>
      <c r="CQ22" s="102"/>
      <c r="CR22" s="102"/>
      <c r="CS22" s="102"/>
      <c r="CT22" s="102"/>
      <c r="CU22" s="40"/>
      <c r="CV22" s="65" t="str">
        <f t="shared" si="70"/>
        <v/>
      </c>
      <c r="CW22" s="69" t="str">
        <f t="shared" si="107"/>
        <v/>
      </c>
      <c r="CX22" s="69" t="str">
        <f t="shared" si="108"/>
        <v/>
      </c>
      <c r="CY22" s="69" t="str">
        <f t="shared" si="109"/>
        <v/>
      </c>
    </row>
    <row r="23" spans="13:103" s="38" customFormat="1" ht="15" hidden="1" customHeight="1" x14ac:dyDescent="0.2">
      <c r="M23" s="135"/>
      <c r="N23" s="130"/>
      <c r="O23" s="130"/>
      <c r="P23" s="130"/>
      <c r="Q23" s="130"/>
      <c r="R23" s="130"/>
      <c r="S23" s="130"/>
      <c r="T23" s="130"/>
      <c r="U23" s="130"/>
      <c r="V23" s="130"/>
      <c r="W23" s="130"/>
      <c r="X23" s="130"/>
      <c r="Y23" s="130"/>
      <c r="Z23" s="55" t="str">
        <f t="shared" si="113"/>
        <v/>
      </c>
      <c r="AA23" s="102"/>
      <c r="AB23" s="102" t="str">
        <f t="shared" si="112"/>
        <v/>
      </c>
      <c r="AC23" s="102"/>
      <c r="AD23" s="102"/>
      <c r="AE23" s="102"/>
      <c r="AF23" s="102"/>
      <c r="AG23" s="102"/>
      <c r="AH23" s="102"/>
      <c r="AI23" s="102"/>
      <c r="AJ23" s="102"/>
      <c r="AK23" s="102"/>
      <c r="AL23" s="102"/>
      <c r="AM23" s="102"/>
      <c r="AN23" s="102"/>
      <c r="AP23" s="65" t="str">
        <f t="shared" si="42"/>
        <v/>
      </c>
      <c r="AQ23" s="91">
        <f t="shared" si="43"/>
        <v>0</v>
      </c>
      <c r="AR23" s="91">
        <f t="shared" si="44"/>
        <v>0</v>
      </c>
      <c r="AS23" s="91">
        <f t="shared" si="45"/>
        <v>0</v>
      </c>
      <c r="AT23" s="91">
        <f t="shared" si="46"/>
        <v>0</v>
      </c>
      <c r="AU23" s="91">
        <f t="shared" si="47"/>
        <v>0</v>
      </c>
      <c r="AV23" s="91">
        <f t="shared" si="48"/>
        <v>0</v>
      </c>
      <c r="AW23" s="91">
        <f t="shared" si="49"/>
        <v>0</v>
      </c>
      <c r="AX23" s="91">
        <f t="shared" si="50"/>
        <v>0</v>
      </c>
      <c r="AY23" s="91">
        <f t="shared" si="51"/>
        <v>0</v>
      </c>
      <c r="AZ23" s="91">
        <f t="shared" si="52"/>
        <v>0</v>
      </c>
      <c r="BA23" s="91">
        <f t="shared" si="53"/>
        <v>0</v>
      </c>
      <c r="BB23" s="91">
        <f t="shared" si="54"/>
        <v>0</v>
      </c>
      <c r="BC23" s="55" t="str">
        <f t="shared" si="114"/>
        <v/>
      </c>
      <c r="BD23" s="102"/>
      <c r="BE23" s="102"/>
      <c r="BF23" s="102"/>
      <c r="BG23" s="102"/>
      <c r="BH23" s="102"/>
      <c r="BI23" s="102"/>
      <c r="BJ23" s="102"/>
      <c r="BK23" s="102"/>
      <c r="BL23" s="102"/>
      <c r="BM23" s="102"/>
      <c r="BN23" s="102"/>
      <c r="BO23" s="102"/>
      <c r="BP23" s="102"/>
      <c r="BQ23" s="102"/>
      <c r="BS23" s="65" t="str">
        <f t="shared" si="57"/>
        <v/>
      </c>
      <c r="BT23" s="91">
        <f t="shared" si="95"/>
        <v>0</v>
      </c>
      <c r="BU23" s="91">
        <f t="shared" si="96"/>
        <v>0</v>
      </c>
      <c r="BV23" s="91">
        <f t="shared" si="58"/>
        <v>0</v>
      </c>
      <c r="BW23" s="91">
        <f t="shared" si="59"/>
        <v>0</v>
      </c>
      <c r="BX23" s="91">
        <f t="shared" si="60"/>
        <v>0</v>
      </c>
      <c r="BY23" s="91">
        <f t="shared" si="61"/>
        <v>0</v>
      </c>
      <c r="BZ23" s="91">
        <f t="shared" si="62"/>
        <v>0</v>
      </c>
      <c r="CA23" s="91">
        <f t="shared" si="63"/>
        <v>0</v>
      </c>
      <c r="CB23" s="91">
        <f t="shared" si="64"/>
        <v>0</v>
      </c>
      <c r="CC23" s="91">
        <f t="shared" si="65"/>
        <v>0</v>
      </c>
      <c r="CD23" s="91">
        <f t="shared" si="66"/>
        <v>0</v>
      </c>
      <c r="CE23" s="91">
        <f t="shared" si="67"/>
        <v>0</v>
      </c>
      <c r="CF23" s="55" t="str">
        <f t="shared" si="115"/>
        <v/>
      </c>
      <c r="CG23" s="102"/>
      <c r="CH23" s="102"/>
      <c r="CI23" s="102"/>
      <c r="CJ23" s="102"/>
      <c r="CK23" s="102"/>
      <c r="CL23" s="102"/>
      <c r="CM23" s="102"/>
      <c r="CN23" s="102"/>
      <c r="CO23" s="102"/>
      <c r="CP23" s="102"/>
      <c r="CQ23" s="102"/>
      <c r="CR23" s="102"/>
      <c r="CS23" s="102"/>
      <c r="CT23" s="102"/>
      <c r="CU23" s="40"/>
      <c r="CV23" s="65" t="str">
        <f t="shared" si="70"/>
        <v/>
      </c>
      <c r="CW23" s="69" t="str">
        <f t="shared" si="107"/>
        <v/>
      </c>
      <c r="CX23" s="69" t="str">
        <f t="shared" si="108"/>
        <v/>
      </c>
      <c r="CY23" s="69" t="str">
        <f t="shared" si="109"/>
        <v/>
      </c>
    </row>
    <row r="24" spans="13:103" s="38" customFormat="1" ht="15" hidden="1" customHeight="1" x14ac:dyDescent="0.2">
      <c r="M24" s="135"/>
      <c r="N24" s="130"/>
      <c r="O24" s="130"/>
      <c r="P24" s="130"/>
      <c r="Q24" s="130"/>
      <c r="R24" s="130"/>
      <c r="S24" s="130"/>
      <c r="T24" s="130"/>
      <c r="U24" s="130"/>
      <c r="V24" s="130"/>
      <c r="W24" s="130"/>
      <c r="X24" s="130"/>
      <c r="Y24" s="130"/>
      <c r="Z24" s="55" t="str">
        <f t="shared" si="113"/>
        <v/>
      </c>
      <c r="AA24" s="102"/>
      <c r="AB24" s="102" t="str">
        <f t="shared" si="112"/>
        <v/>
      </c>
      <c r="AC24" s="102"/>
      <c r="AD24" s="102"/>
      <c r="AE24" s="102"/>
      <c r="AF24" s="102"/>
      <c r="AG24" s="102"/>
      <c r="AH24" s="102"/>
      <c r="AI24" s="102"/>
      <c r="AJ24" s="102"/>
      <c r="AK24" s="102"/>
      <c r="AL24" s="102"/>
      <c r="AM24" s="102"/>
      <c r="AN24" s="102"/>
      <c r="AP24" s="65" t="str">
        <f t="shared" si="42"/>
        <v/>
      </c>
      <c r="AQ24" s="91">
        <f t="shared" si="43"/>
        <v>0</v>
      </c>
      <c r="AR24" s="91">
        <f t="shared" si="44"/>
        <v>0</v>
      </c>
      <c r="AS24" s="91">
        <f t="shared" si="45"/>
        <v>0</v>
      </c>
      <c r="AT24" s="91">
        <f t="shared" si="46"/>
        <v>0</v>
      </c>
      <c r="AU24" s="91">
        <f t="shared" si="47"/>
        <v>0</v>
      </c>
      <c r="AV24" s="91">
        <f t="shared" si="48"/>
        <v>0</v>
      </c>
      <c r="AW24" s="91">
        <f t="shared" si="49"/>
        <v>0</v>
      </c>
      <c r="AX24" s="91">
        <f t="shared" si="50"/>
        <v>0</v>
      </c>
      <c r="AY24" s="91">
        <f t="shared" si="51"/>
        <v>0</v>
      </c>
      <c r="AZ24" s="91">
        <f t="shared" si="52"/>
        <v>0</v>
      </c>
      <c r="BA24" s="91">
        <f t="shared" si="53"/>
        <v>0</v>
      </c>
      <c r="BB24" s="91">
        <f t="shared" si="54"/>
        <v>0</v>
      </c>
      <c r="BC24" s="55" t="str">
        <f t="shared" si="114"/>
        <v/>
      </c>
      <c r="BD24" s="102"/>
      <c r="BE24" s="102"/>
      <c r="BF24" s="102"/>
      <c r="BG24" s="102"/>
      <c r="BH24" s="102"/>
      <c r="BI24" s="102"/>
      <c r="BJ24" s="102"/>
      <c r="BK24" s="102"/>
      <c r="BL24" s="102"/>
      <c r="BM24" s="102"/>
      <c r="BN24" s="102"/>
      <c r="BO24" s="102"/>
      <c r="BP24" s="102"/>
      <c r="BQ24" s="102"/>
      <c r="BS24" s="65" t="str">
        <f t="shared" si="57"/>
        <v/>
      </c>
      <c r="BT24" s="91">
        <f t="shared" si="95"/>
        <v>0</v>
      </c>
      <c r="BU24" s="91">
        <f t="shared" si="96"/>
        <v>0</v>
      </c>
      <c r="BV24" s="91">
        <f t="shared" si="58"/>
        <v>0</v>
      </c>
      <c r="BW24" s="91">
        <f t="shared" si="59"/>
        <v>0</v>
      </c>
      <c r="BX24" s="91">
        <f t="shared" si="60"/>
        <v>0</v>
      </c>
      <c r="BY24" s="91">
        <f t="shared" si="61"/>
        <v>0</v>
      </c>
      <c r="BZ24" s="91">
        <f t="shared" si="62"/>
        <v>0</v>
      </c>
      <c r="CA24" s="91">
        <f t="shared" si="63"/>
        <v>0</v>
      </c>
      <c r="CB24" s="91">
        <f t="shared" si="64"/>
        <v>0</v>
      </c>
      <c r="CC24" s="91">
        <f t="shared" si="65"/>
        <v>0</v>
      </c>
      <c r="CD24" s="91">
        <f t="shared" si="66"/>
        <v>0</v>
      </c>
      <c r="CE24" s="91">
        <f t="shared" si="67"/>
        <v>0</v>
      </c>
      <c r="CF24" s="55" t="str">
        <f t="shared" si="115"/>
        <v/>
      </c>
      <c r="CG24" s="102"/>
      <c r="CH24" s="102"/>
      <c r="CI24" s="102"/>
      <c r="CJ24" s="102"/>
      <c r="CK24" s="102"/>
      <c r="CL24" s="102"/>
      <c r="CM24" s="102"/>
      <c r="CN24" s="102"/>
      <c r="CO24" s="102"/>
      <c r="CP24" s="102"/>
      <c r="CQ24" s="102"/>
      <c r="CR24" s="102"/>
      <c r="CS24" s="102"/>
      <c r="CT24" s="102"/>
      <c r="CU24" s="40"/>
      <c r="CV24" s="65" t="str">
        <f t="shared" si="70"/>
        <v/>
      </c>
      <c r="CW24" s="69" t="str">
        <f t="shared" si="107"/>
        <v/>
      </c>
      <c r="CX24" s="69" t="str">
        <f t="shared" si="108"/>
        <v/>
      </c>
      <c r="CY24" s="69" t="str">
        <f t="shared" si="109"/>
        <v/>
      </c>
    </row>
    <row r="25" spans="13:103" s="38" customFormat="1" ht="15" hidden="1" customHeight="1" x14ac:dyDescent="0.2">
      <c r="M25" s="135"/>
      <c r="N25" s="130"/>
      <c r="O25" s="130"/>
      <c r="P25" s="130"/>
      <c r="Q25" s="130"/>
      <c r="R25" s="130"/>
      <c r="S25" s="130"/>
      <c r="T25" s="130"/>
      <c r="U25" s="130"/>
      <c r="V25" s="130"/>
      <c r="W25" s="130"/>
      <c r="X25" s="130"/>
      <c r="Y25" s="130"/>
      <c r="Z25" s="55" t="str">
        <f t="shared" si="113"/>
        <v/>
      </c>
      <c r="AA25" s="102"/>
      <c r="AB25" s="102" t="str">
        <f t="shared" si="112"/>
        <v/>
      </c>
      <c r="AC25" s="102"/>
      <c r="AD25" s="102"/>
      <c r="AE25" s="102"/>
      <c r="AF25" s="102"/>
      <c r="AG25" s="102"/>
      <c r="AH25" s="102"/>
      <c r="AI25" s="102"/>
      <c r="AJ25" s="102"/>
      <c r="AK25" s="102"/>
      <c r="AL25" s="102"/>
      <c r="AM25" s="102"/>
      <c r="AN25" s="102"/>
      <c r="AP25" s="65" t="str">
        <f t="shared" si="42"/>
        <v/>
      </c>
      <c r="AQ25" s="91">
        <f t="shared" si="43"/>
        <v>0</v>
      </c>
      <c r="AR25" s="91">
        <f t="shared" si="44"/>
        <v>0</v>
      </c>
      <c r="AS25" s="91">
        <f t="shared" si="45"/>
        <v>0</v>
      </c>
      <c r="AT25" s="91">
        <f t="shared" si="46"/>
        <v>0</v>
      </c>
      <c r="AU25" s="91">
        <f t="shared" si="47"/>
        <v>0</v>
      </c>
      <c r="AV25" s="91">
        <f t="shared" si="48"/>
        <v>0</v>
      </c>
      <c r="AW25" s="91">
        <f t="shared" si="49"/>
        <v>0</v>
      </c>
      <c r="AX25" s="91">
        <f t="shared" si="50"/>
        <v>0</v>
      </c>
      <c r="AY25" s="91">
        <f t="shared" si="51"/>
        <v>0</v>
      </c>
      <c r="AZ25" s="91">
        <f t="shared" si="52"/>
        <v>0</v>
      </c>
      <c r="BA25" s="91">
        <f t="shared" si="53"/>
        <v>0</v>
      </c>
      <c r="BB25" s="91">
        <f t="shared" si="54"/>
        <v>0</v>
      </c>
      <c r="BC25" s="55" t="str">
        <f t="shared" si="114"/>
        <v/>
      </c>
      <c r="BD25" s="102"/>
      <c r="BE25" s="102"/>
      <c r="BF25" s="102"/>
      <c r="BG25" s="102"/>
      <c r="BH25" s="102"/>
      <c r="BI25" s="102"/>
      <c r="BJ25" s="102"/>
      <c r="BK25" s="102"/>
      <c r="BL25" s="102"/>
      <c r="BM25" s="102"/>
      <c r="BN25" s="102"/>
      <c r="BO25" s="102"/>
      <c r="BP25" s="102"/>
      <c r="BQ25" s="102"/>
      <c r="BS25" s="65" t="str">
        <f t="shared" si="57"/>
        <v/>
      </c>
      <c r="BT25" s="91">
        <f t="shared" si="95"/>
        <v>0</v>
      </c>
      <c r="BU25" s="91">
        <f t="shared" si="96"/>
        <v>0</v>
      </c>
      <c r="BV25" s="91">
        <f t="shared" si="58"/>
        <v>0</v>
      </c>
      <c r="BW25" s="91">
        <f t="shared" si="59"/>
        <v>0</v>
      </c>
      <c r="BX25" s="91">
        <f t="shared" si="60"/>
        <v>0</v>
      </c>
      <c r="BY25" s="91">
        <f t="shared" si="61"/>
        <v>0</v>
      </c>
      <c r="BZ25" s="91">
        <f t="shared" si="62"/>
        <v>0</v>
      </c>
      <c r="CA25" s="91">
        <f t="shared" si="63"/>
        <v>0</v>
      </c>
      <c r="CB25" s="91">
        <f t="shared" si="64"/>
        <v>0</v>
      </c>
      <c r="CC25" s="91">
        <f t="shared" si="65"/>
        <v>0</v>
      </c>
      <c r="CD25" s="91">
        <f t="shared" si="66"/>
        <v>0</v>
      </c>
      <c r="CE25" s="91">
        <f t="shared" si="67"/>
        <v>0</v>
      </c>
      <c r="CF25" s="55" t="str">
        <f t="shared" si="115"/>
        <v/>
      </c>
      <c r="CG25" s="102"/>
      <c r="CH25" s="102"/>
      <c r="CI25" s="102"/>
      <c r="CJ25" s="102"/>
      <c r="CK25" s="102"/>
      <c r="CL25" s="102"/>
      <c r="CM25" s="102"/>
      <c r="CN25" s="102"/>
      <c r="CO25" s="102"/>
      <c r="CP25" s="102"/>
      <c r="CQ25" s="102"/>
      <c r="CR25" s="102"/>
      <c r="CS25" s="102"/>
      <c r="CT25" s="102"/>
      <c r="CU25" s="40"/>
      <c r="CV25" s="65" t="str">
        <f t="shared" si="70"/>
        <v/>
      </c>
      <c r="CW25" s="69" t="str">
        <f t="shared" si="107"/>
        <v/>
      </c>
      <c r="CX25" s="69" t="str">
        <f t="shared" si="108"/>
        <v/>
      </c>
      <c r="CY25" s="69" t="str">
        <f t="shared" si="109"/>
        <v/>
      </c>
    </row>
    <row r="26" spans="13:103" s="38" customFormat="1" ht="15" hidden="1" customHeight="1" x14ac:dyDescent="0.2">
      <c r="M26" s="135"/>
      <c r="N26" s="130"/>
      <c r="O26" s="130"/>
      <c r="P26" s="130"/>
      <c r="Q26" s="130"/>
      <c r="R26" s="130"/>
      <c r="S26" s="130"/>
      <c r="T26" s="130"/>
      <c r="U26" s="130"/>
      <c r="V26" s="130"/>
      <c r="W26" s="130"/>
      <c r="X26" s="130"/>
      <c r="Y26" s="130"/>
      <c r="Z26" s="55" t="str">
        <f t="shared" si="113"/>
        <v/>
      </c>
      <c r="AA26" s="102"/>
      <c r="AB26" s="102" t="str">
        <f t="shared" si="112"/>
        <v/>
      </c>
      <c r="AC26" s="102"/>
      <c r="AD26" s="102"/>
      <c r="AE26" s="102"/>
      <c r="AF26" s="102"/>
      <c r="AG26" s="102"/>
      <c r="AH26" s="102"/>
      <c r="AI26" s="102"/>
      <c r="AJ26" s="102"/>
      <c r="AK26" s="102"/>
      <c r="AL26" s="102"/>
      <c r="AM26" s="102"/>
      <c r="AN26" s="102"/>
      <c r="AP26" s="65" t="str">
        <f t="shared" si="42"/>
        <v/>
      </c>
      <c r="AQ26" s="91">
        <f t="shared" si="43"/>
        <v>0</v>
      </c>
      <c r="AR26" s="91">
        <f t="shared" si="44"/>
        <v>0</v>
      </c>
      <c r="AS26" s="91">
        <f t="shared" si="45"/>
        <v>0</v>
      </c>
      <c r="AT26" s="91">
        <f t="shared" si="46"/>
        <v>0</v>
      </c>
      <c r="AU26" s="91">
        <f t="shared" si="47"/>
        <v>0</v>
      </c>
      <c r="AV26" s="91">
        <f t="shared" si="48"/>
        <v>0</v>
      </c>
      <c r="AW26" s="91">
        <f t="shared" si="49"/>
        <v>0</v>
      </c>
      <c r="AX26" s="91">
        <f t="shared" si="50"/>
        <v>0</v>
      </c>
      <c r="AY26" s="91">
        <f t="shared" si="51"/>
        <v>0</v>
      </c>
      <c r="AZ26" s="91">
        <f t="shared" si="52"/>
        <v>0</v>
      </c>
      <c r="BA26" s="91">
        <f t="shared" si="53"/>
        <v>0</v>
      </c>
      <c r="BB26" s="91">
        <f t="shared" si="54"/>
        <v>0</v>
      </c>
      <c r="BC26" s="55" t="str">
        <f t="shared" si="114"/>
        <v/>
      </c>
      <c r="BD26" s="102"/>
      <c r="BE26" s="102"/>
      <c r="BF26" s="102"/>
      <c r="BG26" s="102"/>
      <c r="BH26" s="102"/>
      <c r="BI26" s="102"/>
      <c r="BJ26" s="102"/>
      <c r="BK26" s="102"/>
      <c r="BL26" s="102"/>
      <c r="BM26" s="102"/>
      <c r="BN26" s="102"/>
      <c r="BO26" s="102"/>
      <c r="BP26" s="102"/>
      <c r="BQ26" s="102"/>
      <c r="BS26" s="65" t="str">
        <f t="shared" si="57"/>
        <v/>
      </c>
      <c r="BT26" s="91">
        <f t="shared" si="95"/>
        <v>0</v>
      </c>
      <c r="BU26" s="91">
        <f t="shared" si="96"/>
        <v>0</v>
      </c>
      <c r="BV26" s="91">
        <f t="shared" si="58"/>
        <v>0</v>
      </c>
      <c r="BW26" s="91">
        <f t="shared" si="59"/>
        <v>0</v>
      </c>
      <c r="BX26" s="91">
        <f t="shared" si="60"/>
        <v>0</v>
      </c>
      <c r="BY26" s="91">
        <f t="shared" si="61"/>
        <v>0</v>
      </c>
      <c r="BZ26" s="91">
        <f t="shared" si="62"/>
        <v>0</v>
      </c>
      <c r="CA26" s="91">
        <f t="shared" si="63"/>
        <v>0</v>
      </c>
      <c r="CB26" s="91">
        <f t="shared" si="64"/>
        <v>0</v>
      </c>
      <c r="CC26" s="91">
        <f t="shared" si="65"/>
        <v>0</v>
      </c>
      <c r="CD26" s="91">
        <f t="shared" si="66"/>
        <v>0</v>
      </c>
      <c r="CE26" s="91">
        <f t="shared" si="67"/>
        <v>0</v>
      </c>
      <c r="CF26" s="55" t="str">
        <f t="shared" si="115"/>
        <v/>
      </c>
      <c r="CG26" s="102"/>
      <c r="CH26" s="102"/>
      <c r="CI26" s="102"/>
      <c r="CJ26" s="102"/>
      <c r="CK26" s="102"/>
      <c r="CL26" s="102"/>
      <c r="CM26" s="102"/>
      <c r="CN26" s="102"/>
      <c r="CO26" s="102"/>
      <c r="CP26" s="102"/>
      <c r="CQ26" s="102"/>
      <c r="CR26" s="102"/>
      <c r="CS26" s="102"/>
      <c r="CT26" s="102"/>
      <c r="CU26" s="40"/>
      <c r="CV26" s="65" t="str">
        <f t="shared" si="70"/>
        <v/>
      </c>
      <c r="CW26" s="69" t="str">
        <f t="shared" si="107"/>
        <v/>
      </c>
      <c r="CX26" s="69" t="str">
        <f t="shared" si="108"/>
        <v/>
      </c>
      <c r="CY26" s="69" t="str">
        <f t="shared" si="109"/>
        <v/>
      </c>
    </row>
    <row r="27" spans="13:103" s="38" customFormat="1" ht="15" hidden="1" customHeight="1" x14ac:dyDescent="0.2">
      <c r="M27" s="135"/>
      <c r="N27" s="130"/>
      <c r="O27" s="130"/>
      <c r="P27" s="130"/>
      <c r="Q27" s="130"/>
      <c r="R27" s="130"/>
      <c r="S27" s="130"/>
      <c r="T27" s="130"/>
      <c r="U27" s="130"/>
      <c r="V27" s="130"/>
      <c r="W27" s="130"/>
      <c r="X27" s="130"/>
      <c r="Y27" s="130"/>
      <c r="Z27" s="55" t="str">
        <f t="shared" si="113"/>
        <v/>
      </c>
      <c r="AA27" s="102"/>
      <c r="AB27" s="102" t="str">
        <f t="shared" si="112"/>
        <v/>
      </c>
      <c r="AC27" s="102"/>
      <c r="AD27" s="102"/>
      <c r="AE27" s="102"/>
      <c r="AF27" s="102"/>
      <c r="AG27" s="102"/>
      <c r="AH27" s="102"/>
      <c r="AI27" s="102"/>
      <c r="AJ27" s="102"/>
      <c r="AK27" s="102"/>
      <c r="AL27" s="102"/>
      <c r="AM27" s="102"/>
      <c r="AN27" s="102"/>
      <c r="AP27" s="65" t="str">
        <f t="shared" si="42"/>
        <v/>
      </c>
      <c r="AQ27" s="91">
        <f t="shared" si="43"/>
        <v>0</v>
      </c>
      <c r="AR27" s="91">
        <f t="shared" si="44"/>
        <v>0</v>
      </c>
      <c r="AS27" s="91">
        <f t="shared" si="45"/>
        <v>0</v>
      </c>
      <c r="AT27" s="91">
        <f t="shared" si="46"/>
        <v>0</v>
      </c>
      <c r="AU27" s="91">
        <f t="shared" si="47"/>
        <v>0</v>
      </c>
      <c r="AV27" s="91">
        <f t="shared" si="48"/>
        <v>0</v>
      </c>
      <c r="AW27" s="91">
        <f t="shared" si="49"/>
        <v>0</v>
      </c>
      <c r="AX27" s="91">
        <f t="shared" si="50"/>
        <v>0</v>
      </c>
      <c r="AY27" s="91">
        <f t="shared" si="51"/>
        <v>0</v>
      </c>
      <c r="AZ27" s="91">
        <f t="shared" si="52"/>
        <v>0</v>
      </c>
      <c r="BA27" s="91">
        <f t="shared" si="53"/>
        <v>0</v>
      </c>
      <c r="BB27" s="91">
        <f t="shared" si="54"/>
        <v>0</v>
      </c>
      <c r="BC27" s="55" t="str">
        <f t="shared" si="114"/>
        <v/>
      </c>
      <c r="BD27" s="102"/>
      <c r="BE27" s="102"/>
      <c r="BF27" s="102"/>
      <c r="BG27" s="102"/>
      <c r="BH27" s="102"/>
      <c r="BI27" s="102"/>
      <c r="BJ27" s="102"/>
      <c r="BK27" s="102"/>
      <c r="BL27" s="102"/>
      <c r="BM27" s="102"/>
      <c r="BN27" s="102"/>
      <c r="BO27" s="102"/>
      <c r="BP27" s="102"/>
      <c r="BQ27" s="102"/>
      <c r="BS27" s="65" t="str">
        <f t="shared" si="57"/>
        <v/>
      </c>
      <c r="BT27" s="91">
        <f t="shared" si="95"/>
        <v>0</v>
      </c>
      <c r="BU27" s="91">
        <f t="shared" si="96"/>
        <v>0</v>
      </c>
      <c r="BV27" s="91">
        <f t="shared" si="58"/>
        <v>0</v>
      </c>
      <c r="BW27" s="91">
        <f t="shared" si="59"/>
        <v>0</v>
      </c>
      <c r="BX27" s="91">
        <f t="shared" si="60"/>
        <v>0</v>
      </c>
      <c r="BY27" s="91">
        <f t="shared" si="61"/>
        <v>0</v>
      </c>
      <c r="BZ27" s="91">
        <f t="shared" si="62"/>
        <v>0</v>
      </c>
      <c r="CA27" s="91">
        <f t="shared" si="63"/>
        <v>0</v>
      </c>
      <c r="CB27" s="91">
        <f t="shared" si="64"/>
        <v>0</v>
      </c>
      <c r="CC27" s="91">
        <f t="shared" si="65"/>
        <v>0</v>
      </c>
      <c r="CD27" s="91">
        <f t="shared" si="66"/>
        <v>0</v>
      </c>
      <c r="CE27" s="91">
        <f t="shared" si="67"/>
        <v>0</v>
      </c>
      <c r="CF27" s="55" t="str">
        <f t="shared" si="115"/>
        <v/>
      </c>
      <c r="CG27" s="102"/>
      <c r="CH27" s="102"/>
      <c r="CI27" s="102"/>
      <c r="CJ27" s="102"/>
      <c r="CK27" s="102"/>
      <c r="CL27" s="102"/>
      <c r="CM27" s="102"/>
      <c r="CN27" s="102"/>
      <c r="CO27" s="102"/>
      <c r="CP27" s="102"/>
      <c r="CQ27" s="102"/>
      <c r="CR27" s="102"/>
      <c r="CS27" s="102"/>
      <c r="CT27" s="102"/>
      <c r="CU27" s="40"/>
      <c r="CV27" s="65" t="str">
        <f t="shared" si="70"/>
        <v/>
      </c>
      <c r="CW27" s="69" t="str">
        <f t="shared" si="107"/>
        <v/>
      </c>
      <c r="CX27" s="69" t="str">
        <f t="shared" si="108"/>
        <v/>
      </c>
      <c r="CY27" s="69" t="str">
        <f t="shared" si="109"/>
        <v/>
      </c>
    </row>
    <row r="28" spans="13:103" s="38" customFormat="1" ht="15" hidden="1" customHeight="1" x14ac:dyDescent="0.2">
      <c r="M28" s="135"/>
      <c r="N28" s="130"/>
      <c r="O28" s="130"/>
      <c r="P28" s="130"/>
      <c r="Q28" s="130"/>
      <c r="R28" s="130"/>
      <c r="S28" s="130"/>
      <c r="T28" s="130"/>
      <c r="U28" s="130"/>
      <c r="V28" s="130"/>
      <c r="W28" s="130"/>
      <c r="X28" s="130"/>
      <c r="Y28" s="130"/>
      <c r="Z28" s="55" t="str">
        <f t="shared" si="113"/>
        <v/>
      </c>
      <c r="AA28" s="102"/>
      <c r="AB28" s="102" t="str">
        <f t="shared" si="112"/>
        <v/>
      </c>
      <c r="AC28" s="102"/>
      <c r="AD28" s="102"/>
      <c r="AE28" s="102"/>
      <c r="AF28" s="102"/>
      <c r="AG28" s="102"/>
      <c r="AH28" s="102"/>
      <c r="AI28" s="102"/>
      <c r="AJ28" s="102"/>
      <c r="AK28" s="102"/>
      <c r="AL28" s="102"/>
      <c r="AM28" s="102"/>
      <c r="AN28" s="102"/>
      <c r="AP28" s="65" t="str">
        <f t="shared" si="42"/>
        <v/>
      </c>
      <c r="AQ28" s="91">
        <f t="shared" si="43"/>
        <v>0</v>
      </c>
      <c r="AR28" s="91">
        <f t="shared" si="44"/>
        <v>0</v>
      </c>
      <c r="AS28" s="91">
        <f t="shared" si="45"/>
        <v>0</v>
      </c>
      <c r="AT28" s="91">
        <f t="shared" si="46"/>
        <v>0</v>
      </c>
      <c r="AU28" s="91">
        <f t="shared" si="47"/>
        <v>0</v>
      </c>
      <c r="AV28" s="91">
        <f t="shared" si="48"/>
        <v>0</v>
      </c>
      <c r="AW28" s="91">
        <f t="shared" si="49"/>
        <v>0</v>
      </c>
      <c r="AX28" s="91">
        <f t="shared" si="50"/>
        <v>0</v>
      </c>
      <c r="AY28" s="91">
        <f t="shared" si="51"/>
        <v>0</v>
      </c>
      <c r="AZ28" s="91">
        <f t="shared" si="52"/>
        <v>0</v>
      </c>
      <c r="BA28" s="91">
        <f t="shared" si="53"/>
        <v>0</v>
      </c>
      <c r="BB28" s="91">
        <f t="shared" si="54"/>
        <v>0</v>
      </c>
      <c r="BC28" s="55" t="str">
        <f t="shared" si="114"/>
        <v/>
      </c>
      <c r="BD28" s="102"/>
      <c r="BE28" s="102"/>
      <c r="BF28" s="102"/>
      <c r="BG28" s="102"/>
      <c r="BH28" s="102"/>
      <c r="BI28" s="102"/>
      <c r="BJ28" s="102"/>
      <c r="BK28" s="102"/>
      <c r="BL28" s="102"/>
      <c r="BM28" s="102"/>
      <c r="BN28" s="102"/>
      <c r="BO28" s="102"/>
      <c r="BP28" s="102"/>
      <c r="BQ28" s="102"/>
      <c r="BS28" s="65" t="str">
        <f t="shared" si="57"/>
        <v/>
      </c>
      <c r="BT28" s="91">
        <f t="shared" si="95"/>
        <v>0</v>
      </c>
      <c r="BU28" s="91">
        <f t="shared" si="96"/>
        <v>0</v>
      </c>
      <c r="BV28" s="91">
        <f t="shared" si="58"/>
        <v>0</v>
      </c>
      <c r="BW28" s="91">
        <f t="shared" si="59"/>
        <v>0</v>
      </c>
      <c r="BX28" s="91">
        <f t="shared" si="60"/>
        <v>0</v>
      </c>
      <c r="BY28" s="91">
        <f t="shared" si="61"/>
        <v>0</v>
      </c>
      <c r="BZ28" s="91">
        <f t="shared" si="62"/>
        <v>0</v>
      </c>
      <c r="CA28" s="91">
        <f t="shared" si="63"/>
        <v>0</v>
      </c>
      <c r="CB28" s="91">
        <f t="shared" si="64"/>
        <v>0</v>
      </c>
      <c r="CC28" s="91">
        <f t="shared" si="65"/>
        <v>0</v>
      </c>
      <c r="CD28" s="91">
        <f t="shared" si="66"/>
        <v>0</v>
      </c>
      <c r="CE28" s="91">
        <f t="shared" si="67"/>
        <v>0</v>
      </c>
      <c r="CF28" s="55" t="str">
        <f t="shared" si="115"/>
        <v/>
      </c>
      <c r="CG28" s="102"/>
      <c r="CH28" s="102"/>
      <c r="CI28" s="102"/>
      <c r="CJ28" s="102"/>
      <c r="CK28" s="102"/>
      <c r="CL28" s="102"/>
      <c r="CM28" s="102"/>
      <c r="CN28" s="102"/>
      <c r="CO28" s="102"/>
      <c r="CP28" s="102"/>
      <c r="CQ28" s="102"/>
      <c r="CR28" s="102"/>
      <c r="CS28" s="102"/>
      <c r="CT28" s="102"/>
      <c r="CU28" s="40"/>
      <c r="CV28" s="65" t="str">
        <f t="shared" si="70"/>
        <v/>
      </c>
      <c r="CW28" s="69" t="str">
        <f t="shared" si="107"/>
        <v/>
      </c>
      <c r="CX28" s="69" t="str">
        <f t="shared" si="108"/>
        <v/>
      </c>
      <c r="CY28" s="69" t="str">
        <f t="shared" si="109"/>
        <v/>
      </c>
    </row>
    <row r="29" spans="13:103" s="38" customFormat="1" ht="15" hidden="1" customHeight="1" x14ac:dyDescent="0.2">
      <c r="M29" s="135"/>
      <c r="N29" s="130"/>
      <c r="O29" s="130"/>
      <c r="P29" s="130"/>
      <c r="Q29" s="130"/>
      <c r="R29" s="130"/>
      <c r="S29" s="130"/>
      <c r="T29" s="130"/>
      <c r="U29" s="130"/>
      <c r="V29" s="130"/>
      <c r="W29" s="130"/>
      <c r="X29" s="130"/>
      <c r="Y29" s="130"/>
      <c r="Z29" s="55" t="str">
        <f t="shared" si="113"/>
        <v/>
      </c>
      <c r="AA29" s="102"/>
      <c r="AB29" s="102" t="str">
        <f t="shared" si="112"/>
        <v/>
      </c>
      <c r="AC29" s="102"/>
      <c r="AD29" s="102"/>
      <c r="AE29" s="102"/>
      <c r="AF29" s="102"/>
      <c r="AG29" s="102"/>
      <c r="AH29" s="102"/>
      <c r="AI29" s="102"/>
      <c r="AJ29" s="102"/>
      <c r="AK29" s="102"/>
      <c r="AL29" s="102"/>
      <c r="AM29" s="102"/>
      <c r="AN29" s="102"/>
      <c r="AP29" s="65" t="str">
        <f t="shared" si="42"/>
        <v/>
      </c>
      <c r="AQ29" s="91">
        <f t="shared" si="43"/>
        <v>0</v>
      </c>
      <c r="AR29" s="91">
        <f t="shared" si="44"/>
        <v>0</v>
      </c>
      <c r="AS29" s="91">
        <f t="shared" si="45"/>
        <v>0</v>
      </c>
      <c r="AT29" s="91">
        <f t="shared" si="46"/>
        <v>0</v>
      </c>
      <c r="AU29" s="91">
        <f t="shared" si="47"/>
        <v>0</v>
      </c>
      <c r="AV29" s="91">
        <f t="shared" si="48"/>
        <v>0</v>
      </c>
      <c r="AW29" s="91">
        <f t="shared" si="49"/>
        <v>0</v>
      </c>
      <c r="AX29" s="91">
        <f t="shared" si="50"/>
        <v>0</v>
      </c>
      <c r="AY29" s="91">
        <f t="shared" si="51"/>
        <v>0</v>
      </c>
      <c r="AZ29" s="91">
        <f t="shared" si="52"/>
        <v>0</v>
      </c>
      <c r="BA29" s="91">
        <f t="shared" si="53"/>
        <v>0</v>
      </c>
      <c r="BB29" s="91">
        <f t="shared" si="54"/>
        <v>0</v>
      </c>
      <c r="BC29" s="55" t="str">
        <f t="shared" si="114"/>
        <v/>
      </c>
      <c r="BD29" s="102"/>
      <c r="BE29" s="102"/>
      <c r="BF29" s="102"/>
      <c r="BG29" s="102"/>
      <c r="BH29" s="102"/>
      <c r="BI29" s="102"/>
      <c r="BJ29" s="102"/>
      <c r="BK29" s="102"/>
      <c r="BL29" s="102"/>
      <c r="BM29" s="102"/>
      <c r="BN29" s="102"/>
      <c r="BO29" s="102"/>
      <c r="BP29" s="102"/>
      <c r="BQ29" s="102"/>
      <c r="BS29" s="65" t="str">
        <f t="shared" si="57"/>
        <v/>
      </c>
      <c r="BT29" s="91">
        <f t="shared" si="95"/>
        <v>0</v>
      </c>
      <c r="BU29" s="91">
        <f t="shared" si="96"/>
        <v>0</v>
      </c>
      <c r="BV29" s="91">
        <f t="shared" si="58"/>
        <v>0</v>
      </c>
      <c r="BW29" s="91">
        <f t="shared" si="59"/>
        <v>0</v>
      </c>
      <c r="BX29" s="91">
        <f t="shared" si="60"/>
        <v>0</v>
      </c>
      <c r="BY29" s="91">
        <f t="shared" si="61"/>
        <v>0</v>
      </c>
      <c r="BZ29" s="91">
        <f t="shared" si="62"/>
        <v>0</v>
      </c>
      <c r="CA29" s="91">
        <f t="shared" si="63"/>
        <v>0</v>
      </c>
      <c r="CB29" s="91">
        <f t="shared" si="64"/>
        <v>0</v>
      </c>
      <c r="CC29" s="91">
        <f t="shared" si="65"/>
        <v>0</v>
      </c>
      <c r="CD29" s="91">
        <f t="shared" si="66"/>
        <v>0</v>
      </c>
      <c r="CE29" s="91">
        <f t="shared" si="67"/>
        <v>0</v>
      </c>
      <c r="CF29" s="55" t="str">
        <f t="shared" si="115"/>
        <v/>
      </c>
      <c r="CG29" s="102"/>
      <c r="CH29" s="102"/>
      <c r="CI29" s="102"/>
      <c r="CJ29" s="102"/>
      <c r="CK29" s="102"/>
      <c r="CL29" s="102"/>
      <c r="CM29" s="102"/>
      <c r="CN29" s="102"/>
      <c r="CO29" s="102"/>
      <c r="CP29" s="102"/>
      <c r="CQ29" s="102"/>
      <c r="CR29" s="102"/>
      <c r="CS29" s="102"/>
      <c r="CT29" s="102"/>
      <c r="CU29" s="40"/>
      <c r="CV29" s="65" t="str">
        <f t="shared" si="70"/>
        <v/>
      </c>
      <c r="CW29" s="69" t="str">
        <f t="shared" si="107"/>
        <v/>
      </c>
      <c r="CX29" s="69" t="str">
        <f t="shared" si="108"/>
        <v/>
      </c>
      <c r="CY29" s="69" t="str">
        <f t="shared" si="109"/>
        <v/>
      </c>
    </row>
    <row r="30" spans="13:103" s="38" customFormat="1" ht="15" hidden="1" customHeight="1" x14ac:dyDescent="0.2">
      <c r="M30" s="135"/>
      <c r="N30" s="130"/>
      <c r="O30" s="130"/>
      <c r="P30" s="130"/>
      <c r="Q30" s="130"/>
      <c r="R30" s="130"/>
      <c r="S30" s="130"/>
      <c r="T30" s="130"/>
      <c r="U30" s="130"/>
      <c r="V30" s="130"/>
      <c r="W30" s="130"/>
      <c r="X30" s="130"/>
      <c r="Y30" s="130"/>
      <c r="Z30" s="55" t="str">
        <f t="shared" si="113"/>
        <v/>
      </c>
      <c r="AA30" s="102"/>
      <c r="AB30" s="102" t="str">
        <f t="shared" si="112"/>
        <v/>
      </c>
      <c r="AC30" s="102"/>
      <c r="AD30" s="102"/>
      <c r="AE30" s="102"/>
      <c r="AF30" s="102"/>
      <c r="AG30" s="102"/>
      <c r="AH30" s="102"/>
      <c r="AI30" s="102"/>
      <c r="AJ30" s="102"/>
      <c r="AK30" s="102"/>
      <c r="AL30" s="102"/>
      <c r="AM30" s="102"/>
      <c r="AN30" s="102"/>
      <c r="AP30" s="65" t="str">
        <f t="shared" si="42"/>
        <v/>
      </c>
      <c r="AQ30" s="91">
        <f t="shared" si="43"/>
        <v>0</v>
      </c>
      <c r="AR30" s="91">
        <f t="shared" si="44"/>
        <v>0</v>
      </c>
      <c r="AS30" s="91">
        <f t="shared" si="45"/>
        <v>0</v>
      </c>
      <c r="AT30" s="91">
        <f t="shared" si="46"/>
        <v>0</v>
      </c>
      <c r="AU30" s="91">
        <f t="shared" si="47"/>
        <v>0</v>
      </c>
      <c r="AV30" s="91">
        <f t="shared" si="48"/>
        <v>0</v>
      </c>
      <c r="AW30" s="91">
        <f t="shared" si="49"/>
        <v>0</v>
      </c>
      <c r="AX30" s="91">
        <f t="shared" si="50"/>
        <v>0</v>
      </c>
      <c r="AY30" s="91">
        <f t="shared" si="51"/>
        <v>0</v>
      </c>
      <c r="AZ30" s="91">
        <f t="shared" si="52"/>
        <v>0</v>
      </c>
      <c r="BA30" s="91">
        <f t="shared" si="53"/>
        <v>0</v>
      </c>
      <c r="BB30" s="91">
        <f t="shared" si="54"/>
        <v>0</v>
      </c>
      <c r="BC30" s="55" t="str">
        <f t="shared" si="114"/>
        <v/>
      </c>
      <c r="BD30" s="102"/>
      <c r="BE30" s="102"/>
      <c r="BF30" s="102"/>
      <c r="BG30" s="102"/>
      <c r="BH30" s="102"/>
      <c r="BI30" s="102"/>
      <c r="BJ30" s="102"/>
      <c r="BK30" s="102"/>
      <c r="BL30" s="102"/>
      <c r="BM30" s="102"/>
      <c r="BN30" s="102"/>
      <c r="BO30" s="102"/>
      <c r="BP30" s="102"/>
      <c r="BQ30" s="102"/>
      <c r="BS30" s="65" t="str">
        <f t="shared" si="57"/>
        <v/>
      </c>
      <c r="BT30" s="91">
        <f t="shared" si="95"/>
        <v>0</v>
      </c>
      <c r="BU30" s="91">
        <f t="shared" si="96"/>
        <v>0</v>
      </c>
      <c r="BV30" s="91">
        <f t="shared" si="58"/>
        <v>0</v>
      </c>
      <c r="BW30" s="91">
        <f t="shared" si="59"/>
        <v>0</v>
      </c>
      <c r="BX30" s="91">
        <f t="shared" si="60"/>
        <v>0</v>
      </c>
      <c r="BY30" s="91">
        <f t="shared" si="61"/>
        <v>0</v>
      </c>
      <c r="BZ30" s="91">
        <f t="shared" si="62"/>
        <v>0</v>
      </c>
      <c r="CA30" s="91">
        <f t="shared" si="63"/>
        <v>0</v>
      </c>
      <c r="CB30" s="91">
        <f t="shared" si="64"/>
        <v>0</v>
      </c>
      <c r="CC30" s="91">
        <f t="shared" si="65"/>
        <v>0</v>
      </c>
      <c r="CD30" s="91">
        <f t="shared" si="66"/>
        <v>0</v>
      </c>
      <c r="CE30" s="91">
        <f t="shared" si="67"/>
        <v>0</v>
      </c>
      <c r="CF30" s="55" t="str">
        <f t="shared" si="115"/>
        <v/>
      </c>
      <c r="CG30" s="102"/>
      <c r="CH30" s="102"/>
      <c r="CI30" s="102"/>
      <c r="CJ30" s="102"/>
      <c r="CK30" s="102"/>
      <c r="CL30" s="102"/>
      <c r="CM30" s="102"/>
      <c r="CN30" s="102"/>
      <c r="CO30" s="102"/>
      <c r="CP30" s="102"/>
      <c r="CQ30" s="102"/>
      <c r="CR30" s="102"/>
      <c r="CS30" s="102"/>
      <c r="CT30" s="102"/>
      <c r="CU30" s="40"/>
      <c r="CV30" s="65" t="str">
        <f t="shared" si="70"/>
        <v/>
      </c>
      <c r="CW30" s="69" t="str">
        <f t="shared" si="107"/>
        <v/>
      </c>
      <c r="CX30" s="69" t="str">
        <f t="shared" si="108"/>
        <v/>
      </c>
      <c r="CY30" s="69" t="str">
        <f t="shared" si="109"/>
        <v/>
      </c>
    </row>
    <row r="31" spans="13:103" s="38" customFormat="1" ht="15" hidden="1" customHeight="1" x14ac:dyDescent="0.2">
      <c r="M31" s="135"/>
      <c r="N31" s="130"/>
      <c r="O31" s="130"/>
      <c r="P31" s="130"/>
      <c r="Q31" s="130"/>
      <c r="R31" s="130"/>
      <c r="S31" s="130"/>
      <c r="T31" s="130"/>
      <c r="U31" s="130"/>
      <c r="V31" s="130"/>
      <c r="W31" s="130"/>
      <c r="X31" s="130"/>
      <c r="Y31" s="130"/>
      <c r="Z31" s="55" t="str">
        <f t="shared" si="113"/>
        <v/>
      </c>
      <c r="AA31" s="102"/>
      <c r="AB31" s="102" t="str">
        <f t="shared" si="112"/>
        <v/>
      </c>
      <c r="AC31" s="102"/>
      <c r="AD31" s="102"/>
      <c r="AE31" s="102"/>
      <c r="AF31" s="102"/>
      <c r="AG31" s="102"/>
      <c r="AH31" s="102"/>
      <c r="AI31" s="102"/>
      <c r="AJ31" s="102"/>
      <c r="AK31" s="102"/>
      <c r="AL31" s="102"/>
      <c r="AM31" s="102"/>
      <c r="AN31" s="102"/>
      <c r="AP31" s="65" t="str">
        <f t="shared" si="42"/>
        <v/>
      </c>
      <c r="AQ31" s="91">
        <f t="shared" si="43"/>
        <v>0</v>
      </c>
      <c r="AR31" s="91">
        <f t="shared" si="44"/>
        <v>0</v>
      </c>
      <c r="AS31" s="91">
        <f t="shared" si="45"/>
        <v>0</v>
      </c>
      <c r="AT31" s="91">
        <f t="shared" si="46"/>
        <v>0</v>
      </c>
      <c r="AU31" s="91">
        <f t="shared" si="47"/>
        <v>0</v>
      </c>
      <c r="AV31" s="91">
        <f t="shared" si="48"/>
        <v>0</v>
      </c>
      <c r="AW31" s="91">
        <f t="shared" si="49"/>
        <v>0</v>
      </c>
      <c r="AX31" s="91">
        <f t="shared" si="50"/>
        <v>0</v>
      </c>
      <c r="AY31" s="91">
        <f t="shared" si="51"/>
        <v>0</v>
      </c>
      <c r="AZ31" s="91">
        <f t="shared" si="52"/>
        <v>0</v>
      </c>
      <c r="BA31" s="91">
        <f t="shared" si="53"/>
        <v>0</v>
      </c>
      <c r="BB31" s="91">
        <f t="shared" si="54"/>
        <v>0</v>
      </c>
      <c r="BC31" s="55" t="str">
        <f t="shared" si="114"/>
        <v/>
      </c>
      <c r="BD31" s="102"/>
      <c r="BE31" s="102"/>
      <c r="BF31" s="102"/>
      <c r="BG31" s="102"/>
      <c r="BH31" s="102"/>
      <c r="BI31" s="102"/>
      <c r="BJ31" s="102"/>
      <c r="BK31" s="102"/>
      <c r="BL31" s="102"/>
      <c r="BM31" s="102"/>
      <c r="BN31" s="102"/>
      <c r="BO31" s="102"/>
      <c r="BP31" s="102"/>
      <c r="BQ31" s="102"/>
      <c r="BS31" s="65" t="str">
        <f t="shared" si="57"/>
        <v/>
      </c>
      <c r="BT31" s="91">
        <f t="shared" si="95"/>
        <v>0</v>
      </c>
      <c r="BU31" s="91">
        <f t="shared" si="96"/>
        <v>0</v>
      </c>
      <c r="BV31" s="91">
        <f t="shared" si="58"/>
        <v>0</v>
      </c>
      <c r="BW31" s="91">
        <f t="shared" si="59"/>
        <v>0</v>
      </c>
      <c r="BX31" s="91">
        <f t="shared" si="60"/>
        <v>0</v>
      </c>
      <c r="BY31" s="91">
        <f t="shared" si="61"/>
        <v>0</v>
      </c>
      <c r="BZ31" s="91">
        <f t="shared" si="62"/>
        <v>0</v>
      </c>
      <c r="CA31" s="91">
        <f t="shared" si="63"/>
        <v>0</v>
      </c>
      <c r="CB31" s="91">
        <f t="shared" si="64"/>
        <v>0</v>
      </c>
      <c r="CC31" s="91">
        <f t="shared" si="65"/>
        <v>0</v>
      </c>
      <c r="CD31" s="91">
        <f t="shared" si="66"/>
        <v>0</v>
      </c>
      <c r="CE31" s="91">
        <f t="shared" si="67"/>
        <v>0</v>
      </c>
      <c r="CF31" s="55" t="str">
        <f t="shared" si="115"/>
        <v/>
      </c>
      <c r="CG31" s="102"/>
      <c r="CH31" s="102"/>
      <c r="CI31" s="102"/>
      <c r="CJ31" s="102"/>
      <c r="CK31" s="102"/>
      <c r="CL31" s="102"/>
      <c r="CM31" s="102"/>
      <c r="CN31" s="102"/>
      <c r="CO31" s="102"/>
      <c r="CP31" s="102"/>
      <c r="CQ31" s="102"/>
      <c r="CR31" s="102"/>
      <c r="CS31" s="102"/>
      <c r="CT31" s="102"/>
      <c r="CU31" s="40"/>
      <c r="CV31" s="65" t="str">
        <f t="shared" si="70"/>
        <v/>
      </c>
      <c r="CW31" s="69" t="str">
        <f t="shared" si="107"/>
        <v/>
      </c>
      <c r="CX31" s="69" t="str">
        <f t="shared" si="108"/>
        <v/>
      </c>
      <c r="CY31" s="69" t="str">
        <f t="shared" si="109"/>
        <v/>
      </c>
    </row>
    <row r="32" spans="13:103" s="38" customFormat="1" ht="9.6" customHeight="1" x14ac:dyDescent="0.2">
      <c r="Z32" s="40"/>
      <c r="AA32" s="103"/>
      <c r="AB32" s="103"/>
      <c r="AC32" s="103"/>
      <c r="AD32" s="103"/>
      <c r="AE32" s="103"/>
      <c r="AF32" s="103"/>
      <c r="AG32" s="103"/>
      <c r="AH32" s="103"/>
      <c r="AI32" s="103"/>
      <c r="AJ32" s="103"/>
      <c r="AK32" s="103"/>
      <c r="AL32" s="103"/>
      <c r="AM32" s="103"/>
      <c r="AN32" s="103"/>
      <c r="BC32" s="40"/>
      <c r="BD32" s="103"/>
      <c r="BE32" s="103"/>
      <c r="BF32" s="103"/>
      <c r="BG32" s="103"/>
      <c r="BH32" s="103"/>
      <c r="BI32" s="103"/>
      <c r="BJ32" s="103"/>
      <c r="BK32" s="103"/>
      <c r="BL32" s="103"/>
      <c r="BM32" s="103"/>
      <c r="BN32" s="103"/>
      <c r="BO32" s="103"/>
      <c r="BP32" s="103"/>
      <c r="BQ32" s="103"/>
      <c r="CF32" s="40"/>
      <c r="CG32" s="103"/>
      <c r="CH32" s="103"/>
      <c r="CI32" s="103"/>
      <c r="CJ32" s="103"/>
      <c r="CK32" s="103"/>
      <c r="CL32" s="103"/>
      <c r="CM32" s="103"/>
      <c r="CN32" s="103"/>
      <c r="CO32" s="103"/>
      <c r="CP32" s="103"/>
      <c r="CQ32" s="103"/>
      <c r="CR32" s="103"/>
      <c r="CS32" s="103"/>
      <c r="CT32" s="103"/>
      <c r="CW32" s="40"/>
      <c r="CX32" s="40"/>
      <c r="CY32" s="40"/>
    </row>
    <row r="33" spans="13:103" s="38" customFormat="1" ht="15" customHeight="1" x14ac:dyDescent="0.2">
      <c r="M33" s="41" t="s">
        <v>35</v>
      </c>
      <c r="Z33" s="42" t="s">
        <v>36</v>
      </c>
      <c r="AA33" s="104"/>
      <c r="AB33" s="104"/>
      <c r="AC33" s="104"/>
      <c r="AD33" s="104"/>
      <c r="AE33" s="104"/>
      <c r="AF33" s="104"/>
      <c r="AG33" s="104"/>
      <c r="AH33" s="104"/>
      <c r="AI33" s="104"/>
      <c r="AJ33" s="104"/>
      <c r="AK33" s="104"/>
      <c r="AL33" s="104"/>
      <c r="AM33" s="104"/>
      <c r="AN33" s="104"/>
      <c r="AP33" s="41" t="s">
        <v>35</v>
      </c>
      <c r="BC33" s="42" t="s">
        <v>36</v>
      </c>
      <c r="BD33" s="104"/>
      <c r="BE33" s="104"/>
      <c r="BF33" s="104"/>
      <c r="BG33" s="104"/>
      <c r="BH33" s="104"/>
      <c r="BI33" s="104"/>
      <c r="BJ33" s="104"/>
      <c r="BK33" s="104"/>
      <c r="BL33" s="104"/>
      <c r="BM33" s="104"/>
      <c r="BN33" s="104"/>
      <c r="BO33" s="104"/>
      <c r="BP33" s="104"/>
      <c r="BQ33" s="104"/>
      <c r="BS33" s="41" t="s">
        <v>35</v>
      </c>
      <c r="CF33" s="42" t="s">
        <v>36</v>
      </c>
      <c r="CG33" s="104"/>
      <c r="CH33" s="104"/>
      <c r="CI33" s="104"/>
      <c r="CJ33" s="104"/>
      <c r="CK33" s="104"/>
      <c r="CL33" s="104"/>
      <c r="CM33" s="104"/>
      <c r="CN33" s="104"/>
      <c r="CO33" s="104"/>
      <c r="CP33" s="104"/>
      <c r="CQ33" s="104"/>
      <c r="CR33" s="104"/>
      <c r="CS33" s="104"/>
      <c r="CT33" s="104"/>
      <c r="CV33" s="41" t="s">
        <v>35</v>
      </c>
      <c r="CW33" s="40" t="s">
        <v>22</v>
      </c>
      <c r="CX33" s="40" t="s">
        <v>22</v>
      </c>
      <c r="CY33" s="40" t="s">
        <v>22</v>
      </c>
    </row>
    <row r="34" spans="13:103" s="38" customFormat="1" ht="15" customHeight="1" x14ac:dyDescent="0.2">
      <c r="M34" s="65" t="str">
        <f>IF(M7=0,"",M7)</f>
        <v>Product 1</v>
      </c>
      <c r="N34" s="131">
        <v>19.989999999999998</v>
      </c>
      <c r="O34" s="131">
        <v>19.989999999999998</v>
      </c>
      <c r="P34" s="131">
        <v>19.989999999999998</v>
      </c>
      <c r="Q34" s="131">
        <v>19.989999999999998</v>
      </c>
      <c r="R34" s="131">
        <v>19.989999999999998</v>
      </c>
      <c r="S34" s="131">
        <v>19.989999999999998</v>
      </c>
      <c r="T34" s="131">
        <v>19.989999999999998</v>
      </c>
      <c r="U34" s="131">
        <v>19.989999999999998</v>
      </c>
      <c r="V34" s="131">
        <v>19.989999999999998</v>
      </c>
      <c r="W34" s="131">
        <v>19.989999999999998</v>
      </c>
      <c r="X34" s="131">
        <v>19.989999999999998</v>
      </c>
      <c r="Y34" s="131">
        <v>19.989999999999998</v>
      </c>
      <c r="Z34" s="57">
        <f t="shared" ref="Z34:Z35" si="116">IFERROR(IF($M34="","",AVERAGE(N34:Y34)),"")</f>
        <v>19.990000000000002</v>
      </c>
      <c r="AA34" s="105"/>
      <c r="AB34" s="102"/>
      <c r="AC34" s="102"/>
      <c r="AD34" s="102"/>
      <c r="AE34" s="102"/>
      <c r="AF34" s="102"/>
      <c r="AG34" s="102"/>
      <c r="AH34" s="102"/>
      <c r="AI34" s="102"/>
      <c r="AJ34" s="102"/>
      <c r="AK34" s="102"/>
      <c r="AL34" s="102"/>
      <c r="AM34" s="102"/>
      <c r="AN34" s="102"/>
      <c r="AP34" s="65" t="str">
        <f t="shared" ref="AP34:AP58" si="117">IF(M7=0,"",M7)</f>
        <v>Product 1</v>
      </c>
      <c r="AQ34" s="131">
        <v>19.989999999999998</v>
      </c>
      <c r="AR34" s="131">
        <v>19.989999999999998</v>
      </c>
      <c r="AS34" s="131">
        <v>19.989999999999998</v>
      </c>
      <c r="AT34" s="131">
        <v>19.989999999999998</v>
      </c>
      <c r="AU34" s="131">
        <v>19.989999999999998</v>
      </c>
      <c r="AV34" s="131">
        <v>19.989999999999998</v>
      </c>
      <c r="AW34" s="131">
        <v>19.989999999999998</v>
      </c>
      <c r="AX34" s="131">
        <v>19.989999999999998</v>
      </c>
      <c r="AY34" s="131">
        <v>19.989999999999998</v>
      </c>
      <c r="AZ34" s="131">
        <v>19.989999999999998</v>
      </c>
      <c r="BA34" s="131">
        <v>19.989999999999998</v>
      </c>
      <c r="BB34" s="131">
        <v>19.989999999999998</v>
      </c>
      <c r="BC34" s="57">
        <f>IFERROR(IF($M34="","",AVERAGE(AQ34:BB34)),"")</f>
        <v>19.990000000000002</v>
      </c>
      <c r="BD34" s="105"/>
      <c r="BE34" s="102"/>
      <c r="BF34" s="102"/>
      <c r="BG34" s="102"/>
      <c r="BH34" s="102"/>
      <c r="BI34" s="102"/>
      <c r="BJ34" s="102"/>
      <c r="BK34" s="102"/>
      <c r="BL34" s="102"/>
      <c r="BM34" s="102"/>
      <c r="BN34" s="102"/>
      <c r="BO34" s="102"/>
      <c r="BP34" s="102"/>
      <c r="BQ34" s="102"/>
      <c r="BS34" s="65" t="str">
        <f t="shared" ref="BS34:BS58" si="118">IF(M7=0,"",M7)</f>
        <v>Product 1</v>
      </c>
      <c r="BT34" s="131">
        <v>19.989999999999998</v>
      </c>
      <c r="BU34" s="131">
        <v>19.989999999999998</v>
      </c>
      <c r="BV34" s="131">
        <v>19.989999999999998</v>
      </c>
      <c r="BW34" s="131">
        <v>19.989999999999998</v>
      </c>
      <c r="BX34" s="131">
        <v>19.989999999999998</v>
      </c>
      <c r="BY34" s="131">
        <v>19.989999999999998</v>
      </c>
      <c r="BZ34" s="131">
        <v>19.989999999999998</v>
      </c>
      <c r="CA34" s="131">
        <v>19.989999999999998</v>
      </c>
      <c r="CB34" s="131">
        <v>19.989999999999998</v>
      </c>
      <c r="CC34" s="131">
        <v>19.989999999999998</v>
      </c>
      <c r="CD34" s="131">
        <v>19.989999999999998</v>
      </c>
      <c r="CE34" s="131">
        <v>19.989999999999998</v>
      </c>
      <c r="CF34" s="57">
        <f>IFERROR(IF($M34="","",AVERAGE(BT34:CE34)),"")</f>
        <v>19.990000000000002</v>
      </c>
      <c r="CG34" s="105"/>
      <c r="CH34" s="102"/>
      <c r="CI34" s="102"/>
      <c r="CJ34" s="102"/>
      <c r="CK34" s="102"/>
      <c r="CL34" s="102"/>
      <c r="CM34" s="102"/>
      <c r="CN34" s="102"/>
      <c r="CO34" s="102"/>
      <c r="CP34" s="102"/>
      <c r="CQ34" s="102"/>
      <c r="CR34" s="102"/>
      <c r="CS34" s="102"/>
      <c r="CT34" s="102"/>
      <c r="CV34" s="65" t="str">
        <f t="shared" ref="CV34:CV58" si="119">IF(M7=0,"",M7)</f>
        <v>Product 1</v>
      </c>
      <c r="CW34" s="67">
        <f>IFERROR(IF($M34="","",BC34-Z34),"")</f>
        <v>0</v>
      </c>
      <c r="CX34" s="67">
        <f>IFERROR(IF($M34="","",CF34-Z34),"")</f>
        <v>0</v>
      </c>
      <c r="CY34" s="67">
        <f>IFERROR(IF($M34="","",CF34-BC34),"")</f>
        <v>0</v>
      </c>
    </row>
    <row r="35" spans="13:103" s="38" customFormat="1" ht="15" customHeight="1" x14ac:dyDescent="0.2">
      <c r="M35" s="65" t="str">
        <f t="shared" ref="M35:M58" si="120">IF(M8=0,"",M8)</f>
        <v>Product 2</v>
      </c>
      <c r="N35" s="131">
        <v>14.99</v>
      </c>
      <c r="O35" s="131">
        <v>14.99</v>
      </c>
      <c r="P35" s="131">
        <v>14.99</v>
      </c>
      <c r="Q35" s="131">
        <v>14.99</v>
      </c>
      <c r="R35" s="131">
        <v>14.99</v>
      </c>
      <c r="S35" s="131">
        <v>14.99</v>
      </c>
      <c r="T35" s="131">
        <v>14.99</v>
      </c>
      <c r="U35" s="131">
        <v>14.99</v>
      </c>
      <c r="V35" s="131">
        <v>14.99</v>
      </c>
      <c r="W35" s="131">
        <v>14.99</v>
      </c>
      <c r="X35" s="131">
        <v>14.99</v>
      </c>
      <c r="Y35" s="131">
        <v>14.99</v>
      </c>
      <c r="Z35" s="57">
        <f t="shared" si="116"/>
        <v>14.990000000000002</v>
      </c>
      <c r="AA35" s="105"/>
      <c r="AB35" s="102"/>
      <c r="AC35" s="102"/>
      <c r="AD35" s="102"/>
      <c r="AE35" s="102"/>
      <c r="AF35" s="102"/>
      <c r="AG35" s="102"/>
      <c r="AH35" s="102"/>
      <c r="AI35" s="102"/>
      <c r="AJ35" s="102"/>
      <c r="AK35" s="102"/>
      <c r="AL35" s="102"/>
      <c r="AM35" s="102"/>
      <c r="AN35" s="102"/>
      <c r="AP35" s="65" t="str">
        <f t="shared" si="117"/>
        <v>Product 2</v>
      </c>
      <c r="AQ35" s="131">
        <v>14.99</v>
      </c>
      <c r="AR35" s="131">
        <v>14.99</v>
      </c>
      <c r="AS35" s="131">
        <v>14.99</v>
      </c>
      <c r="AT35" s="131">
        <v>14.99</v>
      </c>
      <c r="AU35" s="131">
        <v>14.99</v>
      </c>
      <c r="AV35" s="131">
        <v>14.99</v>
      </c>
      <c r="AW35" s="131">
        <v>14.99</v>
      </c>
      <c r="AX35" s="131">
        <v>14.99</v>
      </c>
      <c r="AY35" s="131">
        <v>14.99</v>
      </c>
      <c r="AZ35" s="131">
        <v>14.99</v>
      </c>
      <c r="BA35" s="131">
        <v>14.99</v>
      </c>
      <c r="BB35" s="131">
        <v>14.99</v>
      </c>
      <c r="BC35" s="57">
        <f t="shared" ref="BC35:BC58" si="121">IFERROR(IF($M35="","",AVERAGE(AQ35:BB35)),"")</f>
        <v>14.990000000000002</v>
      </c>
      <c r="BD35" s="105"/>
      <c r="BE35" s="102"/>
      <c r="BF35" s="102"/>
      <c r="BG35" s="102"/>
      <c r="BH35" s="102"/>
      <c r="BI35" s="102"/>
      <c r="BJ35" s="102"/>
      <c r="BK35" s="102"/>
      <c r="BL35" s="102"/>
      <c r="BM35" s="102"/>
      <c r="BN35" s="102"/>
      <c r="BO35" s="102"/>
      <c r="BP35" s="102"/>
      <c r="BQ35" s="102"/>
      <c r="BS35" s="65" t="str">
        <f t="shared" si="118"/>
        <v>Product 2</v>
      </c>
      <c r="BT35" s="131">
        <v>14.99</v>
      </c>
      <c r="BU35" s="131">
        <v>14.99</v>
      </c>
      <c r="BV35" s="131">
        <v>14.99</v>
      </c>
      <c r="BW35" s="131">
        <v>14.99</v>
      </c>
      <c r="BX35" s="131">
        <v>14.99</v>
      </c>
      <c r="BY35" s="131">
        <v>14.99</v>
      </c>
      <c r="BZ35" s="131">
        <v>14.99</v>
      </c>
      <c r="CA35" s="131">
        <v>14.99</v>
      </c>
      <c r="CB35" s="131">
        <v>14.99</v>
      </c>
      <c r="CC35" s="131">
        <v>14.99</v>
      </c>
      <c r="CD35" s="131">
        <v>14.99</v>
      </c>
      <c r="CE35" s="131">
        <v>14.99</v>
      </c>
      <c r="CF35" s="57">
        <f t="shared" ref="CF35:CF58" si="122">IFERROR(IF($M35="","",AVERAGE(BT35:CE35)),"")</f>
        <v>14.990000000000002</v>
      </c>
      <c r="CG35" s="105"/>
      <c r="CH35" s="102"/>
      <c r="CI35" s="102"/>
      <c r="CJ35" s="102"/>
      <c r="CK35" s="102"/>
      <c r="CL35" s="102"/>
      <c r="CM35" s="102"/>
      <c r="CN35" s="102"/>
      <c r="CO35" s="102"/>
      <c r="CP35" s="102"/>
      <c r="CQ35" s="102"/>
      <c r="CR35" s="102"/>
      <c r="CS35" s="102"/>
      <c r="CT35" s="102"/>
      <c r="CV35" s="65" t="str">
        <f t="shared" si="119"/>
        <v>Product 2</v>
      </c>
      <c r="CW35" s="67">
        <f t="shared" ref="CW35:CW58" si="123">IFERROR(IF($M35="","",BC35-Z35),"")</f>
        <v>0</v>
      </c>
      <c r="CX35" s="67">
        <f t="shared" ref="CX35:CX58" si="124">IFERROR(IF($M35="","",CF35-Z35),"")</f>
        <v>0</v>
      </c>
      <c r="CY35" s="67">
        <f t="shared" ref="CY35:CY58" si="125">IFERROR(IF($M35="","",CF35-BC35),"")</f>
        <v>0</v>
      </c>
    </row>
    <row r="36" spans="13:103" s="38" customFormat="1" ht="15" customHeight="1" x14ac:dyDescent="0.2">
      <c r="M36" s="65" t="str">
        <f t="shared" si="120"/>
        <v>Product 3</v>
      </c>
      <c r="N36" s="131">
        <v>49.99</v>
      </c>
      <c r="O36" s="131">
        <v>49.99</v>
      </c>
      <c r="P36" s="131">
        <v>49.99</v>
      </c>
      <c r="Q36" s="131">
        <v>49.99</v>
      </c>
      <c r="R36" s="131">
        <v>49.99</v>
      </c>
      <c r="S36" s="131">
        <v>49.99</v>
      </c>
      <c r="T36" s="131">
        <v>49.99</v>
      </c>
      <c r="U36" s="131">
        <v>49.99</v>
      </c>
      <c r="V36" s="131">
        <v>49.99</v>
      </c>
      <c r="W36" s="131">
        <v>49.99</v>
      </c>
      <c r="X36" s="131">
        <v>49.99</v>
      </c>
      <c r="Y36" s="131">
        <v>49.99</v>
      </c>
      <c r="Z36" s="57">
        <f>IFERROR(IF($M36="","",AVERAGE(N36:Y36)),"")</f>
        <v>49.99</v>
      </c>
      <c r="AA36" s="105"/>
      <c r="AB36" s="102"/>
      <c r="AC36" s="102"/>
      <c r="AD36" s="102"/>
      <c r="AE36" s="102"/>
      <c r="AF36" s="102"/>
      <c r="AG36" s="102"/>
      <c r="AH36" s="102"/>
      <c r="AI36" s="102"/>
      <c r="AJ36" s="102"/>
      <c r="AK36" s="102"/>
      <c r="AL36" s="102"/>
      <c r="AM36" s="102"/>
      <c r="AN36" s="102"/>
      <c r="AP36" s="65" t="str">
        <f t="shared" si="117"/>
        <v>Product 3</v>
      </c>
      <c r="AQ36" s="131">
        <v>54.99</v>
      </c>
      <c r="AR36" s="131">
        <v>54.99</v>
      </c>
      <c r="AS36" s="131">
        <v>54.99</v>
      </c>
      <c r="AT36" s="131">
        <v>54.99</v>
      </c>
      <c r="AU36" s="131">
        <v>54.99</v>
      </c>
      <c r="AV36" s="131">
        <v>54.99</v>
      </c>
      <c r="AW36" s="131">
        <v>54.99</v>
      </c>
      <c r="AX36" s="131">
        <v>54.99</v>
      </c>
      <c r="AY36" s="131">
        <v>54.99</v>
      </c>
      <c r="AZ36" s="131">
        <v>54.99</v>
      </c>
      <c r="BA36" s="131">
        <v>54.99</v>
      </c>
      <c r="BB36" s="131">
        <v>54.99</v>
      </c>
      <c r="BC36" s="57">
        <f t="shared" si="121"/>
        <v>54.99</v>
      </c>
      <c r="BD36" s="105"/>
      <c r="BE36" s="102"/>
      <c r="BF36" s="102"/>
      <c r="BG36" s="102"/>
      <c r="BH36" s="102"/>
      <c r="BI36" s="102"/>
      <c r="BJ36" s="102"/>
      <c r="BK36" s="102"/>
      <c r="BL36" s="102"/>
      <c r="BM36" s="102"/>
      <c r="BN36" s="102"/>
      <c r="BO36" s="102"/>
      <c r="BP36" s="102"/>
      <c r="BQ36" s="102"/>
      <c r="BS36" s="65" t="str">
        <f t="shared" si="118"/>
        <v>Product 3</v>
      </c>
      <c r="BT36" s="131">
        <v>59.99</v>
      </c>
      <c r="BU36" s="131">
        <v>59.99</v>
      </c>
      <c r="BV36" s="131">
        <v>59.99</v>
      </c>
      <c r="BW36" s="131">
        <v>59.99</v>
      </c>
      <c r="BX36" s="131">
        <v>59.99</v>
      </c>
      <c r="BY36" s="131">
        <v>59.99</v>
      </c>
      <c r="BZ36" s="131">
        <v>59.99</v>
      </c>
      <c r="CA36" s="131">
        <v>59.99</v>
      </c>
      <c r="CB36" s="131">
        <v>59.99</v>
      </c>
      <c r="CC36" s="131">
        <v>59.99</v>
      </c>
      <c r="CD36" s="131">
        <v>59.99</v>
      </c>
      <c r="CE36" s="131">
        <v>59.99</v>
      </c>
      <c r="CF36" s="57">
        <f t="shared" si="122"/>
        <v>59.99</v>
      </c>
      <c r="CG36" s="105"/>
      <c r="CH36" s="102"/>
      <c r="CI36" s="102"/>
      <c r="CJ36" s="102"/>
      <c r="CK36" s="102"/>
      <c r="CL36" s="102"/>
      <c r="CM36" s="102"/>
      <c r="CN36" s="102"/>
      <c r="CO36" s="102"/>
      <c r="CP36" s="102"/>
      <c r="CQ36" s="102"/>
      <c r="CR36" s="102"/>
      <c r="CS36" s="102"/>
      <c r="CT36" s="102"/>
      <c r="CV36" s="65" t="str">
        <f t="shared" si="119"/>
        <v>Product 3</v>
      </c>
      <c r="CW36" s="67">
        <f t="shared" si="123"/>
        <v>5</v>
      </c>
      <c r="CX36" s="67">
        <f t="shared" si="124"/>
        <v>10</v>
      </c>
      <c r="CY36" s="67">
        <f t="shared" si="125"/>
        <v>5</v>
      </c>
    </row>
    <row r="37" spans="13:103" s="38" customFormat="1" ht="15" customHeight="1" x14ac:dyDescent="0.2">
      <c r="M37" s="65" t="str">
        <f t="shared" si="120"/>
        <v/>
      </c>
      <c r="N37" s="131"/>
      <c r="O37" s="131"/>
      <c r="P37" s="131"/>
      <c r="Q37" s="131"/>
      <c r="R37" s="131"/>
      <c r="S37" s="131"/>
      <c r="T37" s="131"/>
      <c r="U37" s="131"/>
      <c r="V37" s="131"/>
      <c r="W37" s="131"/>
      <c r="X37" s="131"/>
      <c r="Y37" s="131"/>
      <c r="Z37" s="57" t="str">
        <f t="shared" ref="Z37:Z58" si="126">IFERROR(IF($M37="","",AVERAGE(N37:Y37)),"")</f>
        <v/>
      </c>
      <c r="AA37" s="105"/>
      <c r="AB37" s="102"/>
      <c r="AC37" s="102"/>
      <c r="AD37" s="102"/>
      <c r="AE37" s="102"/>
      <c r="AF37" s="102"/>
      <c r="AG37" s="102"/>
      <c r="AH37" s="102"/>
      <c r="AI37" s="102"/>
      <c r="AJ37" s="102"/>
      <c r="AK37" s="102"/>
      <c r="AL37" s="102"/>
      <c r="AM37" s="102"/>
      <c r="AN37" s="102"/>
      <c r="AP37" s="65" t="str">
        <f t="shared" si="117"/>
        <v/>
      </c>
      <c r="AQ37" s="131"/>
      <c r="AR37" s="131"/>
      <c r="AS37" s="131"/>
      <c r="AT37" s="131"/>
      <c r="AU37" s="131"/>
      <c r="AV37" s="131"/>
      <c r="AW37" s="131"/>
      <c r="AX37" s="131"/>
      <c r="AY37" s="131"/>
      <c r="AZ37" s="131"/>
      <c r="BA37" s="131"/>
      <c r="BB37" s="131"/>
      <c r="BC37" s="57" t="str">
        <f t="shared" si="121"/>
        <v/>
      </c>
      <c r="BD37" s="105"/>
      <c r="BE37" s="102"/>
      <c r="BF37" s="102"/>
      <c r="BG37" s="102"/>
      <c r="BH37" s="102"/>
      <c r="BI37" s="102"/>
      <c r="BJ37" s="102"/>
      <c r="BK37" s="102"/>
      <c r="BL37" s="102"/>
      <c r="BM37" s="102"/>
      <c r="BN37" s="102"/>
      <c r="BO37" s="102"/>
      <c r="BP37" s="102"/>
      <c r="BQ37" s="102"/>
      <c r="BS37" s="65" t="str">
        <f t="shared" si="118"/>
        <v/>
      </c>
      <c r="BT37" s="131"/>
      <c r="BU37" s="131"/>
      <c r="BV37" s="131"/>
      <c r="BW37" s="131"/>
      <c r="BX37" s="131"/>
      <c r="BY37" s="131"/>
      <c r="BZ37" s="131"/>
      <c r="CA37" s="131"/>
      <c r="CB37" s="131"/>
      <c r="CC37" s="131"/>
      <c r="CD37" s="131"/>
      <c r="CE37" s="131"/>
      <c r="CF37" s="57" t="str">
        <f t="shared" si="122"/>
        <v/>
      </c>
      <c r="CG37" s="105"/>
      <c r="CH37" s="102"/>
      <c r="CI37" s="102"/>
      <c r="CJ37" s="102"/>
      <c r="CK37" s="102"/>
      <c r="CL37" s="102"/>
      <c r="CM37" s="102"/>
      <c r="CN37" s="102"/>
      <c r="CO37" s="102"/>
      <c r="CP37" s="102"/>
      <c r="CQ37" s="102"/>
      <c r="CR37" s="102"/>
      <c r="CS37" s="102"/>
      <c r="CT37" s="102"/>
      <c r="CV37" s="65" t="str">
        <f t="shared" si="119"/>
        <v/>
      </c>
      <c r="CW37" s="67" t="str">
        <f t="shared" si="123"/>
        <v/>
      </c>
      <c r="CX37" s="67" t="str">
        <f t="shared" si="124"/>
        <v/>
      </c>
      <c r="CY37" s="67" t="str">
        <f t="shared" si="125"/>
        <v/>
      </c>
    </row>
    <row r="38" spans="13:103" s="38" customFormat="1" ht="15" customHeight="1" x14ac:dyDescent="0.2">
      <c r="M38" s="65" t="str">
        <f t="shared" si="120"/>
        <v/>
      </c>
      <c r="N38" s="131"/>
      <c r="O38" s="131"/>
      <c r="P38" s="131"/>
      <c r="Q38" s="131"/>
      <c r="R38" s="131"/>
      <c r="S38" s="131"/>
      <c r="T38" s="131"/>
      <c r="U38" s="131"/>
      <c r="V38" s="131"/>
      <c r="W38" s="131"/>
      <c r="X38" s="131"/>
      <c r="Y38" s="131"/>
      <c r="Z38" s="57" t="str">
        <f t="shared" si="126"/>
        <v/>
      </c>
      <c r="AA38" s="105"/>
      <c r="AB38" s="102"/>
      <c r="AC38" s="102"/>
      <c r="AD38" s="102"/>
      <c r="AE38" s="102"/>
      <c r="AF38" s="102"/>
      <c r="AG38" s="102"/>
      <c r="AH38" s="102"/>
      <c r="AI38" s="102"/>
      <c r="AJ38" s="102"/>
      <c r="AK38" s="102"/>
      <c r="AL38" s="102"/>
      <c r="AM38" s="102"/>
      <c r="AN38" s="102"/>
      <c r="AP38" s="65" t="str">
        <f t="shared" si="117"/>
        <v/>
      </c>
      <c r="AQ38" s="131"/>
      <c r="AR38" s="131"/>
      <c r="AS38" s="131"/>
      <c r="AT38" s="131"/>
      <c r="AU38" s="131"/>
      <c r="AV38" s="131"/>
      <c r="AW38" s="131"/>
      <c r="AX38" s="131"/>
      <c r="AY38" s="131"/>
      <c r="AZ38" s="131"/>
      <c r="BA38" s="131"/>
      <c r="BB38" s="131"/>
      <c r="BC38" s="57" t="str">
        <f t="shared" si="121"/>
        <v/>
      </c>
      <c r="BD38" s="105"/>
      <c r="BE38" s="102"/>
      <c r="BF38" s="102"/>
      <c r="BG38" s="102"/>
      <c r="BH38" s="102"/>
      <c r="BI38" s="102"/>
      <c r="BJ38" s="102"/>
      <c r="BK38" s="102"/>
      <c r="BL38" s="102"/>
      <c r="BM38" s="102"/>
      <c r="BN38" s="102"/>
      <c r="BO38" s="102"/>
      <c r="BP38" s="102"/>
      <c r="BQ38" s="102"/>
      <c r="BS38" s="65" t="str">
        <f t="shared" si="118"/>
        <v/>
      </c>
      <c r="BT38" s="131"/>
      <c r="BU38" s="131"/>
      <c r="BV38" s="131"/>
      <c r="BW38" s="131"/>
      <c r="BX38" s="131"/>
      <c r="BY38" s="131"/>
      <c r="BZ38" s="131"/>
      <c r="CA38" s="131"/>
      <c r="CB38" s="131"/>
      <c r="CC38" s="131"/>
      <c r="CD38" s="131"/>
      <c r="CE38" s="131"/>
      <c r="CF38" s="57" t="str">
        <f t="shared" si="122"/>
        <v/>
      </c>
      <c r="CG38" s="105"/>
      <c r="CH38" s="102"/>
      <c r="CI38" s="102"/>
      <c r="CJ38" s="102"/>
      <c r="CK38" s="102"/>
      <c r="CL38" s="102"/>
      <c r="CM38" s="102"/>
      <c r="CN38" s="102"/>
      <c r="CO38" s="102"/>
      <c r="CP38" s="102"/>
      <c r="CQ38" s="102"/>
      <c r="CR38" s="102"/>
      <c r="CS38" s="102"/>
      <c r="CT38" s="102"/>
      <c r="CV38" s="65" t="str">
        <f t="shared" si="119"/>
        <v/>
      </c>
      <c r="CW38" s="67" t="str">
        <f t="shared" si="123"/>
        <v/>
      </c>
      <c r="CX38" s="67" t="str">
        <f t="shared" si="124"/>
        <v/>
      </c>
      <c r="CY38" s="67" t="str">
        <f t="shared" si="125"/>
        <v/>
      </c>
    </row>
    <row r="39" spans="13:103" s="38" customFormat="1" ht="15" customHeight="1" x14ac:dyDescent="0.2">
      <c r="M39" s="65" t="str">
        <f t="shared" si="120"/>
        <v/>
      </c>
      <c r="N39" s="131"/>
      <c r="O39" s="131"/>
      <c r="P39" s="131"/>
      <c r="Q39" s="131"/>
      <c r="R39" s="131"/>
      <c r="S39" s="131"/>
      <c r="T39" s="131"/>
      <c r="U39" s="131"/>
      <c r="V39" s="131"/>
      <c r="W39" s="131"/>
      <c r="X39" s="131"/>
      <c r="Y39" s="131"/>
      <c r="Z39" s="57" t="str">
        <f t="shared" si="126"/>
        <v/>
      </c>
      <c r="AA39" s="105"/>
      <c r="AB39" s="105"/>
      <c r="AC39" s="105"/>
      <c r="AD39" s="105"/>
      <c r="AE39" s="105"/>
      <c r="AF39" s="105"/>
      <c r="AG39" s="105"/>
      <c r="AH39" s="105"/>
      <c r="AI39" s="105"/>
      <c r="AJ39" s="105"/>
      <c r="AK39" s="105"/>
      <c r="AL39" s="105"/>
      <c r="AM39" s="105"/>
      <c r="AN39" s="105"/>
      <c r="AP39" s="65" t="str">
        <f t="shared" si="117"/>
        <v/>
      </c>
      <c r="AQ39" s="131"/>
      <c r="AR39" s="131"/>
      <c r="AS39" s="131"/>
      <c r="AT39" s="131"/>
      <c r="AU39" s="131"/>
      <c r="AV39" s="131"/>
      <c r="AW39" s="131"/>
      <c r="AX39" s="131"/>
      <c r="AY39" s="131"/>
      <c r="AZ39" s="131"/>
      <c r="BA39" s="131"/>
      <c r="BB39" s="131"/>
      <c r="BC39" s="57" t="str">
        <f t="shared" si="121"/>
        <v/>
      </c>
      <c r="BD39" s="105"/>
      <c r="BE39" s="105"/>
      <c r="BF39" s="105"/>
      <c r="BG39" s="105"/>
      <c r="BH39" s="105"/>
      <c r="BI39" s="105"/>
      <c r="BJ39" s="105"/>
      <c r="BK39" s="105"/>
      <c r="BL39" s="105"/>
      <c r="BM39" s="105"/>
      <c r="BN39" s="105"/>
      <c r="BO39" s="105"/>
      <c r="BP39" s="105"/>
      <c r="BQ39" s="105"/>
      <c r="BS39" s="65" t="str">
        <f t="shared" si="118"/>
        <v/>
      </c>
      <c r="BT39" s="131"/>
      <c r="BU39" s="131"/>
      <c r="BV39" s="131"/>
      <c r="BW39" s="131"/>
      <c r="BX39" s="131"/>
      <c r="BY39" s="131"/>
      <c r="BZ39" s="131"/>
      <c r="CA39" s="131"/>
      <c r="CB39" s="131"/>
      <c r="CC39" s="131"/>
      <c r="CD39" s="131"/>
      <c r="CE39" s="131"/>
      <c r="CF39" s="57" t="str">
        <f t="shared" si="122"/>
        <v/>
      </c>
      <c r="CG39" s="105"/>
      <c r="CH39" s="105"/>
      <c r="CI39" s="105"/>
      <c r="CJ39" s="105"/>
      <c r="CK39" s="105"/>
      <c r="CL39" s="105"/>
      <c r="CM39" s="105"/>
      <c r="CN39" s="105"/>
      <c r="CO39" s="105"/>
      <c r="CP39" s="105"/>
      <c r="CQ39" s="105"/>
      <c r="CR39" s="105"/>
      <c r="CS39" s="105"/>
      <c r="CT39" s="105"/>
      <c r="CV39" s="65" t="str">
        <f t="shared" si="119"/>
        <v/>
      </c>
      <c r="CW39" s="67" t="str">
        <f t="shared" si="123"/>
        <v/>
      </c>
      <c r="CX39" s="67" t="str">
        <f t="shared" si="124"/>
        <v/>
      </c>
      <c r="CY39" s="67" t="str">
        <f t="shared" si="125"/>
        <v/>
      </c>
    </row>
    <row r="40" spans="13:103" s="38" customFormat="1" ht="15" customHeight="1" x14ac:dyDescent="0.2">
      <c r="M40" s="65" t="str">
        <f t="shared" si="120"/>
        <v/>
      </c>
      <c r="N40" s="131"/>
      <c r="O40" s="131"/>
      <c r="P40" s="131"/>
      <c r="Q40" s="131"/>
      <c r="R40" s="131"/>
      <c r="S40" s="131"/>
      <c r="T40" s="131"/>
      <c r="U40" s="131"/>
      <c r="V40" s="131"/>
      <c r="W40" s="131"/>
      <c r="X40" s="131"/>
      <c r="Y40" s="131"/>
      <c r="Z40" s="57" t="str">
        <f t="shared" si="126"/>
        <v/>
      </c>
      <c r="AA40" s="105"/>
      <c r="AB40" s="105"/>
      <c r="AC40" s="105"/>
      <c r="AD40" s="105"/>
      <c r="AE40" s="105"/>
      <c r="AF40" s="105"/>
      <c r="AG40" s="105"/>
      <c r="AH40" s="105"/>
      <c r="AI40" s="105"/>
      <c r="AJ40" s="105"/>
      <c r="AK40" s="105"/>
      <c r="AL40" s="105"/>
      <c r="AM40" s="105"/>
      <c r="AN40" s="105"/>
      <c r="AP40" s="65" t="str">
        <f t="shared" si="117"/>
        <v/>
      </c>
      <c r="AQ40" s="131"/>
      <c r="AR40" s="131"/>
      <c r="AS40" s="131"/>
      <c r="AT40" s="131"/>
      <c r="AU40" s="131"/>
      <c r="AV40" s="131"/>
      <c r="AW40" s="131"/>
      <c r="AX40" s="131"/>
      <c r="AY40" s="131"/>
      <c r="AZ40" s="131"/>
      <c r="BA40" s="131"/>
      <c r="BB40" s="131"/>
      <c r="BC40" s="57" t="str">
        <f t="shared" si="121"/>
        <v/>
      </c>
      <c r="BD40" s="105"/>
      <c r="BE40" s="105"/>
      <c r="BF40" s="105"/>
      <c r="BG40" s="105"/>
      <c r="BH40" s="105"/>
      <c r="BI40" s="105"/>
      <c r="BJ40" s="105"/>
      <c r="BK40" s="105"/>
      <c r="BL40" s="105"/>
      <c r="BM40" s="105"/>
      <c r="BN40" s="105"/>
      <c r="BO40" s="105"/>
      <c r="BP40" s="105"/>
      <c r="BQ40" s="105"/>
      <c r="BS40" s="65" t="str">
        <f t="shared" si="118"/>
        <v/>
      </c>
      <c r="BT40" s="131"/>
      <c r="BU40" s="131"/>
      <c r="BV40" s="131"/>
      <c r="BW40" s="131"/>
      <c r="BX40" s="131"/>
      <c r="BY40" s="131"/>
      <c r="BZ40" s="131"/>
      <c r="CA40" s="131"/>
      <c r="CB40" s="131"/>
      <c r="CC40" s="131"/>
      <c r="CD40" s="131"/>
      <c r="CE40" s="131"/>
      <c r="CF40" s="57" t="str">
        <f t="shared" si="122"/>
        <v/>
      </c>
      <c r="CG40" s="105"/>
      <c r="CH40" s="105"/>
      <c r="CI40" s="105"/>
      <c r="CJ40" s="105"/>
      <c r="CK40" s="105"/>
      <c r="CL40" s="105"/>
      <c r="CM40" s="105"/>
      <c r="CN40" s="105"/>
      <c r="CO40" s="105"/>
      <c r="CP40" s="105"/>
      <c r="CQ40" s="105"/>
      <c r="CR40" s="105"/>
      <c r="CS40" s="105"/>
      <c r="CT40" s="105"/>
      <c r="CV40" s="65" t="str">
        <f t="shared" si="119"/>
        <v/>
      </c>
      <c r="CW40" s="67" t="str">
        <f t="shared" si="123"/>
        <v/>
      </c>
      <c r="CX40" s="67" t="str">
        <f t="shared" si="124"/>
        <v/>
      </c>
      <c r="CY40" s="67" t="str">
        <f t="shared" si="125"/>
        <v/>
      </c>
    </row>
    <row r="41" spans="13:103" s="38" customFormat="1" ht="15" customHeight="1" x14ac:dyDescent="0.2">
      <c r="M41" s="65" t="str">
        <f t="shared" si="120"/>
        <v/>
      </c>
      <c r="N41" s="131"/>
      <c r="O41" s="131"/>
      <c r="P41" s="131"/>
      <c r="Q41" s="131"/>
      <c r="R41" s="131"/>
      <c r="S41" s="131"/>
      <c r="T41" s="131"/>
      <c r="U41" s="131"/>
      <c r="V41" s="131"/>
      <c r="W41" s="131"/>
      <c r="X41" s="131"/>
      <c r="Y41" s="131"/>
      <c r="Z41" s="57" t="str">
        <f t="shared" si="126"/>
        <v/>
      </c>
      <c r="AA41" s="105"/>
      <c r="AB41" s="105"/>
      <c r="AC41" s="105"/>
      <c r="AD41" s="105"/>
      <c r="AE41" s="105"/>
      <c r="AF41" s="105"/>
      <c r="AG41" s="105"/>
      <c r="AH41" s="105"/>
      <c r="AI41" s="105"/>
      <c r="AJ41" s="105"/>
      <c r="AK41" s="105"/>
      <c r="AL41" s="105"/>
      <c r="AM41" s="105"/>
      <c r="AN41" s="105"/>
      <c r="AP41" s="65" t="str">
        <f t="shared" si="117"/>
        <v/>
      </c>
      <c r="AQ41" s="131"/>
      <c r="AR41" s="131"/>
      <c r="AS41" s="131"/>
      <c r="AT41" s="131"/>
      <c r="AU41" s="131"/>
      <c r="AV41" s="131"/>
      <c r="AW41" s="131"/>
      <c r="AX41" s="131"/>
      <c r="AY41" s="131"/>
      <c r="AZ41" s="131"/>
      <c r="BA41" s="131"/>
      <c r="BB41" s="131"/>
      <c r="BC41" s="57" t="str">
        <f t="shared" si="121"/>
        <v/>
      </c>
      <c r="BD41" s="105"/>
      <c r="BE41" s="105"/>
      <c r="BF41" s="105"/>
      <c r="BG41" s="105"/>
      <c r="BH41" s="105"/>
      <c r="BI41" s="105"/>
      <c r="BJ41" s="105"/>
      <c r="BK41" s="105"/>
      <c r="BL41" s="105"/>
      <c r="BM41" s="105"/>
      <c r="BN41" s="105"/>
      <c r="BO41" s="105"/>
      <c r="BP41" s="105"/>
      <c r="BQ41" s="105"/>
      <c r="BS41" s="65" t="str">
        <f t="shared" si="118"/>
        <v/>
      </c>
      <c r="BT41" s="131"/>
      <c r="BU41" s="131"/>
      <c r="BV41" s="131"/>
      <c r="BW41" s="131"/>
      <c r="BX41" s="131"/>
      <c r="BY41" s="131"/>
      <c r="BZ41" s="131"/>
      <c r="CA41" s="131"/>
      <c r="CB41" s="131"/>
      <c r="CC41" s="131"/>
      <c r="CD41" s="131"/>
      <c r="CE41" s="131"/>
      <c r="CF41" s="57" t="str">
        <f t="shared" si="122"/>
        <v/>
      </c>
      <c r="CG41" s="105"/>
      <c r="CH41" s="105"/>
      <c r="CI41" s="105"/>
      <c r="CJ41" s="105"/>
      <c r="CK41" s="105"/>
      <c r="CL41" s="105"/>
      <c r="CM41" s="105"/>
      <c r="CN41" s="105"/>
      <c r="CO41" s="105"/>
      <c r="CP41" s="105"/>
      <c r="CQ41" s="105"/>
      <c r="CR41" s="105"/>
      <c r="CS41" s="105"/>
      <c r="CT41" s="105"/>
      <c r="CV41" s="65" t="str">
        <f t="shared" si="119"/>
        <v/>
      </c>
      <c r="CW41" s="67" t="str">
        <f t="shared" si="123"/>
        <v/>
      </c>
      <c r="CX41" s="67" t="str">
        <f t="shared" si="124"/>
        <v/>
      </c>
      <c r="CY41" s="67" t="str">
        <f t="shared" si="125"/>
        <v/>
      </c>
    </row>
    <row r="42" spans="13:103" s="38" customFormat="1" ht="15" customHeight="1" x14ac:dyDescent="0.2">
      <c r="M42" s="65" t="str">
        <f t="shared" si="120"/>
        <v/>
      </c>
      <c r="N42" s="131"/>
      <c r="O42" s="131"/>
      <c r="P42" s="131"/>
      <c r="Q42" s="131"/>
      <c r="R42" s="131"/>
      <c r="S42" s="131"/>
      <c r="T42" s="131"/>
      <c r="U42" s="131"/>
      <c r="V42" s="131"/>
      <c r="W42" s="131"/>
      <c r="X42" s="131"/>
      <c r="Y42" s="131"/>
      <c r="Z42" s="57" t="str">
        <f t="shared" si="126"/>
        <v/>
      </c>
      <c r="AA42" s="105"/>
      <c r="AB42" s="105"/>
      <c r="AC42" s="105"/>
      <c r="AD42" s="105"/>
      <c r="AE42" s="105"/>
      <c r="AF42" s="105"/>
      <c r="AG42" s="105"/>
      <c r="AH42" s="105"/>
      <c r="AI42" s="105"/>
      <c r="AJ42" s="105"/>
      <c r="AK42" s="105"/>
      <c r="AL42" s="105"/>
      <c r="AM42" s="105"/>
      <c r="AN42" s="105"/>
      <c r="AP42" s="65" t="str">
        <f t="shared" si="117"/>
        <v/>
      </c>
      <c r="AQ42" s="131"/>
      <c r="AR42" s="131"/>
      <c r="AS42" s="131"/>
      <c r="AT42" s="131"/>
      <c r="AU42" s="131"/>
      <c r="AV42" s="131"/>
      <c r="AW42" s="131"/>
      <c r="AX42" s="131"/>
      <c r="AY42" s="131"/>
      <c r="AZ42" s="131"/>
      <c r="BA42" s="131"/>
      <c r="BB42" s="131"/>
      <c r="BC42" s="57" t="str">
        <f t="shared" si="121"/>
        <v/>
      </c>
      <c r="BD42" s="105"/>
      <c r="BE42" s="105"/>
      <c r="BF42" s="105"/>
      <c r="BG42" s="105"/>
      <c r="BH42" s="105"/>
      <c r="BI42" s="105"/>
      <c r="BJ42" s="105"/>
      <c r="BK42" s="105"/>
      <c r="BL42" s="105"/>
      <c r="BM42" s="105"/>
      <c r="BN42" s="105"/>
      <c r="BO42" s="105"/>
      <c r="BP42" s="105"/>
      <c r="BQ42" s="105"/>
      <c r="BS42" s="65" t="str">
        <f t="shared" si="118"/>
        <v/>
      </c>
      <c r="BT42" s="131"/>
      <c r="BU42" s="131"/>
      <c r="BV42" s="131"/>
      <c r="BW42" s="131"/>
      <c r="BX42" s="131"/>
      <c r="BY42" s="131"/>
      <c r="BZ42" s="131"/>
      <c r="CA42" s="131"/>
      <c r="CB42" s="131"/>
      <c r="CC42" s="131"/>
      <c r="CD42" s="131"/>
      <c r="CE42" s="131"/>
      <c r="CF42" s="57" t="str">
        <f t="shared" si="122"/>
        <v/>
      </c>
      <c r="CG42" s="105"/>
      <c r="CH42" s="105"/>
      <c r="CI42" s="105"/>
      <c r="CJ42" s="105"/>
      <c r="CK42" s="105"/>
      <c r="CL42" s="105"/>
      <c r="CM42" s="105"/>
      <c r="CN42" s="105"/>
      <c r="CO42" s="105"/>
      <c r="CP42" s="105"/>
      <c r="CQ42" s="105"/>
      <c r="CR42" s="105"/>
      <c r="CS42" s="105"/>
      <c r="CT42" s="105"/>
      <c r="CV42" s="65" t="str">
        <f t="shared" si="119"/>
        <v/>
      </c>
      <c r="CW42" s="67" t="str">
        <f t="shared" si="123"/>
        <v/>
      </c>
      <c r="CX42" s="67" t="str">
        <f t="shared" si="124"/>
        <v/>
      </c>
      <c r="CY42" s="67" t="str">
        <f t="shared" si="125"/>
        <v/>
      </c>
    </row>
    <row r="43" spans="13:103" s="38" customFormat="1" ht="15" customHeight="1" x14ac:dyDescent="0.2">
      <c r="M43" s="65" t="str">
        <f t="shared" si="120"/>
        <v/>
      </c>
      <c r="N43" s="131"/>
      <c r="O43" s="131"/>
      <c r="P43" s="131"/>
      <c r="Q43" s="131"/>
      <c r="R43" s="131"/>
      <c r="S43" s="131"/>
      <c r="T43" s="131"/>
      <c r="U43" s="131"/>
      <c r="V43" s="131"/>
      <c r="W43" s="131"/>
      <c r="X43" s="131"/>
      <c r="Y43" s="131"/>
      <c r="Z43" s="57" t="str">
        <f t="shared" si="126"/>
        <v/>
      </c>
      <c r="AA43" s="105"/>
      <c r="AB43" s="105"/>
      <c r="AC43" s="105"/>
      <c r="AD43" s="105"/>
      <c r="AE43" s="105"/>
      <c r="AF43" s="105"/>
      <c r="AG43" s="105"/>
      <c r="AH43" s="105"/>
      <c r="AI43" s="105"/>
      <c r="AJ43" s="105"/>
      <c r="AK43" s="105"/>
      <c r="AL43" s="105"/>
      <c r="AM43" s="105"/>
      <c r="AN43" s="105"/>
      <c r="AP43" s="65" t="str">
        <f t="shared" si="117"/>
        <v/>
      </c>
      <c r="AQ43" s="131"/>
      <c r="AR43" s="131"/>
      <c r="AS43" s="131"/>
      <c r="AT43" s="131"/>
      <c r="AU43" s="131"/>
      <c r="AV43" s="131"/>
      <c r="AW43" s="131"/>
      <c r="AX43" s="131"/>
      <c r="AY43" s="131"/>
      <c r="AZ43" s="131"/>
      <c r="BA43" s="131"/>
      <c r="BB43" s="131"/>
      <c r="BC43" s="57" t="str">
        <f t="shared" si="121"/>
        <v/>
      </c>
      <c r="BD43" s="105"/>
      <c r="BE43" s="105"/>
      <c r="BF43" s="105"/>
      <c r="BG43" s="105"/>
      <c r="BH43" s="105"/>
      <c r="BI43" s="105"/>
      <c r="BJ43" s="105"/>
      <c r="BK43" s="105"/>
      <c r="BL43" s="105"/>
      <c r="BM43" s="105"/>
      <c r="BN43" s="105"/>
      <c r="BO43" s="105"/>
      <c r="BP43" s="105"/>
      <c r="BQ43" s="105"/>
      <c r="BS43" s="65" t="str">
        <f t="shared" si="118"/>
        <v/>
      </c>
      <c r="BT43" s="131"/>
      <c r="BU43" s="131"/>
      <c r="BV43" s="131"/>
      <c r="BW43" s="131"/>
      <c r="BX43" s="131"/>
      <c r="BY43" s="131"/>
      <c r="BZ43" s="131"/>
      <c r="CA43" s="131"/>
      <c r="CB43" s="131"/>
      <c r="CC43" s="131"/>
      <c r="CD43" s="131"/>
      <c r="CE43" s="131"/>
      <c r="CF43" s="57" t="str">
        <f t="shared" si="122"/>
        <v/>
      </c>
      <c r="CG43" s="105"/>
      <c r="CH43" s="105"/>
      <c r="CI43" s="105"/>
      <c r="CJ43" s="105"/>
      <c r="CK43" s="105"/>
      <c r="CL43" s="105"/>
      <c r="CM43" s="105"/>
      <c r="CN43" s="105"/>
      <c r="CO43" s="105"/>
      <c r="CP43" s="105"/>
      <c r="CQ43" s="105"/>
      <c r="CR43" s="105"/>
      <c r="CS43" s="105"/>
      <c r="CT43" s="105"/>
      <c r="CV43" s="65" t="str">
        <f t="shared" si="119"/>
        <v/>
      </c>
      <c r="CW43" s="67" t="str">
        <f t="shared" si="123"/>
        <v/>
      </c>
      <c r="CX43" s="67" t="str">
        <f t="shared" si="124"/>
        <v/>
      </c>
      <c r="CY43" s="67" t="str">
        <f t="shared" si="125"/>
        <v/>
      </c>
    </row>
    <row r="44" spans="13:103" s="38" customFormat="1" ht="15" hidden="1" customHeight="1" x14ac:dyDescent="0.2">
      <c r="M44" s="65" t="str">
        <f t="shared" si="120"/>
        <v/>
      </c>
      <c r="N44" s="131"/>
      <c r="O44" s="131"/>
      <c r="P44" s="131"/>
      <c r="Q44" s="131"/>
      <c r="R44" s="131"/>
      <c r="S44" s="131"/>
      <c r="T44" s="131"/>
      <c r="U44" s="131"/>
      <c r="V44" s="131"/>
      <c r="W44" s="131"/>
      <c r="X44" s="131"/>
      <c r="Y44" s="131"/>
      <c r="Z44" s="57" t="str">
        <f t="shared" si="126"/>
        <v/>
      </c>
      <c r="AA44" s="105"/>
      <c r="AB44" s="105"/>
      <c r="AC44" s="105"/>
      <c r="AD44" s="105"/>
      <c r="AE44" s="105"/>
      <c r="AF44" s="105"/>
      <c r="AG44" s="105"/>
      <c r="AH44" s="105"/>
      <c r="AI44" s="105"/>
      <c r="AJ44" s="105"/>
      <c r="AK44" s="105"/>
      <c r="AL44" s="105"/>
      <c r="AM44" s="105"/>
      <c r="AN44" s="105"/>
      <c r="AP44" s="65" t="str">
        <f t="shared" si="117"/>
        <v/>
      </c>
      <c r="AQ44" s="131"/>
      <c r="AR44" s="131"/>
      <c r="AS44" s="131"/>
      <c r="AT44" s="131"/>
      <c r="AU44" s="131"/>
      <c r="AV44" s="131"/>
      <c r="AW44" s="131"/>
      <c r="AX44" s="131"/>
      <c r="AY44" s="131"/>
      <c r="AZ44" s="131"/>
      <c r="BA44" s="131"/>
      <c r="BB44" s="131"/>
      <c r="BC44" s="57" t="str">
        <f t="shared" si="121"/>
        <v/>
      </c>
      <c r="BD44" s="105"/>
      <c r="BE44" s="105"/>
      <c r="BF44" s="105"/>
      <c r="BG44" s="105"/>
      <c r="BH44" s="105"/>
      <c r="BI44" s="105"/>
      <c r="BJ44" s="105"/>
      <c r="BK44" s="105"/>
      <c r="BL44" s="105"/>
      <c r="BM44" s="105"/>
      <c r="BN44" s="105"/>
      <c r="BO44" s="105"/>
      <c r="BP44" s="105"/>
      <c r="BQ44" s="105"/>
      <c r="BS44" s="65" t="str">
        <f t="shared" si="118"/>
        <v/>
      </c>
      <c r="BT44" s="131"/>
      <c r="BU44" s="131"/>
      <c r="BV44" s="131"/>
      <c r="BW44" s="131"/>
      <c r="BX44" s="131"/>
      <c r="BY44" s="131"/>
      <c r="BZ44" s="131"/>
      <c r="CA44" s="131"/>
      <c r="CB44" s="131"/>
      <c r="CC44" s="131"/>
      <c r="CD44" s="131"/>
      <c r="CE44" s="131"/>
      <c r="CF44" s="57" t="str">
        <f t="shared" si="122"/>
        <v/>
      </c>
      <c r="CG44" s="105"/>
      <c r="CH44" s="105"/>
      <c r="CI44" s="105"/>
      <c r="CJ44" s="105"/>
      <c r="CK44" s="105"/>
      <c r="CL44" s="105"/>
      <c r="CM44" s="105"/>
      <c r="CN44" s="105"/>
      <c r="CO44" s="105"/>
      <c r="CP44" s="105"/>
      <c r="CQ44" s="105"/>
      <c r="CR44" s="105"/>
      <c r="CS44" s="105"/>
      <c r="CT44" s="105"/>
      <c r="CV44" s="65" t="str">
        <f t="shared" si="119"/>
        <v/>
      </c>
      <c r="CW44" s="67" t="str">
        <f t="shared" si="123"/>
        <v/>
      </c>
      <c r="CX44" s="67" t="str">
        <f t="shared" si="124"/>
        <v/>
      </c>
      <c r="CY44" s="67" t="str">
        <f t="shared" si="125"/>
        <v/>
      </c>
    </row>
    <row r="45" spans="13:103" s="38" customFormat="1" ht="15" hidden="1" customHeight="1" x14ac:dyDescent="0.2">
      <c r="M45" s="65" t="str">
        <f t="shared" si="120"/>
        <v/>
      </c>
      <c r="N45" s="131"/>
      <c r="O45" s="131"/>
      <c r="P45" s="131"/>
      <c r="Q45" s="131"/>
      <c r="R45" s="131"/>
      <c r="S45" s="131"/>
      <c r="T45" s="131"/>
      <c r="U45" s="131"/>
      <c r="V45" s="131"/>
      <c r="W45" s="131"/>
      <c r="X45" s="131"/>
      <c r="Y45" s="131"/>
      <c r="Z45" s="57" t="str">
        <f t="shared" si="126"/>
        <v/>
      </c>
      <c r="AA45" s="105"/>
      <c r="AB45" s="105"/>
      <c r="AC45" s="105"/>
      <c r="AD45" s="105"/>
      <c r="AE45" s="105"/>
      <c r="AF45" s="105"/>
      <c r="AG45" s="105"/>
      <c r="AH45" s="105"/>
      <c r="AI45" s="105"/>
      <c r="AJ45" s="105"/>
      <c r="AK45" s="105"/>
      <c r="AL45" s="105"/>
      <c r="AM45" s="105"/>
      <c r="AN45" s="105"/>
      <c r="AP45" s="65" t="str">
        <f t="shared" si="117"/>
        <v/>
      </c>
      <c r="AQ45" s="131"/>
      <c r="AR45" s="131"/>
      <c r="AS45" s="131"/>
      <c r="AT45" s="131"/>
      <c r="AU45" s="131"/>
      <c r="AV45" s="131"/>
      <c r="AW45" s="131"/>
      <c r="AX45" s="131"/>
      <c r="AY45" s="131"/>
      <c r="AZ45" s="131"/>
      <c r="BA45" s="131"/>
      <c r="BB45" s="131"/>
      <c r="BC45" s="57" t="str">
        <f t="shared" si="121"/>
        <v/>
      </c>
      <c r="BD45" s="105"/>
      <c r="BE45" s="105"/>
      <c r="BF45" s="105"/>
      <c r="BG45" s="105"/>
      <c r="BH45" s="105"/>
      <c r="BI45" s="105"/>
      <c r="BJ45" s="105"/>
      <c r="BK45" s="105"/>
      <c r="BL45" s="105"/>
      <c r="BM45" s="105"/>
      <c r="BN45" s="105"/>
      <c r="BO45" s="105"/>
      <c r="BP45" s="105"/>
      <c r="BQ45" s="105"/>
      <c r="BS45" s="65" t="str">
        <f t="shared" si="118"/>
        <v/>
      </c>
      <c r="BT45" s="131"/>
      <c r="BU45" s="131"/>
      <c r="BV45" s="131"/>
      <c r="BW45" s="131"/>
      <c r="BX45" s="131"/>
      <c r="BY45" s="131"/>
      <c r="BZ45" s="131"/>
      <c r="CA45" s="131"/>
      <c r="CB45" s="131"/>
      <c r="CC45" s="131"/>
      <c r="CD45" s="131"/>
      <c r="CE45" s="131"/>
      <c r="CF45" s="57" t="str">
        <f t="shared" si="122"/>
        <v/>
      </c>
      <c r="CG45" s="105"/>
      <c r="CH45" s="105"/>
      <c r="CI45" s="105"/>
      <c r="CJ45" s="105"/>
      <c r="CK45" s="105"/>
      <c r="CL45" s="105"/>
      <c r="CM45" s="105"/>
      <c r="CN45" s="105"/>
      <c r="CO45" s="105"/>
      <c r="CP45" s="105"/>
      <c r="CQ45" s="105"/>
      <c r="CR45" s="105"/>
      <c r="CS45" s="105"/>
      <c r="CT45" s="105"/>
      <c r="CV45" s="65" t="str">
        <f t="shared" si="119"/>
        <v/>
      </c>
      <c r="CW45" s="67" t="str">
        <f t="shared" si="123"/>
        <v/>
      </c>
      <c r="CX45" s="67" t="str">
        <f t="shared" si="124"/>
        <v/>
      </c>
      <c r="CY45" s="67" t="str">
        <f t="shared" si="125"/>
        <v/>
      </c>
    </row>
    <row r="46" spans="13:103" s="38" customFormat="1" ht="15" hidden="1" customHeight="1" x14ac:dyDescent="0.2">
      <c r="M46" s="65" t="str">
        <f t="shared" si="120"/>
        <v/>
      </c>
      <c r="N46" s="131"/>
      <c r="O46" s="131"/>
      <c r="P46" s="131"/>
      <c r="Q46" s="131"/>
      <c r="R46" s="131"/>
      <c r="S46" s="131"/>
      <c r="T46" s="131"/>
      <c r="U46" s="131"/>
      <c r="V46" s="131"/>
      <c r="W46" s="131"/>
      <c r="X46" s="131"/>
      <c r="Y46" s="131"/>
      <c r="Z46" s="57" t="str">
        <f t="shared" si="126"/>
        <v/>
      </c>
      <c r="AA46" s="105"/>
      <c r="AB46" s="105"/>
      <c r="AC46" s="105"/>
      <c r="AD46" s="105"/>
      <c r="AE46" s="105"/>
      <c r="AF46" s="105"/>
      <c r="AG46" s="105"/>
      <c r="AH46" s="105"/>
      <c r="AI46" s="105"/>
      <c r="AJ46" s="105"/>
      <c r="AK46" s="105"/>
      <c r="AL46" s="105"/>
      <c r="AM46" s="105"/>
      <c r="AN46" s="105"/>
      <c r="AP46" s="65" t="str">
        <f t="shared" si="117"/>
        <v/>
      </c>
      <c r="AQ46" s="131"/>
      <c r="AR46" s="131"/>
      <c r="AS46" s="131"/>
      <c r="AT46" s="131"/>
      <c r="AU46" s="131"/>
      <c r="AV46" s="131"/>
      <c r="AW46" s="131"/>
      <c r="AX46" s="131"/>
      <c r="AY46" s="131"/>
      <c r="AZ46" s="131"/>
      <c r="BA46" s="131"/>
      <c r="BB46" s="131"/>
      <c r="BC46" s="57" t="str">
        <f t="shared" si="121"/>
        <v/>
      </c>
      <c r="BD46" s="105"/>
      <c r="BE46" s="105"/>
      <c r="BF46" s="105"/>
      <c r="BG46" s="105"/>
      <c r="BH46" s="105"/>
      <c r="BI46" s="105"/>
      <c r="BJ46" s="105"/>
      <c r="BK46" s="105"/>
      <c r="BL46" s="105"/>
      <c r="BM46" s="105"/>
      <c r="BN46" s="105"/>
      <c r="BO46" s="105"/>
      <c r="BP46" s="105"/>
      <c r="BQ46" s="105"/>
      <c r="BS46" s="65" t="str">
        <f t="shared" si="118"/>
        <v/>
      </c>
      <c r="BT46" s="131"/>
      <c r="BU46" s="131"/>
      <c r="BV46" s="131"/>
      <c r="BW46" s="131"/>
      <c r="BX46" s="131"/>
      <c r="BY46" s="131"/>
      <c r="BZ46" s="131"/>
      <c r="CA46" s="131"/>
      <c r="CB46" s="131"/>
      <c r="CC46" s="131"/>
      <c r="CD46" s="131"/>
      <c r="CE46" s="131"/>
      <c r="CF46" s="57" t="str">
        <f t="shared" si="122"/>
        <v/>
      </c>
      <c r="CG46" s="105"/>
      <c r="CH46" s="105"/>
      <c r="CI46" s="105"/>
      <c r="CJ46" s="105"/>
      <c r="CK46" s="105"/>
      <c r="CL46" s="105"/>
      <c r="CM46" s="105"/>
      <c r="CN46" s="105"/>
      <c r="CO46" s="105"/>
      <c r="CP46" s="105"/>
      <c r="CQ46" s="105"/>
      <c r="CR46" s="105"/>
      <c r="CS46" s="105"/>
      <c r="CT46" s="105"/>
      <c r="CV46" s="65" t="str">
        <f t="shared" si="119"/>
        <v/>
      </c>
      <c r="CW46" s="67" t="str">
        <f t="shared" si="123"/>
        <v/>
      </c>
      <c r="CX46" s="67" t="str">
        <f t="shared" si="124"/>
        <v/>
      </c>
      <c r="CY46" s="67" t="str">
        <f t="shared" si="125"/>
        <v/>
      </c>
    </row>
    <row r="47" spans="13:103" s="38" customFormat="1" ht="15" hidden="1" customHeight="1" x14ac:dyDescent="0.2">
      <c r="M47" s="65" t="str">
        <f t="shared" si="120"/>
        <v/>
      </c>
      <c r="N47" s="131"/>
      <c r="O47" s="131"/>
      <c r="P47" s="131"/>
      <c r="Q47" s="131"/>
      <c r="R47" s="131"/>
      <c r="S47" s="131"/>
      <c r="T47" s="131"/>
      <c r="U47" s="131"/>
      <c r="V47" s="131"/>
      <c r="W47" s="131"/>
      <c r="X47" s="131"/>
      <c r="Y47" s="131"/>
      <c r="Z47" s="57" t="str">
        <f t="shared" si="126"/>
        <v/>
      </c>
      <c r="AA47" s="105"/>
      <c r="AB47" s="105"/>
      <c r="AC47" s="105"/>
      <c r="AD47" s="105"/>
      <c r="AE47" s="105"/>
      <c r="AF47" s="105"/>
      <c r="AG47" s="105"/>
      <c r="AH47" s="105"/>
      <c r="AI47" s="105"/>
      <c r="AJ47" s="105"/>
      <c r="AK47" s="105"/>
      <c r="AL47" s="105"/>
      <c r="AM47" s="105"/>
      <c r="AN47" s="105"/>
      <c r="AP47" s="65" t="str">
        <f t="shared" si="117"/>
        <v/>
      </c>
      <c r="AQ47" s="131"/>
      <c r="AR47" s="131"/>
      <c r="AS47" s="131"/>
      <c r="AT47" s="131"/>
      <c r="AU47" s="131"/>
      <c r="AV47" s="131"/>
      <c r="AW47" s="131"/>
      <c r="AX47" s="131"/>
      <c r="AY47" s="131"/>
      <c r="AZ47" s="131"/>
      <c r="BA47" s="131"/>
      <c r="BB47" s="131"/>
      <c r="BC47" s="57" t="str">
        <f t="shared" si="121"/>
        <v/>
      </c>
      <c r="BD47" s="105"/>
      <c r="BE47" s="105"/>
      <c r="BF47" s="105"/>
      <c r="BG47" s="105"/>
      <c r="BH47" s="105"/>
      <c r="BI47" s="105"/>
      <c r="BJ47" s="105"/>
      <c r="BK47" s="105"/>
      <c r="BL47" s="105"/>
      <c r="BM47" s="105"/>
      <c r="BN47" s="105"/>
      <c r="BO47" s="105"/>
      <c r="BP47" s="105"/>
      <c r="BQ47" s="105"/>
      <c r="BS47" s="65" t="str">
        <f t="shared" si="118"/>
        <v/>
      </c>
      <c r="BT47" s="131"/>
      <c r="BU47" s="131"/>
      <c r="BV47" s="131"/>
      <c r="BW47" s="131"/>
      <c r="BX47" s="131"/>
      <c r="BY47" s="131"/>
      <c r="BZ47" s="131"/>
      <c r="CA47" s="131"/>
      <c r="CB47" s="131"/>
      <c r="CC47" s="131"/>
      <c r="CD47" s="131"/>
      <c r="CE47" s="131"/>
      <c r="CF47" s="57" t="str">
        <f t="shared" si="122"/>
        <v/>
      </c>
      <c r="CG47" s="105"/>
      <c r="CH47" s="105"/>
      <c r="CI47" s="105"/>
      <c r="CJ47" s="105"/>
      <c r="CK47" s="105"/>
      <c r="CL47" s="105"/>
      <c r="CM47" s="105"/>
      <c r="CN47" s="105"/>
      <c r="CO47" s="105"/>
      <c r="CP47" s="105"/>
      <c r="CQ47" s="105"/>
      <c r="CR47" s="105"/>
      <c r="CS47" s="105"/>
      <c r="CT47" s="105"/>
      <c r="CV47" s="65" t="str">
        <f t="shared" si="119"/>
        <v/>
      </c>
      <c r="CW47" s="67" t="str">
        <f t="shared" si="123"/>
        <v/>
      </c>
      <c r="CX47" s="67" t="str">
        <f t="shared" si="124"/>
        <v/>
      </c>
      <c r="CY47" s="67" t="str">
        <f t="shared" si="125"/>
        <v/>
      </c>
    </row>
    <row r="48" spans="13:103" s="38" customFormat="1" ht="15" hidden="1" customHeight="1" x14ac:dyDescent="0.2">
      <c r="M48" s="65" t="str">
        <f t="shared" si="120"/>
        <v/>
      </c>
      <c r="N48" s="131"/>
      <c r="O48" s="131"/>
      <c r="P48" s="131"/>
      <c r="Q48" s="131"/>
      <c r="R48" s="131"/>
      <c r="S48" s="131"/>
      <c r="T48" s="131"/>
      <c r="U48" s="131"/>
      <c r="V48" s="131"/>
      <c r="W48" s="131"/>
      <c r="X48" s="131"/>
      <c r="Y48" s="131"/>
      <c r="Z48" s="57" t="str">
        <f t="shared" si="126"/>
        <v/>
      </c>
      <c r="AA48" s="105"/>
      <c r="AB48" s="105"/>
      <c r="AC48" s="105"/>
      <c r="AD48" s="105"/>
      <c r="AE48" s="105"/>
      <c r="AF48" s="105"/>
      <c r="AG48" s="105"/>
      <c r="AH48" s="105"/>
      <c r="AI48" s="105"/>
      <c r="AJ48" s="105"/>
      <c r="AK48" s="105"/>
      <c r="AL48" s="105"/>
      <c r="AM48" s="105"/>
      <c r="AN48" s="105"/>
      <c r="AP48" s="65" t="str">
        <f t="shared" si="117"/>
        <v/>
      </c>
      <c r="AQ48" s="131"/>
      <c r="AR48" s="131"/>
      <c r="AS48" s="131"/>
      <c r="AT48" s="131"/>
      <c r="AU48" s="131"/>
      <c r="AV48" s="131"/>
      <c r="AW48" s="131"/>
      <c r="AX48" s="131"/>
      <c r="AY48" s="131"/>
      <c r="AZ48" s="131"/>
      <c r="BA48" s="131"/>
      <c r="BB48" s="131"/>
      <c r="BC48" s="57" t="str">
        <f t="shared" si="121"/>
        <v/>
      </c>
      <c r="BD48" s="105"/>
      <c r="BE48" s="105"/>
      <c r="BF48" s="105"/>
      <c r="BG48" s="105"/>
      <c r="BH48" s="105"/>
      <c r="BI48" s="105"/>
      <c r="BJ48" s="105"/>
      <c r="BK48" s="105"/>
      <c r="BL48" s="105"/>
      <c r="BM48" s="105"/>
      <c r="BN48" s="105"/>
      <c r="BO48" s="105"/>
      <c r="BP48" s="105"/>
      <c r="BQ48" s="105"/>
      <c r="BS48" s="65" t="str">
        <f t="shared" si="118"/>
        <v/>
      </c>
      <c r="BT48" s="131"/>
      <c r="BU48" s="131"/>
      <c r="BV48" s="131"/>
      <c r="BW48" s="131"/>
      <c r="BX48" s="131"/>
      <c r="BY48" s="131"/>
      <c r="BZ48" s="131"/>
      <c r="CA48" s="131"/>
      <c r="CB48" s="131"/>
      <c r="CC48" s="131"/>
      <c r="CD48" s="131"/>
      <c r="CE48" s="131"/>
      <c r="CF48" s="57" t="str">
        <f t="shared" si="122"/>
        <v/>
      </c>
      <c r="CG48" s="105"/>
      <c r="CH48" s="105"/>
      <c r="CI48" s="105"/>
      <c r="CJ48" s="105"/>
      <c r="CK48" s="105"/>
      <c r="CL48" s="105"/>
      <c r="CM48" s="105"/>
      <c r="CN48" s="105"/>
      <c r="CO48" s="105"/>
      <c r="CP48" s="105"/>
      <c r="CQ48" s="105"/>
      <c r="CR48" s="105"/>
      <c r="CS48" s="105"/>
      <c r="CT48" s="105"/>
      <c r="CV48" s="65" t="str">
        <f t="shared" si="119"/>
        <v/>
      </c>
      <c r="CW48" s="67" t="str">
        <f t="shared" si="123"/>
        <v/>
      </c>
      <c r="CX48" s="67" t="str">
        <f t="shared" si="124"/>
        <v/>
      </c>
      <c r="CY48" s="67" t="str">
        <f t="shared" si="125"/>
        <v/>
      </c>
    </row>
    <row r="49" spans="13:103" s="38" customFormat="1" ht="15" hidden="1" customHeight="1" x14ac:dyDescent="0.2">
      <c r="M49" s="65" t="str">
        <f t="shared" si="120"/>
        <v/>
      </c>
      <c r="N49" s="131"/>
      <c r="O49" s="131"/>
      <c r="P49" s="131"/>
      <c r="Q49" s="131"/>
      <c r="R49" s="131"/>
      <c r="S49" s="131"/>
      <c r="T49" s="131"/>
      <c r="U49" s="131"/>
      <c r="V49" s="131"/>
      <c r="W49" s="131"/>
      <c r="X49" s="131"/>
      <c r="Y49" s="131"/>
      <c r="Z49" s="57" t="str">
        <f t="shared" si="126"/>
        <v/>
      </c>
      <c r="AA49" s="105"/>
      <c r="AB49" s="105"/>
      <c r="AC49" s="105"/>
      <c r="AD49" s="105"/>
      <c r="AE49" s="105"/>
      <c r="AF49" s="105"/>
      <c r="AG49" s="105"/>
      <c r="AH49" s="105"/>
      <c r="AI49" s="105"/>
      <c r="AJ49" s="105"/>
      <c r="AK49" s="105"/>
      <c r="AL49" s="105"/>
      <c r="AM49" s="105"/>
      <c r="AN49" s="105"/>
      <c r="AP49" s="65" t="str">
        <f t="shared" si="117"/>
        <v/>
      </c>
      <c r="AQ49" s="131"/>
      <c r="AR49" s="131"/>
      <c r="AS49" s="131"/>
      <c r="AT49" s="131"/>
      <c r="AU49" s="131"/>
      <c r="AV49" s="131"/>
      <c r="AW49" s="131"/>
      <c r="AX49" s="131"/>
      <c r="AY49" s="131"/>
      <c r="AZ49" s="131"/>
      <c r="BA49" s="131"/>
      <c r="BB49" s="131"/>
      <c r="BC49" s="57" t="str">
        <f t="shared" si="121"/>
        <v/>
      </c>
      <c r="BD49" s="105"/>
      <c r="BE49" s="105"/>
      <c r="BF49" s="105"/>
      <c r="BG49" s="105"/>
      <c r="BH49" s="105"/>
      <c r="BI49" s="105"/>
      <c r="BJ49" s="105"/>
      <c r="BK49" s="105"/>
      <c r="BL49" s="105"/>
      <c r="BM49" s="105"/>
      <c r="BN49" s="105"/>
      <c r="BO49" s="105"/>
      <c r="BP49" s="105"/>
      <c r="BQ49" s="105"/>
      <c r="BS49" s="65" t="str">
        <f t="shared" si="118"/>
        <v/>
      </c>
      <c r="BT49" s="131"/>
      <c r="BU49" s="131"/>
      <c r="BV49" s="131"/>
      <c r="BW49" s="131"/>
      <c r="BX49" s="131"/>
      <c r="BY49" s="131"/>
      <c r="BZ49" s="131"/>
      <c r="CA49" s="131"/>
      <c r="CB49" s="131"/>
      <c r="CC49" s="131"/>
      <c r="CD49" s="131"/>
      <c r="CE49" s="131"/>
      <c r="CF49" s="57" t="str">
        <f t="shared" si="122"/>
        <v/>
      </c>
      <c r="CG49" s="105"/>
      <c r="CH49" s="105"/>
      <c r="CI49" s="105"/>
      <c r="CJ49" s="105"/>
      <c r="CK49" s="105"/>
      <c r="CL49" s="105"/>
      <c r="CM49" s="105"/>
      <c r="CN49" s="105"/>
      <c r="CO49" s="105"/>
      <c r="CP49" s="105"/>
      <c r="CQ49" s="105"/>
      <c r="CR49" s="105"/>
      <c r="CS49" s="105"/>
      <c r="CT49" s="105"/>
      <c r="CV49" s="65" t="str">
        <f t="shared" si="119"/>
        <v/>
      </c>
      <c r="CW49" s="67" t="str">
        <f t="shared" si="123"/>
        <v/>
      </c>
      <c r="CX49" s="67" t="str">
        <f t="shared" si="124"/>
        <v/>
      </c>
      <c r="CY49" s="67" t="str">
        <f t="shared" si="125"/>
        <v/>
      </c>
    </row>
    <row r="50" spans="13:103" s="38" customFormat="1" ht="15" hidden="1" customHeight="1" x14ac:dyDescent="0.2">
      <c r="M50" s="65" t="str">
        <f t="shared" si="120"/>
        <v/>
      </c>
      <c r="N50" s="131"/>
      <c r="O50" s="131"/>
      <c r="P50" s="131"/>
      <c r="Q50" s="131"/>
      <c r="R50" s="131"/>
      <c r="S50" s="131"/>
      <c r="T50" s="131"/>
      <c r="U50" s="131"/>
      <c r="V50" s="131"/>
      <c r="W50" s="131"/>
      <c r="X50" s="131"/>
      <c r="Y50" s="131"/>
      <c r="Z50" s="57" t="str">
        <f t="shared" si="126"/>
        <v/>
      </c>
      <c r="AA50" s="105"/>
      <c r="AB50" s="105"/>
      <c r="AC50" s="105"/>
      <c r="AD50" s="105"/>
      <c r="AE50" s="105"/>
      <c r="AF50" s="105"/>
      <c r="AG50" s="105"/>
      <c r="AH50" s="105"/>
      <c r="AI50" s="105"/>
      <c r="AJ50" s="105"/>
      <c r="AK50" s="105"/>
      <c r="AL50" s="105"/>
      <c r="AM50" s="105"/>
      <c r="AN50" s="105"/>
      <c r="AP50" s="65" t="str">
        <f t="shared" si="117"/>
        <v/>
      </c>
      <c r="AQ50" s="131"/>
      <c r="AR50" s="131"/>
      <c r="AS50" s="131"/>
      <c r="AT50" s="131"/>
      <c r="AU50" s="131"/>
      <c r="AV50" s="131"/>
      <c r="AW50" s="131"/>
      <c r="AX50" s="131"/>
      <c r="AY50" s="131"/>
      <c r="AZ50" s="131"/>
      <c r="BA50" s="131"/>
      <c r="BB50" s="131"/>
      <c r="BC50" s="57" t="str">
        <f t="shared" si="121"/>
        <v/>
      </c>
      <c r="BD50" s="105"/>
      <c r="BE50" s="105"/>
      <c r="BF50" s="105"/>
      <c r="BG50" s="105"/>
      <c r="BH50" s="105"/>
      <c r="BI50" s="105"/>
      <c r="BJ50" s="105"/>
      <c r="BK50" s="105"/>
      <c r="BL50" s="105"/>
      <c r="BM50" s="105"/>
      <c r="BN50" s="105"/>
      <c r="BO50" s="105"/>
      <c r="BP50" s="105"/>
      <c r="BQ50" s="105"/>
      <c r="BS50" s="65" t="str">
        <f t="shared" si="118"/>
        <v/>
      </c>
      <c r="BT50" s="131"/>
      <c r="BU50" s="131"/>
      <c r="BV50" s="131"/>
      <c r="BW50" s="131"/>
      <c r="BX50" s="131"/>
      <c r="BY50" s="131"/>
      <c r="BZ50" s="131"/>
      <c r="CA50" s="131"/>
      <c r="CB50" s="131"/>
      <c r="CC50" s="131"/>
      <c r="CD50" s="131"/>
      <c r="CE50" s="131"/>
      <c r="CF50" s="57" t="str">
        <f t="shared" si="122"/>
        <v/>
      </c>
      <c r="CG50" s="105"/>
      <c r="CH50" s="105"/>
      <c r="CI50" s="105"/>
      <c r="CJ50" s="105"/>
      <c r="CK50" s="105"/>
      <c r="CL50" s="105"/>
      <c r="CM50" s="105"/>
      <c r="CN50" s="105"/>
      <c r="CO50" s="105"/>
      <c r="CP50" s="105"/>
      <c r="CQ50" s="105"/>
      <c r="CR50" s="105"/>
      <c r="CS50" s="105"/>
      <c r="CT50" s="105"/>
      <c r="CV50" s="65" t="str">
        <f t="shared" si="119"/>
        <v/>
      </c>
      <c r="CW50" s="67" t="str">
        <f t="shared" si="123"/>
        <v/>
      </c>
      <c r="CX50" s="67" t="str">
        <f t="shared" si="124"/>
        <v/>
      </c>
      <c r="CY50" s="67" t="str">
        <f t="shared" si="125"/>
        <v/>
      </c>
    </row>
    <row r="51" spans="13:103" s="38" customFormat="1" ht="15" hidden="1" customHeight="1" x14ac:dyDescent="0.2">
      <c r="M51" s="65" t="str">
        <f t="shared" si="120"/>
        <v/>
      </c>
      <c r="N51" s="131"/>
      <c r="O51" s="131"/>
      <c r="P51" s="131"/>
      <c r="Q51" s="131"/>
      <c r="R51" s="131"/>
      <c r="S51" s="131"/>
      <c r="T51" s="131"/>
      <c r="U51" s="131"/>
      <c r="V51" s="131"/>
      <c r="W51" s="131"/>
      <c r="X51" s="131"/>
      <c r="Y51" s="131"/>
      <c r="Z51" s="57" t="str">
        <f t="shared" si="126"/>
        <v/>
      </c>
      <c r="AA51" s="105"/>
      <c r="AB51" s="105"/>
      <c r="AC51" s="105"/>
      <c r="AD51" s="105"/>
      <c r="AE51" s="105"/>
      <c r="AF51" s="105"/>
      <c r="AG51" s="105"/>
      <c r="AH51" s="105"/>
      <c r="AI51" s="105"/>
      <c r="AJ51" s="105"/>
      <c r="AK51" s="105"/>
      <c r="AL51" s="105"/>
      <c r="AM51" s="105"/>
      <c r="AN51" s="105"/>
      <c r="AP51" s="65" t="str">
        <f t="shared" si="117"/>
        <v/>
      </c>
      <c r="AQ51" s="131"/>
      <c r="AR51" s="131"/>
      <c r="AS51" s="131"/>
      <c r="AT51" s="131"/>
      <c r="AU51" s="131"/>
      <c r="AV51" s="131"/>
      <c r="AW51" s="131"/>
      <c r="AX51" s="131"/>
      <c r="AY51" s="131"/>
      <c r="AZ51" s="131"/>
      <c r="BA51" s="131"/>
      <c r="BB51" s="131"/>
      <c r="BC51" s="57" t="str">
        <f t="shared" si="121"/>
        <v/>
      </c>
      <c r="BD51" s="105"/>
      <c r="BE51" s="105"/>
      <c r="BF51" s="105"/>
      <c r="BG51" s="105"/>
      <c r="BH51" s="105"/>
      <c r="BI51" s="105"/>
      <c r="BJ51" s="105"/>
      <c r="BK51" s="105"/>
      <c r="BL51" s="105"/>
      <c r="BM51" s="105"/>
      <c r="BN51" s="105"/>
      <c r="BO51" s="105"/>
      <c r="BP51" s="105"/>
      <c r="BQ51" s="105"/>
      <c r="BS51" s="65" t="str">
        <f t="shared" si="118"/>
        <v/>
      </c>
      <c r="BT51" s="131"/>
      <c r="BU51" s="131"/>
      <c r="BV51" s="131"/>
      <c r="BW51" s="131"/>
      <c r="BX51" s="131"/>
      <c r="BY51" s="131"/>
      <c r="BZ51" s="131"/>
      <c r="CA51" s="131"/>
      <c r="CB51" s="131"/>
      <c r="CC51" s="131"/>
      <c r="CD51" s="131"/>
      <c r="CE51" s="131"/>
      <c r="CF51" s="57" t="str">
        <f t="shared" si="122"/>
        <v/>
      </c>
      <c r="CG51" s="105"/>
      <c r="CH51" s="105"/>
      <c r="CI51" s="105"/>
      <c r="CJ51" s="105"/>
      <c r="CK51" s="105"/>
      <c r="CL51" s="105"/>
      <c r="CM51" s="105"/>
      <c r="CN51" s="105"/>
      <c r="CO51" s="105"/>
      <c r="CP51" s="105"/>
      <c r="CQ51" s="105"/>
      <c r="CR51" s="105"/>
      <c r="CS51" s="105"/>
      <c r="CT51" s="105"/>
      <c r="CV51" s="65" t="str">
        <f t="shared" si="119"/>
        <v/>
      </c>
      <c r="CW51" s="67" t="str">
        <f t="shared" si="123"/>
        <v/>
      </c>
      <c r="CX51" s="67" t="str">
        <f t="shared" si="124"/>
        <v/>
      </c>
      <c r="CY51" s="67" t="str">
        <f t="shared" si="125"/>
        <v/>
      </c>
    </row>
    <row r="52" spans="13:103" s="38" customFormat="1" ht="15" hidden="1" customHeight="1" x14ac:dyDescent="0.2">
      <c r="M52" s="65" t="str">
        <f t="shared" si="120"/>
        <v/>
      </c>
      <c r="N52" s="130"/>
      <c r="O52" s="130"/>
      <c r="P52" s="130"/>
      <c r="Q52" s="130"/>
      <c r="R52" s="130"/>
      <c r="S52" s="130"/>
      <c r="T52" s="130"/>
      <c r="U52" s="130"/>
      <c r="V52" s="130"/>
      <c r="W52" s="130"/>
      <c r="X52" s="130"/>
      <c r="Y52" s="130"/>
      <c r="Z52" s="57" t="str">
        <f t="shared" si="126"/>
        <v/>
      </c>
      <c r="AA52" s="105"/>
      <c r="AB52" s="105"/>
      <c r="AC52" s="105"/>
      <c r="AD52" s="105"/>
      <c r="AE52" s="105"/>
      <c r="AF52" s="105"/>
      <c r="AG52" s="105"/>
      <c r="AH52" s="105"/>
      <c r="AI52" s="105"/>
      <c r="AJ52" s="105"/>
      <c r="AK52" s="105"/>
      <c r="AL52" s="105"/>
      <c r="AM52" s="105"/>
      <c r="AN52" s="105"/>
      <c r="AP52" s="65" t="str">
        <f t="shared" si="117"/>
        <v/>
      </c>
      <c r="AQ52" s="130"/>
      <c r="AR52" s="130"/>
      <c r="AS52" s="130"/>
      <c r="AT52" s="130"/>
      <c r="AU52" s="130"/>
      <c r="AV52" s="130"/>
      <c r="AW52" s="130"/>
      <c r="AX52" s="130"/>
      <c r="AY52" s="130"/>
      <c r="AZ52" s="130"/>
      <c r="BA52" s="130"/>
      <c r="BB52" s="130"/>
      <c r="BC52" s="57" t="str">
        <f t="shared" si="121"/>
        <v/>
      </c>
      <c r="BD52" s="105"/>
      <c r="BE52" s="105"/>
      <c r="BF52" s="105"/>
      <c r="BG52" s="105"/>
      <c r="BH52" s="105"/>
      <c r="BI52" s="105"/>
      <c r="BJ52" s="105"/>
      <c r="BK52" s="105"/>
      <c r="BL52" s="105"/>
      <c r="BM52" s="105"/>
      <c r="BN52" s="105"/>
      <c r="BO52" s="105"/>
      <c r="BP52" s="105"/>
      <c r="BQ52" s="105"/>
      <c r="BS52" s="65" t="str">
        <f t="shared" si="118"/>
        <v/>
      </c>
      <c r="BT52" s="130"/>
      <c r="BU52" s="130"/>
      <c r="BV52" s="130"/>
      <c r="BW52" s="130"/>
      <c r="BX52" s="130"/>
      <c r="BY52" s="130"/>
      <c r="BZ52" s="130"/>
      <c r="CA52" s="130"/>
      <c r="CB52" s="130"/>
      <c r="CC52" s="130"/>
      <c r="CD52" s="130"/>
      <c r="CE52" s="130"/>
      <c r="CF52" s="57" t="str">
        <f t="shared" si="122"/>
        <v/>
      </c>
      <c r="CG52" s="105"/>
      <c r="CH52" s="105"/>
      <c r="CI52" s="105"/>
      <c r="CJ52" s="105"/>
      <c r="CK52" s="105"/>
      <c r="CL52" s="105"/>
      <c r="CM52" s="105"/>
      <c r="CN52" s="105"/>
      <c r="CO52" s="105"/>
      <c r="CP52" s="105"/>
      <c r="CQ52" s="105"/>
      <c r="CR52" s="105"/>
      <c r="CS52" s="105"/>
      <c r="CT52" s="105"/>
      <c r="CU52" s="40"/>
      <c r="CV52" s="65" t="str">
        <f t="shared" si="119"/>
        <v/>
      </c>
      <c r="CW52" s="67" t="str">
        <f t="shared" si="123"/>
        <v/>
      </c>
      <c r="CX52" s="67" t="str">
        <f t="shared" si="124"/>
        <v/>
      </c>
      <c r="CY52" s="67" t="str">
        <f t="shared" si="125"/>
        <v/>
      </c>
    </row>
    <row r="53" spans="13:103" s="38" customFormat="1" ht="15" hidden="1" customHeight="1" x14ac:dyDescent="0.2">
      <c r="M53" s="65" t="str">
        <f t="shared" si="120"/>
        <v/>
      </c>
      <c r="N53" s="130"/>
      <c r="O53" s="130"/>
      <c r="P53" s="130"/>
      <c r="Q53" s="130"/>
      <c r="R53" s="130"/>
      <c r="S53" s="130"/>
      <c r="T53" s="130"/>
      <c r="U53" s="130"/>
      <c r="V53" s="130"/>
      <c r="W53" s="130"/>
      <c r="X53" s="130"/>
      <c r="Y53" s="130"/>
      <c r="Z53" s="57" t="str">
        <f t="shared" si="126"/>
        <v/>
      </c>
      <c r="AA53" s="105"/>
      <c r="AB53" s="105"/>
      <c r="AC53" s="105"/>
      <c r="AD53" s="105"/>
      <c r="AE53" s="105"/>
      <c r="AF53" s="105"/>
      <c r="AG53" s="105"/>
      <c r="AH53" s="105"/>
      <c r="AI53" s="105"/>
      <c r="AJ53" s="105"/>
      <c r="AK53" s="105"/>
      <c r="AL53" s="105"/>
      <c r="AM53" s="105"/>
      <c r="AN53" s="105"/>
      <c r="AP53" s="65" t="str">
        <f t="shared" si="117"/>
        <v/>
      </c>
      <c r="AQ53" s="130"/>
      <c r="AR53" s="130"/>
      <c r="AS53" s="130"/>
      <c r="AT53" s="130"/>
      <c r="AU53" s="130"/>
      <c r="AV53" s="130"/>
      <c r="AW53" s="130"/>
      <c r="AX53" s="130"/>
      <c r="AY53" s="130"/>
      <c r="AZ53" s="130"/>
      <c r="BA53" s="130"/>
      <c r="BB53" s="130"/>
      <c r="BC53" s="57" t="str">
        <f t="shared" si="121"/>
        <v/>
      </c>
      <c r="BD53" s="105"/>
      <c r="BE53" s="105"/>
      <c r="BF53" s="105"/>
      <c r="BG53" s="105"/>
      <c r="BH53" s="105"/>
      <c r="BI53" s="105"/>
      <c r="BJ53" s="105"/>
      <c r="BK53" s="105"/>
      <c r="BL53" s="105"/>
      <c r="BM53" s="105"/>
      <c r="BN53" s="105"/>
      <c r="BO53" s="105"/>
      <c r="BP53" s="105"/>
      <c r="BQ53" s="105"/>
      <c r="BS53" s="65" t="str">
        <f t="shared" si="118"/>
        <v/>
      </c>
      <c r="BT53" s="130"/>
      <c r="BU53" s="130"/>
      <c r="BV53" s="130"/>
      <c r="BW53" s="130"/>
      <c r="BX53" s="130"/>
      <c r="BY53" s="130"/>
      <c r="BZ53" s="130"/>
      <c r="CA53" s="130"/>
      <c r="CB53" s="130"/>
      <c r="CC53" s="130"/>
      <c r="CD53" s="130"/>
      <c r="CE53" s="130"/>
      <c r="CF53" s="57" t="str">
        <f t="shared" si="122"/>
        <v/>
      </c>
      <c r="CG53" s="105"/>
      <c r="CH53" s="105"/>
      <c r="CI53" s="105"/>
      <c r="CJ53" s="105"/>
      <c r="CK53" s="105"/>
      <c r="CL53" s="105"/>
      <c r="CM53" s="105"/>
      <c r="CN53" s="105"/>
      <c r="CO53" s="105"/>
      <c r="CP53" s="105"/>
      <c r="CQ53" s="105"/>
      <c r="CR53" s="105"/>
      <c r="CS53" s="105"/>
      <c r="CT53" s="105"/>
      <c r="CU53" s="40"/>
      <c r="CV53" s="65" t="str">
        <f t="shared" si="119"/>
        <v/>
      </c>
      <c r="CW53" s="67" t="str">
        <f t="shared" si="123"/>
        <v/>
      </c>
      <c r="CX53" s="67" t="str">
        <f t="shared" si="124"/>
        <v/>
      </c>
      <c r="CY53" s="67" t="str">
        <f t="shared" si="125"/>
        <v/>
      </c>
    </row>
    <row r="54" spans="13:103" s="38" customFormat="1" ht="15" hidden="1" customHeight="1" x14ac:dyDescent="0.2">
      <c r="M54" s="65" t="str">
        <f t="shared" si="120"/>
        <v/>
      </c>
      <c r="N54" s="130"/>
      <c r="O54" s="130"/>
      <c r="P54" s="130"/>
      <c r="Q54" s="130"/>
      <c r="R54" s="130"/>
      <c r="S54" s="130"/>
      <c r="T54" s="130"/>
      <c r="U54" s="130"/>
      <c r="V54" s="130"/>
      <c r="W54" s="130"/>
      <c r="X54" s="130"/>
      <c r="Y54" s="130"/>
      <c r="Z54" s="57" t="str">
        <f t="shared" si="126"/>
        <v/>
      </c>
      <c r="AA54" s="105"/>
      <c r="AB54" s="105"/>
      <c r="AC54" s="105"/>
      <c r="AD54" s="105"/>
      <c r="AE54" s="105"/>
      <c r="AF54" s="105"/>
      <c r="AG54" s="105"/>
      <c r="AH54" s="105"/>
      <c r="AI54" s="105"/>
      <c r="AJ54" s="105"/>
      <c r="AK54" s="105"/>
      <c r="AL54" s="105"/>
      <c r="AM54" s="105"/>
      <c r="AN54" s="105"/>
      <c r="AP54" s="65" t="str">
        <f t="shared" si="117"/>
        <v/>
      </c>
      <c r="AQ54" s="130"/>
      <c r="AR54" s="130"/>
      <c r="AS54" s="130"/>
      <c r="AT54" s="130"/>
      <c r="AU54" s="130"/>
      <c r="AV54" s="130"/>
      <c r="AW54" s="130"/>
      <c r="AX54" s="130"/>
      <c r="AY54" s="130"/>
      <c r="AZ54" s="130"/>
      <c r="BA54" s="130"/>
      <c r="BB54" s="130"/>
      <c r="BC54" s="57" t="str">
        <f t="shared" si="121"/>
        <v/>
      </c>
      <c r="BD54" s="105"/>
      <c r="BE54" s="105"/>
      <c r="BF54" s="105"/>
      <c r="BG54" s="105"/>
      <c r="BH54" s="105"/>
      <c r="BI54" s="105"/>
      <c r="BJ54" s="105"/>
      <c r="BK54" s="105"/>
      <c r="BL54" s="105"/>
      <c r="BM54" s="105"/>
      <c r="BN54" s="105"/>
      <c r="BO54" s="105"/>
      <c r="BP54" s="105"/>
      <c r="BQ54" s="105"/>
      <c r="BS54" s="65" t="str">
        <f t="shared" si="118"/>
        <v/>
      </c>
      <c r="BT54" s="130"/>
      <c r="BU54" s="130"/>
      <c r="BV54" s="130"/>
      <c r="BW54" s="130"/>
      <c r="BX54" s="130"/>
      <c r="BY54" s="130"/>
      <c r="BZ54" s="130"/>
      <c r="CA54" s="130"/>
      <c r="CB54" s="130"/>
      <c r="CC54" s="130"/>
      <c r="CD54" s="130"/>
      <c r="CE54" s="130"/>
      <c r="CF54" s="57" t="str">
        <f t="shared" si="122"/>
        <v/>
      </c>
      <c r="CG54" s="105"/>
      <c r="CH54" s="105"/>
      <c r="CI54" s="105"/>
      <c r="CJ54" s="105"/>
      <c r="CK54" s="105"/>
      <c r="CL54" s="105"/>
      <c r="CM54" s="105"/>
      <c r="CN54" s="105"/>
      <c r="CO54" s="105"/>
      <c r="CP54" s="105"/>
      <c r="CQ54" s="105"/>
      <c r="CR54" s="105"/>
      <c r="CS54" s="105"/>
      <c r="CT54" s="105"/>
      <c r="CU54" s="40"/>
      <c r="CV54" s="65" t="str">
        <f t="shared" si="119"/>
        <v/>
      </c>
      <c r="CW54" s="67" t="str">
        <f t="shared" si="123"/>
        <v/>
      </c>
      <c r="CX54" s="67" t="str">
        <f t="shared" si="124"/>
        <v/>
      </c>
      <c r="CY54" s="67" t="str">
        <f t="shared" si="125"/>
        <v/>
      </c>
    </row>
    <row r="55" spans="13:103" s="38" customFormat="1" ht="15" hidden="1" customHeight="1" x14ac:dyDescent="0.2">
      <c r="M55" s="65" t="str">
        <f t="shared" si="120"/>
        <v/>
      </c>
      <c r="N55" s="130"/>
      <c r="O55" s="130"/>
      <c r="P55" s="130"/>
      <c r="Q55" s="130"/>
      <c r="R55" s="130"/>
      <c r="S55" s="130"/>
      <c r="T55" s="130"/>
      <c r="U55" s="130"/>
      <c r="V55" s="130"/>
      <c r="W55" s="130"/>
      <c r="X55" s="130"/>
      <c r="Y55" s="130"/>
      <c r="Z55" s="57" t="str">
        <f t="shared" si="126"/>
        <v/>
      </c>
      <c r="AA55" s="105"/>
      <c r="AB55" s="105"/>
      <c r="AC55" s="105"/>
      <c r="AD55" s="105"/>
      <c r="AE55" s="105"/>
      <c r="AF55" s="105"/>
      <c r="AG55" s="105"/>
      <c r="AH55" s="105"/>
      <c r="AI55" s="105"/>
      <c r="AJ55" s="105"/>
      <c r="AK55" s="105"/>
      <c r="AL55" s="105"/>
      <c r="AM55" s="105"/>
      <c r="AN55" s="105"/>
      <c r="AP55" s="65" t="str">
        <f t="shared" si="117"/>
        <v/>
      </c>
      <c r="AQ55" s="130"/>
      <c r="AR55" s="130"/>
      <c r="AS55" s="130"/>
      <c r="AT55" s="130"/>
      <c r="AU55" s="130"/>
      <c r="AV55" s="130"/>
      <c r="AW55" s="130"/>
      <c r="AX55" s="130"/>
      <c r="AY55" s="130"/>
      <c r="AZ55" s="130"/>
      <c r="BA55" s="130"/>
      <c r="BB55" s="130"/>
      <c r="BC55" s="57" t="str">
        <f t="shared" si="121"/>
        <v/>
      </c>
      <c r="BD55" s="105"/>
      <c r="BE55" s="105"/>
      <c r="BF55" s="105"/>
      <c r="BG55" s="105"/>
      <c r="BH55" s="105"/>
      <c r="BI55" s="105"/>
      <c r="BJ55" s="105"/>
      <c r="BK55" s="105"/>
      <c r="BL55" s="105"/>
      <c r="BM55" s="105"/>
      <c r="BN55" s="105"/>
      <c r="BO55" s="105"/>
      <c r="BP55" s="105"/>
      <c r="BQ55" s="105"/>
      <c r="BS55" s="65" t="str">
        <f t="shared" si="118"/>
        <v/>
      </c>
      <c r="BT55" s="130"/>
      <c r="BU55" s="130"/>
      <c r="BV55" s="130"/>
      <c r="BW55" s="130"/>
      <c r="BX55" s="130"/>
      <c r="BY55" s="130"/>
      <c r="BZ55" s="130"/>
      <c r="CA55" s="130"/>
      <c r="CB55" s="130"/>
      <c r="CC55" s="130"/>
      <c r="CD55" s="130"/>
      <c r="CE55" s="130"/>
      <c r="CF55" s="57" t="str">
        <f t="shared" si="122"/>
        <v/>
      </c>
      <c r="CG55" s="105"/>
      <c r="CH55" s="105"/>
      <c r="CI55" s="105"/>
      <c r="CJ55" s="105"/>
      <c r="CK55" s="105"/>
      <c r="CL55" s="105"/>
      <c r="CM55" s="105"/>
      <c r="CN55" s="105"/>
      <c r="CO55" s="105"/>
      <c r="CP55" s="105"/>
      <c r="CQ55" s="105"/>
      <c r="CR55" s="105"/>
      <c r="CS55" s="105"/>
      <c r="CT55" s="105"/>
      <c r="CU55" s="40"/>
      <c r="CV55" s="65" t="str">
        <f t="shared" si="119"/>
        <v/>
      </c>
      <c r="CW55" s="67" t="str">
        <f t="shared" si="123"/>
        <v/>
      </c>
      <c r="CX55" s="67" t="str">
        <f t="shared" si="124"/>
        <v/>
      </c>
      <c r="CY55" s="67" t="str">
        <f t="shared" si="125"/>
        <v/>
      </c>
    </row>
    <row r="56" spans="13:103" s="38" customFormat="1" ht="15" hidden="1" customHeight="1" x14ac:dyDescent="0.2">
      <c r="M56" s="65" t="str">
        <f t="shared" si="120"/>
        <v/>
      </c>
      <c r="N56" s="130"/>
      <c r="O56" s="130"/>
      <c r="P56" s="130"/>
      <c r="Q56" s="130"/>
      <c r="R56" s="130"/>
      <c r="S56" s="130"/>
      <c r="T56" s="130"/>
      <c r="U56" s="130"/>
      <c r="V56" s="130"/>
      <c r="W56" s="130"/>
      <c r="X56" s="130"/>
      <c r="Y56" s="130"/>
      <c r="Z56" s="57" t="str">
        <f t="shared" si="126"/>
        <v/>
      </c>
      <c r="AA56" s="105"/>
      <c r="AB56" s="105"/>
      <c r="AC56" s="105"/>
      <c r="AD56" s="105"/>
      <c r="AE56" s="105"/>
      <c r="AF56" s="105"/>
      <c r="AG56" s="105"/>
      <c r="AH56" s="105"/>
      <c r="AI56" s="105"/>
      <c r="AJ56" s="105"/>
      <c r="AK56" s="105"/>
      <c r="AL56" s="105"/>
      <c r="AM56" s="105"/>
      <c r="AN56" s="105"/>
      <c r="AP56" s="65" t="str">
        <f t="shared" si="117"/>
        <v/>
      </c>
      <c r="AQ56" s="130"/>
      <c r="AR56" s="130"/>
      <c r="AS56" s="130"/>
      <c r="AT56" s="130"/>
      <c r="AU56" s="130"/>
      <c r="AV56" s="130"/>
      <c r="AW56" s="130"/>
      <c r="AX56" s="130"/>
      <c r="AY56" s="130"/>
      <c r="AZ56" s="130"/>
      <c r="BA56" s="130"/>
      <c r="BB56" s="130"/>
      <c r="BC56" s="57" t="str">
        <f t="shared" si="121"/>
        <v/>
      </c>
      <c r="BD56" s="105"/>
      <c r="BE56" s="105"/>
      <c r="BF56" s="105"/>
      <c r="BG56" s="105"/>
      <c r="BH56" s="105"/>
      <c r="BI56" s="105"/>
      <c r="BJ56" s="105"/>
      <c r="BK56" s="105"/>
      <c r="BL56" s="105"/>
      <c r="BM56" s="105"/>
      <c r="BN56" s="105"/>
      <c r="BO56" s="105"/>
      <c r="BP56" s="105"/>
      <c r="BQ56" s="105"/>
      <c r="BS56" s="65" t="str">
        <f t="shared" si="118"/>
        <v/>
      </c>
      <c r="BT56" s="130"/>
      <c r="BU56" s="130"/>
      <c r="BV56" s="130"/>
      <c r="BW56" s="130"/>
      <c r="BX56" s="130"/>
      <c r="BY56" s="130"/>
      <c r="BZ56" s="130"/>
      <c r="CA56" s="130"/>
      <c r="CB56" s="130"/>
      <c r="CC56" s="130"/>
      <c r="CD56" s="130"/>
      <c r="CE56" s="130"/>
      <c r="CF56" s="57" t="str">
        <f t="shared" si="122"/>
        <v/>
      </c>
      <c r="CG56" s="105"/>
      <c r="CH56" s="105"/>
      <c r="CI56" s="105"/>
      <c r="CJ56" s="105"/>
      <c r="CK56" s="105"/>
      <c r="CL56" s="105"/>
      <c r="CM56" s="105"/>
      <c r="CN56" s="105"/>
      <c r="CO56" s="105"/>
      <c r="CP56" s="105"/>
      <c r="CQ56" s="105"/>
      <c r="CR56" s="105"/>
      <c r="CS56" s="105"/>
      <c r="CT56" s="105"/>
      <c r="CU56" s="40"/>
      <c r="CV56" s="65" t="str">
        <f t="shared" si="119"/>
        <v/>
      </c>
      <c r="CW56" s="67" t="str">
        <f t="shared" si="123"/>
        <v/>
      </c>
      <c r="CX56" s="67" t="str">
        <f t="shared" si="124"/>
        <v/>
      </c>
      <c r="CY56" s="67" t="str">
        <f t="shared" si="125"/>
        <v/>
      </c>
    </row>
    <row r="57" spans="13:103" s="38" customFormat="1" ht="15" hidden="1" customHeight="1" x14ac:dyDescent="0.2">
      <c r="M57" s="65" t="str">
        <f t="shared" si="120"/>
        <v/>
      </c>
      <c r="N57" s="130"/>
      <c r="O57" s="130"/>
      <c r="P57" s="130"/>
      <c r="Q57" s="130"/>
      <c r="R57" s="130"/>
      <c r="S57" s="130"/>
      <c r="T57" s="130"/>
      <c r="U57" s="130"/>
      <c r="V57" s="130"/>
      <c r="W57" s="130"/>
      <c r="X57" s="130"/>
      <c r="Y57" s="130"/>
      <c r="Z57" s="57" t="str">
        <f t="shared" si="126"/>
        <v/>
      </c>
      <c r="AA57" s="105"/>
      <c r="AB57" s="105"/>
      <c r="AC57" s="105"/>
      <c r="AD57" s="105"/>
      <c r="AE57" s="105"/>
      <c r="AF57" s="105"/>
      <c r="AG57" s="105"/>
      <c r="AH57" s="105"/>
      <c r="AI57" s="105"/>
      <c r="AJ57" s="105"/>
      <c r="AK57" s="105"/>
      <c r="AL57" s="105"/>
      <c r="AM57" s="105"/>
      <c r="AN57" s="105"/>
      <c r="AP57" s="65" t="str">
        <f t="shared" si="117"/>
        <v/>
      </c>
      <c r="AQ57" s="130"/>
      <c r="AR57" s="130"/>
      <c r="AS57" s="130"/>
      <c r="AT57" s="130"/>
      <c r="AU57" s="130"/>
      <c r="AV57" s="130"/>
      <c r="AW57" s="130"/>
      <c r="AX57" s="130"/>
      <c r="AY57" s="130"/>
      <c r="AZ57" s="130"/>
      <c r="BA57" s="130"/>
      <c r="BB57" s="130"/>
      <c r="BC57" s="57" t="str">
        <f t="shared" si="121"/>
        <v/>
      </c>
      <c r="BD57" s="105"/>
      <c r="BE57" s="105"/>
      <c r="BF57" s="105"/>
      <c r="BG57" s="105"/>
      <c r="BH57" s="105"/>
      <c r="BI57" s="105"/>
      <c r="BJ57" s="105"/>
      <c r="BK57" s="105"/>
      <c r="BL57" s="105"/>
      <c r="BM57" s="105"/>
      <c r="BN57" s="105"/>
      <c r="BO57" s="105"/>
      <c r="BP57" s="105"/>
      <c r="BQ57" s="105"/>
      <c r="BS57" s="65" t="str">
        <f t="shared" si="118"/>
        <v/>
      </c>
      <c r="BT57" s="130"/>
      <c r="BU57" s="130"/>
      <c r="BV57" s="130"/>
      <c r="BW57" s="130"/>
      <c r="BX57" s="130"/>
      <c r="BY57" s="130"/>
      <c r="BZ57" s="130"/>
      <c r="CA57" s="130"/>
      <c r="CB57" s="130"/>
      <c r="CC57" s="130"/>
      <c r="CD57" s="130"/>
      <c r="CE57" s="130"/>
      <c r="CF57" s="57" t="str">
        <f t="shared" si="122"/>
        <v/>
      </c>
      <c r="CG57" s="105"/>
      <c r="CH57" s="105"/>
      <c r="CI57" s="105"/>
      <c r="CJ57" s="105"/>
      <c r="CK57" s="105"/>
      <c r="CL57" s="105"/>
      <c r="CM57" s="105"/>
      <c r="CN57" s="105"/>
      <c r="CO57" s="105"/>
      <c r="CP57" s="105"/>
      <c r="CQ57" s="105"/>
      <c r="CR57" s="105"/>
      <c r="CS57" s="105"/>
      <c r="CT57" s="105"/>
      <c r="CU57" s="40"/>
      <c r="CV57" s="65" t="str">
        <f t="shared" si="119"/>
        <v/>
      </c>
      <c r="CW57" s="67" t="str">
        <f t="shared" si="123"/>
        <v/>
      </c>
      <c r="CX57" s="67" t="str">
        <f t="shared" si="124"/>
        <v/>
      </c>
      <c r="CY57" s="67" t="str">
        <f t="shared" si="125"/>
        <v/>
      </c>
    </row>
    <row r="58" spans="13:103" s="38" customFormat="1" ht="15" hidden="1" customHeight="1" x14ac:dyDescent="0.2">
      <c r="M58" s="65" t="str">
        <f t="shared" si="120"/>
        <v/>
      </c>
      <c r="N58" s="130"/>
      <c r="O58" s="130"/>
      <c r="P58" s="130"/>
      <c r="Q58" s="130"/>
      <c r="R58" s="130"/>
      <c r="S58" s="130"/>
      <c r="T58" s="130"/>
      <c r="U58" s="130"/>
      <c r="V58" s="130"/>
      <c r="W58" s="130"/>
      <c r="X58" s="130"/>
      <c r="Y58" s="130"/>
      <c r="Z58" s="57" t="str">
        <f t="shared" si="126"/>
        <v/>
      </c>
      <c r="AA58" s="105"/>
      <c r="AB58" s="105"/>
      <c r="AC58" s="105"/>
      <c r="AD58" s="105"/>
      <c r="AE58" s="105"/>
      <c r="AF58" s="105"/>
      <c r="AG58" s="105"/>
      <c r="AH58" s="105"/>
      <c r="AI58" s="105"/>
      <c r="AJ58" s="105"/>
      <c r="AK58" s="105"/>
      <c r="AL58" s="105"/>
      <c r="AM58" s="105"/>
      <c r="AN58" s="105"/>
      <c r="AP58" s="65" t="str">
        <f t="shared" si="117"/>
        <v/>
      </c>
      <c r="AQ58" s="130"/>
      <c r="AR58" s="130"/>
      <c r="AS58" s="130"/>
      <c r="AT58" s="130"/>
      <c r="AU58" s="130"/>
      <c r="AV58" s="130"/>
      <c r="AW58" s="130"/>
      <c r="AX58" s="130"/>
      <c r="AY58" s="130"/>
      <c r="AZ58" s="130"/>
      <c r="BA58" s="130"/>
      <c r="BB58" s="130"/>
      <c r="BC58" s="57" t="str">
        <f t="shared" si="121"/>
        <v/>
      </c>
      <c r="BD58" s="105"/>
      <c r="BE58" s="105"/>
      <c r="BF58" s="105"/>
      <c r="BG58" s="105"/>
      <c r="BH58" s="105"/>
      <c r="BI58" s="105"/>
      <c r="BJ58" s="105"/>
      <c r="BK58" s="105"/>
      <c r="BL58" s="105"/>
      <c r="BM58" s="105"/>
      <c r="BN58" s="105"/>
      <c r="BO58" s="105"/>
      <c r="BP58" s="105"/>
      <c r="BQ58" s="105"/>
      <c r="BS58" s="65" t="str">
        <f t="shared" si="118"/>
        <v/>
      </c>
      <c r="BT58" s="130"/>
      <c r="BU58" s="130"/>
      <c r="BV58" s="130"/>
      <c r="BW58" s="130"/>
      <c r="BX58" s="130"/>
      <c r="BY58" s="130"/>
      <c r="BZ58" s="130"/>
      <c r="CA58" s="130"/>
      <c r="CB58" s="130"/>
      <c r="CC58" s="130"/>
      <c r="CD58" s="130"/>
      <c r="CE58" s="130"/>
      <c r="CF58" s="57" t="str">
        <f t="shared" si="122"/>
        <v/>
      </c>
      <c r="CG58" s="105"/>
      <c r="CH58" s="105"/>
      <c r="CI58" s="105"/>
      <c r="CJ58" s="105"/>
      <c r="CK58" s="105"/>
      <c r="CL58" s="105"/>
      <c r="CM58" s="105"/>
      <c r="CN58" s="105"/>
      <c r="CO58" s="105"/>
      <c r="CP58" s="105"/>
      <c r="CQ58" s="105"/>
      <c r="CR58" s="105"/>
      <c r="CS58" s="105"/>
      <c r="CT58" s="105"/>
      <c r="CU58" s="40"/>
      <c r="CV58" s="65" t="str">
        <f t="shared" si="119"/>
        <v/>
      </c>
      <c r="CW58" s="67" t="str">
        <f t="shared" si="123"/>
        <v/>
      </c>
      <c r="CX58" s="67" t="str">
        <f t="shared" si="124"/>
        <v/>
      </c>
      <c r="CY58" s="67" t="str">
        <f t="shared" si="125"/>
        <v/>
      </c>
    </row>
    <row r="59" spans="13:103" s="38" customFormat="1" ht="9.6" customHeight="1" x14ac:dyDescent="0.2">
      <c r="Z59" s="40"/>
      <c r="AA59" s="103"/>
      <c r="AB59" s="103"/>
      <c r="AC59" s="103"/>
      <c r="AD59" s="103"/>
      <c r="AE59" s="103"/>
      <c r="AF59" s="103"/>
      <c r="AG59" s="103"/>
      <c r="AH59" s="103"/>
      <c r="AI59" s="103"/>
      <c r="AJ59" s="103"/>
      <c r="AK59" s="103"/>
      <c r="AL59" s="103"/>
      <c r="AM59" s="103"/>
      <c r="AN59" s="103"/>
      <c r="BC59" s="40"/>
      <c r="BD59" s="103"/>
      <c r="BE59" s="103"/>
      <c r="BF59" s="103"/>
      <c r="BG59" s="103"/>
      <c r="BH59" s="103"/>
      <c r="BI59" s="103"/>
      <c r="BJ59" s="103"/>
      <c r="BK59" s="103"/>
      <c r="BL59" s="103"/>
      <c r="BM59" s="103"/>
      <c r="BN59" s="103"/>
      <c r="BO59" s="103"/>
      <c r="BP59" s="103"/>
      <c r="BQ59" s="103"/>
      <c r="CF59" s="40"/>
      <c r="CG59" s="103"/>
      <c r="CH59" s="103"/>
      <c r="CI59" s="103"/>
      <c r="CJ59" s="103"/>
      <c r="CK59" s="103"/>
      <c r="CL59" s="103"/>
      <c r="CM59" s="103"/>
      <c r="CN59" s="103"/>
      <c r="CO59" s="103"/>
      <c r="CP59" s="103"/>
      <c r="CQ59" s="103"/>
      <c r="CR59" s="103"/>
      <c r="CS59" s="103"/>
      <c r="CT59" s="103"/>
      <c r="CW59" s="40"/>
      <c r="CX59" s="40"/>
      <c r="CY59" s="40"/>
    </row>
    <row r="60" spans="13:103" s="38" customFormat="1" ht="15" customHeight="1" x14ac:dyDescent="0.2">
      <c r="M60" s="41" t="s">
        <v>64</v>
      </c>
      <c r="Z60" s="42" t="s">
        <v>34</v>
      </c>
      <c r="AA60" s="104"/>
      <c r="AB60" s="104"/>
      <c r="AC60" s="104"/>
      <c r="AD60" s="104"/>
      <c r="AE60" s="104"/>
      <c r="AF60" s="104"/>
      <c r="AG60" s="104"/>
      <c r="AH60" s="104"/>
      <c r="AI60" s="104"/>
      <c r="AJ60" s="104"/>
      <c r="AK60" s="104"/>
      <c r="AL60" s="104"/>
      <c r="AM60" s="104"/>
      <c r="AN60" s="104"/>
      <c r="AP60" s="41" t="s">
        <v>63</v>
      </c>
      <c r="BC60" s="42" t="s">
        <v>34</v>
      </c>
      <c r="BD60" s="104"/>
      <c r="BE60" s="104"/>
      <c r="BF60" s="104"/>
      <c r="BG60" s="104"/>
      <c r="BH60" s="104"/>
      <c r="BI60" s="104"/>
      <c r="BJ60" s="104"/>
      <c r="BK60" s="104"/>
      <c r="BL60" s="104"/>
      <c r="BM60" s="104"/>
      <c r="BN60" s="104"/>
      <c r="BO60" s="104"/>
      <c r="BP60" s="104"/>
      <c r="BQ60" s="104"/>
      <c r="BS60" s="41" t="s">
        <v>63</v>
      </c>
      <c r="CF60" s="42" t="s">
        <v>34</v>
      </c>
      <c r="CG60" s="104"/>
      <c r="CH60" s="104"/>
      <c r="CI60" s="104"/>
      <c r="CJ60" s="104"/>
      <c r="CK60" s="104"/>
      <c r="CL60" s="104"/>
      <c r="CM60" s="104"/>
      <c r="CN60" s="104"/>
      <c r="CO60" s="104"/>
      <c r="CP60" s="104"/>
      <c r="CQ60" s="104"/>
      <c r="CR60" s="104"/>
      <c r="CS60" s="104"/>
      <c r="CT60" s="104"/>
      <c r="CV60" s="41" t="s">
        <v>33</v>
      </c>
      <c r="CW60" s="40" t="s">
        <v>22</v>
      </c>
      <c r="CX60" s="40" t="s">
        <v>22</v>
      </c>
      <c r="CY60" s="40" t="s">
        <v>22</v>
      </c>
    </row>
    <row r="61" spans="13:103" s="38" customFormat="1" ht="15" customHeight="1" x14ac:dyDescent="0.2">
      <c r="M61" s="82" t="str">
        <f>IF(M7=0,"",M7)</f>
        <v>Product 1</v>
      </c>
      <c r="N61" s="74">
        <v>0</v>
      </c>
      <c r="O61" s="74">
        <f t="shared" ref="O61:Y61" si="127">IFERROR(IF($M61="","",(O7/N7)-1),"")</f>
        <v>5.0000000000000044E-2</v>
      </c>
      <c r="P61" s="74">
        <f t="shared" si="127"/>
        <v>4.7619047619047672E-2</v>
      </c>
      <c r="Q61" s="74">
        <f t="shared" si="127"/>
        <v>4.5454545454545414E-2</v>
      </c>
      <c r="R61" s="74">
        <f t="shared" si="127"/>
        <v>-4.3478260869565188E-2</v>
      </c>
      <c r="S61" s="74">
        <f t="shared" si="127"/>
        <v>-4.5454545454545414E-2</v>
      </c>
      <c r="T61" s="74">
        <f t="shared" si="127"/>
        <v>0</v>
      </c>
      <c r="U61" s="74">
        <f t="shared" si="127"/>
        <v>4.7619047619047672E-2</v>
      </c>
      <c r="V61" s="74">
        <f t="shared" si="127"/>
        <v>4.5454545454545414E-2</v>
      </c>
      <c r="W61" s="74">
        <f t="shared" si="127"/>
        <v>4.3478260869565188E-2</v>
      </c>
      <c r="X61" s="74">
        <f t="shared" si="127"/>
        <v>8.3333333333333259E-2</v>
      </c>
      <c r="Y61" s="74">
        <f t="shared" si="127"/>
        <v>0</v>
      </c>
      <c r="Z61" s="90">
        <f t="shared" ref="Z61:Z63" si="128">IFERROR(IF($M61="","",AVERAGE(N61:Y61)),"")</f>
        <v>2.2835497835497837E-2</v>
      </c>
      <c r="AA61" s="106"/>
      <c r="AB61" s="118" t="str">
        <f>AB7</f>
        <v>Product 2</v>
      </c>
      <c r="AC61" s="119">
        <f>INDEX(N$61:N$85,MATCH($AB61,$M$61:$M$85,0))</f>
        <v>0</v>
      </c>
      <c r="AD61" s="119">
        <f t="shared" ref="AD61:AN61" si="129">INDEX(O$61:O$85,MATCH($AB61,$M$61:$M$85,0))</f>
        <v>-0.33333333333333337</v>
      </c>
      <c r="AE61" s="119">
        <f t="shared" si="129"/>
        <v>0</v>
      </c>
      <c r="AF61" s="119">
        <f t="shared" si="129"/>
        <v>0.25</v>
      </c>
      <c r="AG61" s="119">
        <f t="shared" si="129"/>
        <v>0</v>
      </c>
      <c r="AH61" s="119">
        <f t="shared" si="129"/>
        <v>0.19999999999999996</v>
      </c>
      <c r="AI61" s="119">
        <f t="shared" si="129"/>
        <v>0</v>
      </c>
      <c r="AJ61" s="119">
        <f t="shared" si="129"/>
        <v>0.16666666666666674</v>
      </c>
      <c r="AK61" s="119">
        <f t="shared" si="129"/>
        <v>0.14285714285714279</v>
      </c>
      <c r="AL61" s="119">
        <f t="shared" si="129"/>
        <v>0.25</v>
      </c>
      <c r="AM61" s="119">
        <f t="shared" si="129"/>
        <v>0.19999999999999996</v>
      </c>
      <c r="AN61" s="119">
        <f t="shared" si="129"/>
        <v>0</v>
      </c>
      <c r="AP61" s="65" t="str">
        <f t="shared" ref="AP61:AP85" si="130">IF(M7=0,"",M7)</f>
        <v>Product 1</v>
      </c>
      <c r="AQ61" s="132">
        <v>-3.8461538461538436E-2</v>
      </c>
      <c r="AR61" s="133">
        <v>-4.0000000000000036E-2</v>
      </c>
      <c r="AS61" s="133">
        <v>-4.166666666666663E-2</v>
      </c>
      <c r="AT61" s="133">
        <v>-4.3478260869565188E-2</v>
      </c>
      <c r="AU61" s="133">
        <v>4.5454545454545414E-2</v>
      </c>
      <c r="AV61" s="133">
        <v>4.3478260869565188E-2</v>
      </c>
      <c r="AW61" s="133">
        <v>0</v>
      </c>
      <c r="AX61" s="133">
        <v>4.1666666666666741E-2</v>
      </c>
      <c r="AY61" s="133">
        <v>4.0000000000000036E-2</v>
      </c>
      <c r="AZ61" s="133">
        <v>3.8461538461538547E-2</v>
      </c>
      <c r="BA61" s="133">
        <v>3.7037037037036979E-2</v>
      </c>
      <c r="BB61" s="133">
        <v>3.5714285714285809E-2</v>
      </c>
      <c r="BC61" s="90">
        <f>IFERROR(IF($M61="","",AVERAGE(AQ61:BB61)),"")</f>
        <v>9.8504890171557027E-3</v>
      </c>
      <c r="BD61" s="106"/>
      <c r="BE61" s="118" t="str">
        <f>BE7</f>
        <v>Product 2</v>
      </c>
      <c r="BF61" s="119">
        <f>INDEX(AQ$61:AQ$85,MATCH($BE61,$AP$61:$AP$85,0))</f>
        <v>-0.33333333333333337</v>
      </c>
      <c r="BG61" s="119">
        <f t="shared" ref="BG61:BQ61" si="131">INDEX(AR$61:AR$85,MATCH($BE61,$AP$61:$AP$85,0))</f>
        <v>-0.25</v>
      </c>
      <c r="BH61" s="119">
        <f t="shared" si="131"/>
        <v>0</v>
      </c>
      <c r="BI61" s="119">
        <f t="shared" si="131"/>
        <v>0.16666666666666674</v>
      </c>
      <c r="BJ61" s="119">
        <f t="shared" si="131"/>
        <v>0</v>
      </c>
      <c r="BK61" s="119">
        <f t="shared" si="131"/>
        <v>0.14285714285714279</v>
      </c>
      <c r="BL61" s="119">
        <f t="shared" si="131"/>
        <v>0</v>
      </c>
      <c r="BM61" s="119">
        <f t="shared" si="131"/>
        <v>0.125</v>
      </c>
      <c r="BN61" s="119">
        <f t="shared" si="131"/>
        <v>0.11111111111111116</v>
      </c>
      <c r="BO61" s="119">
        <f t="shared" si="131"/>
        <v>0.19999999999999996</v>
      </c>
      <c r="BP61" s="119">
        <f t="shared" si="131"/>
        <v>0.16666666666666674</v>
      </c>
      <c r="BQ61" s="119">
        <f t="shared" si="131"/>
        <v>0</v>
      </c>
      <c r="BS61" s="65" t="str">
        <f t="shared" ref="BS61:BS85" si="132">IF(M7=0,"",M7)</f>
        <v>Product 1</v>
      </c>
      <c r="BT61" s="132">
        <v>3.4482758620689724E-2</v>
      </c>
      <c r="BU61" s="133">
        <v>-6.6666666666666652E-2</v>
      </c>
      <c r="BV61" s="133">
        <v>-7.1428571428571397E-2</v>
      </c>
      <c r="BW61" s="133">
        <v>0</v>
      </c>
      <c r="BX61" s="133">
        <v>3.8461538461538547E-2</v>
      </c>
      <c r="BY61" s="133">
        <v>3.7037037037036979E-2</v>
      </c>
      <c r="BZ61" s="133">
        <v>0</v>
      </c>
      <c r="CA61" s="133">
        <v>3.5714285714285809E-2</v>
      </c>
      <c r="CB61" s="133">
        <v>3.4482758620689724E-2</v>
      </c>
      <c r="CC61" s="133">
        <v>6.6666666666666652E-2</v>
      </c>
      <c r="CD61" s="133">
        <v>6.25E-2</v>
      </c>
      <c r="CE61" s="133">
        <v>5.8823529411764719E-2</v>
      </c>
      <c r="CF61" s="90">
        <f>IFERROR(IF($M61="","",AVERAGE(BT61:CE61)),"")</f>
        <v>1.9172778036452842E-2</v>
      </c>
      <c r="CG61" s="106"/>
      <c r="CH61" s="118" t="str">
        <f>CH7</f>
        <v>Product 2</v>
      </c>
      <c r="CI61" s="119">
        <f>INDEX(BT$61:BT$85,MATCH($CH61,$BS$61:$BS$85,0))</f>
        <v>-0.1428571428571429</v>
      </c>
      <c r="CJ61" s="119">
        <f t="shared" ref="CJ61:CT61" si="133">INDEX(BU$61:BU$85,MATCH($CH61,$BS$61:$BS$85,0))</f>
        <v>-0.33333333333333337</v>
      </c>
      <c r="CK61" s="119">
        <f t="shared" si="133"/>
        <v>0</v>
      </c>
      <c r="CL61" s="119">
        <f t="shared" si="133"/>
        <v>0.125</v>
      </c>
      <c r="CM61" s="119">
        <f t="shared" si="133"/>
        <v>0</v>
      </c>
      <c r="CN61" s="119">
        <f t="shared" si="133"/>
        <v>0.11111111111111116</v>
      </c>
      <c r="CO61" s="119">
        <f t="shared" si="133"/>
        <v>0</v>
      </c>
      <c r="CP61" s="119">
        <f t="shared" si="133"/>
        <v>0.10000000000000009</v>
      </c>
      <c r="CQ61" s="119">
        <f t="shared" si="133"/>
        <v>9.0909090909090828E-2</v>
      </c>
      <c r="CR61" s="119">
        <f t="shared" si="133"/>
        <v>0.16666666666666674</v>
      </c>
      <c r="CS61" s="119">
        <f t="shared" si="133"/>
        <v>0.14285714285714279</v>
      </c>
      <c r="CT61" s="119">
        <f t="shared" si="133"/>
        <v>0</v>
      </c>
      <c r="CV61" s="65" t="str">
        <f t="shared" ref="CV61:CV85" si="134">IF(M7=0,"",M7)</f>
        <v>Product 1</v>
      </c>
      <c r="CW61" s="68">
        <f>IFERROR(IF(M61="","",BC61-Z61),"")</f>
        <v>-1.2985008818342135E-2</v>
      </c>
      <c r="CX61" s="68">
        <f>IFERROR(IF(M61="","",CF61-Z61),"")</f>
        <v>-3.6627197990449951E-3</v>
      </c>
      <c r="CY61" s="68">
        <f>IFERROR(IF(M61="","",CF61-BC61),"")</f>
        <v>9.3222890192971395E-3</v>
      </c>
    </row>
    <row r="62" spans="13:103" s="38" customFormat="1" ht="15" customHeight="1" x14ac:dyDescent="0.2">
      <c r="M62" s="82" t="str">
        <f t="shared" ref="M62:M85" si="135">IF(M8=0,"",M8)</f>
        <v>Product 2</v>
      </c>
      <c r="N62" s="74">
        <v>0</v>
      </c>
      <c r="O62" s="74">
        <f t="shared" ref="O62:Y62" si="136">IFERROR(IF($M62="","",(O8/N8)-1),"")</f>
        <v>-0.33333333333333337</v>
      </c>
      <c r="P62" s="74">
        <f t="shared" si="136"/>
        <v>0</v>
      </c>
      <c r="Q62" s="74">
        <f t="shared" si="136"/>
        <v>0.25</v>
      </c>
      <c r="R62" s="74">
        <f t="shared" si="136"/>
        <v>0</v>
      </c>
      <c r="S62" s="74">
        <f t="shared" si="136"/>
        <v>0.19999999999999996</v>
      </c>
      <c r="T62" s="74">
        <f t="shared" si="136"/>
        <v>0</v>
      </c>
      <c r="U62" s="74">
        <f t="shared" si="136"/>
        <v>0.16666666666666674</v>
      </c>
      <c r="V62" s="74">
        <f t="shared" si="136"/>
        <v>0.14285714285714279</v>
      </c>
      <c r="W62" s="74">
        <f t="shared" si="136"/>
        <v>0.25</v>
      </c>
      <c r="X62" s="74">
        <f t="shared" si="136"/>
        <v>0.19999999999999996</v>
      </c>
      <c r="Y62" s="74">
        <f t="shared" si="136"/>
        <v>0</v>
      </c>
      <c r="Z62" s="90">
        <f t="shared" si="128"/>
        <v>7.3015873015873006E-2</v>
      </c>
      <c r="AA62" s="106"/>
      <c r="AB62" s="118" t="str">
        <f t="shared" ref="AB62:AB63" si="137">AB8</f>
        <v>Product 3</v>
      </c>
      <c r="AC62" s="119">
        <f t="shared" ref="AC62:AC63" si="138">INDEX(N$61:N$85,MATCH($AB62,$M$61:$M$85,0))</f>
        <v>0</v>
      </c>
      <c r="AD62" s="119">
        <f t="shared" ref="AD62:AD63" si="139">INDEX(O$61:O$85,MATCH($AB62,$M$61:$M$85,0))</f>
        <v>0.33333333333333326</v>
      </c>
      <c r="AE62" s="119">
        <f t="shared" ref="AE62:AE63" si="140">INDEX(P$61:P$85,MATCH($AB62,$M$61:$M$85,0))</f>
        <v>0.25</v>
      </c>
      <c r="AF62" s="119">
        <f t="shared" ref="AF62:AF63" si="141">INDEX(Q$61:Q$85,MATCH($AB62,$M$61:$M$85,0))</f>
        <v>0.19999999999999996</v>
      </c>
      <c r="AG62" s="119">
        <f t="shared" ref="AG62:AG63" si="142">INDEX(R$61:R$85,MATCH($AB62,$M$61:$M$85,0))</f>
        <v>0.16666666666666674</v>
      </c>
      <c r="AH62" s="119">
        <f t="shared" ref="AH62:AH63" si="143">INDEX(S$61:S$85,MATCH($AB62,$M$61:$M$85,0))</f>
        <v>0.14285714285714279</v>
      </c>
      <c r="AI62" s="119">
        <f t="shared" ref="AI62:AI63" si="144">INDEX(T$61:T$85,MATCH($AB62,$M$61:$M$85,0))</f>
        <v>0</v>
      </c>
      <c r="AJ62" s="119">
        <f t="shared" ref="AJ62:AJ63" si="145">INDEX(U$61:U$85,MATCH($AB62,$M$61:$M$85,0))</f>
        <v>-0.125</v>
      </c>
      <c r="AK62" s="119">
        <f t="shared" ref="AK62:AK63" si="146">INDEX(V$61:V$85,MATCH($AB62,$M$61:$M$85,0))</f>
        <v>0</v>
      </c>
      <c r="AL62" s="119">
        <f t="shared" ref="AL62:AL63" si="147">INDEX(W$61:W$85,MATCH($AB62,$M$61:$M$85,0))</f>
        <v>-0.1428571428571429</v>
      </c>
      <c r="AM62" s="119">
        <f t="shared" ref="AM62:AM63" si="148">INDEX(X$61:X$85,MATCH($AB62,$M$61:$M$85,0))</f>
        <v>0</v>
      </c>
      <c r="AN62" s="119">
        <f t="shared" ref="AN62:AN63" si="149">INDEX(Y$61:Y$85,MATCH($AB62,$M$61:$M$85,0))</f>
        <v>0</v>
      </c>
      <c r="AP62" s="65" t="str">
        <f t="shared" si="130"/>
        <v>Product 2</v>
      </c>
      <c r="AQ62" s="132">
        <v>-0.33333333333333337</v>
      </c>
      <c r="AR62" s="133">
        <v>-0.25</v>
      </c>
      <c r="AS62" s="133">
        <v>0</v>
      </c>
      <c r="AT62" s="133">
        <v>0.16666666666666674</v>
      </c>
      <c r="AU62" s="133">
        <v>0</v>
      </c>
      <c r="AV62" s="133">
        <v>0.14285714285714279</v>
      </c>
      <c r="AW62" s="133">
        <v>0</v>
      </c>
      <c r="AX62" s="133">
        <v>0.125</v>
      </c>
      <c r="AY62" s="133">
        <v>0.11111111111111116</v>
      </c>
      <c r="AZ62" s="133">
        <v>0.19999999999999996</v>
      </c>
      <c r="BA62" s="133">
        <v>0.16666666666666674</v>
      </c>
      <c r="BB62" s="133">
        <v>0</v>
      </c>
      <c r="BC62" s="90">
        <f t="shared" ref="BC62:BC85" si="150">IFERROR(IF($M62="","",AVERAGE(AQ62:BB62)),"")</f>
        <v>2.7414021164021168E-2</v>
      </c>
      <c r="BD62" s="106"/>
      <c r="BE62" s="118" t="str">
        <f t="shared" ref="BE62:BE63" si="151">BE8</f>
        <v>Product 3</v>
      </c>
      <c r="BF62" s="119">
        <f t="shared" ref="BF62:BF63" si="152">INDEX(AQ$61:AQ$85,MATCH($BE62,$AP$61:$AP$85,0))</f>
        <v>0</v>
      </c>
      <c r="BG62" s="119">
        <f t="shared" ref="BG62:BG63" si="153">INDEX(AR$61:AR$85,MATCH($BE62,$AP$61:$AP$85,0))</f>
        <v>-0.16666666666666663</v>
      </c>
      <c r="BH62" s="119">
        <f t="shared" ref="BH62:BH63" si="154">INDEX(AS$61:AS$85,MATCH($BE62,$AP$61:$AP$85,0))</f>
        <v>0.19999999999999996</v>
      </c>
      <c r="BI62" s="119">
        <f t="shared" ref="BI62:BI63" si="155">INDEX(AT$61:AT$85,MATCH($BE62,$AP$61:$AP$85,0))</f>
        <v>0.16666666666666674</v>
      </c>
      <c r="BJ62" s="119">
        <f t="shared" ref="BJ62:BJ63" si="156">INDEX(AU$61:AU$85,MATCH($BE62,$AP$61:$AP$85,0))</f>
        <v>0.14285714285714279</v>
      </c>
      <c r="BK62" s="119">
        <f t="shared" ref="BK62:BK63" si="157">INDEX(AV$61:AV$85,MATCH($BE62,$AP$61:$AP$85,0))</f>
        <v>0.125</v>
      </c>
      <c r="BL62" s="119">
        <f t="shared" ref="BL62" si="158">INDEX(AW$61:AW$85,MATCH($BE62,$AP$61:$AP$85,0))</f>
        <v>0.11111111111111116</v>
      </c>
      <c r="BM62" s="119">
        <f t="shared" ref="BM62:BM63" si="159">INDEX(AX$61:AX$85,MATCH($BE62,$AP$61:$AP$85,0))</f>
        <v>-0.19999999999999996</v>
      </c>
      <c r="BN62" s="119">
        <f t="shared" ref="BN62:BN63" si="160">INDEX(AY$61:AY$85,MATCH($BE62,$AP$61:$AP$85,0))</f>
        <v>0</v>
      </c>
      <c r="BO62" s="119">
        <f t="shared" ref="BO62:BO63" si="161">INDEX(AZ$61:AZ$85,MATCH($BE62,$AP$61:$AP$85,0))</f>
        <v>-0.125</v>
      </c>
      <c r="BP62" s="119">
        <f t="shared" ref="BP62:BP63" si="162">INDEX(BA$61:BA$85,MATCH($BE62,$AP$61:$AP$85,0))</f>
        <v>0</v>
      </c>
      <c r="BQ62" s="119">
        <f t="shared" ref="BQ62:BQ63" si="163">INDEX(BB$61:BB$85,MATCH($BE62,$AP$61:$AP$85,0))</f>
        <v>-7.1428571428571397E-2</v>
      </c>
      <c r="BS62" s="65" t="str">
        <f t="shared" si="132"/>
        <v>Product 2</v>
      </c>
      <c r="BT62" s="132">
        <v>-0.1428571428571429</v>
      </c>
      <c r="BU62" s="133">
        <v>-0.33333333333333337</v>
      </c>
      <c r="BV62" s="133">
        <v>0</v>
      </c>
      <c r="BW62" s="133">
        <v>0.125</v>
      </c>
      <c r="BX62" s="133">
        <v>0</v>
      </c>
      <c r="BY62" s="133">
        <v>0.11111111111111116</v>
      </c>
      <c r="BZ62" s="133">
        <v>0</v>
      </c>
      <c r="CA62" s="133">
        <v>0.10000000000000009</v>
      </c>
      <c r="CB62" s="133">
        <v>9.0909090909090828E-2</v>
      </c>
      <c r="CC62" s="133">
        <v>0.16666666666666674</v>
      </c>
      <c r="CD62" s="133">
        <v>0.14285714285714279</v>
      </c>
      <c r="CE62" s="133">
        <v>0</v>
      </c>
      <c r="CF62" s="90">
        <f t="shared" ref="CF62:CF85" si="164">IFERROR(IF($M62="","",AVERAGE(BT62:CE62)),"")</f>
        <v>2.1696127946127946E-2</v>
      </c>
      <c r="CG62" s="106"/>
      <c r="CH62" s="118" t="str">
        <f t="shared" ref="CH62:CH63" si="165">CH8</f>
        <v>Product 3</v>
      </c>
      <c r="CI62" s="119">
        <f t="shared" ref="CI62:CI63" si="166">INDEX(BT$61:BT$85,MATCH($CH62,$BS$61:$BS$85,0))</f>
        <v>0</v>
      </c>
      <c r="CJ62" s="119">
        <f t="shared" ref="CJ62:CJ63" si="167">INDEX(BU$61:BU$85,MATCH($CH62,$BS$61:$BS$85,0))</f>
        <v>7.6923076923076872E-2</v>
      </c>
      <c r="CK62" s="119">
        <f t="shared" ref="CK62:CK63" si="168">INDEX(BV$61:BV$85,MATCH($CH62,$BS$61:$BS$85,0))</f>
        <v>0.14285714285714279</v>
      </c>
      <c r="CL62" s="119">
        <f t="shared" ref="CL62:CL63" si="169">INDEX(BW$61:BW$85,MATCH($CH62,$BS$61:$BS$85,0))</f>
        <v>0.125</v>
      </c>
      <c r="CM62" s="119">
        <f t="shared" ref="CM62:CM63" si="170">INDEX(BX$61:BX$85,MATCH($CH62,$BS$61:$BS$85,0))</f>
        <v>0.11111111111111116</v>
      </c>
      <c r="CN62" s="119">
        <f t="shared" ref="CN62:CN63" si="171">INDEX(BY$61:BY$85,MATCH($CH62,$BS$61:$BS$85,0))</f>
        <v>0.10000000000000009</v>
      </c>
      <c r="CO62" s="119">
        <f t="shared" ref="CO62:CO63" si="172">INDEX(BZ$61:BZ$85,MATCH($CH62,$BS$61:$BS$85,0))</f>
        <v>9.0909090909090828E-2</v>
      </c>
      <c r="CP62" s="119">
        <f t="shared" ref="CP62:CP63" si="173">INDEX(CA$61:CA$85,MATCH($CH62,$BS$61:$BS$85,0))</f>
        <v>-0.16666666666666663</v>
      </c>
      <c r="CQ62" s="119">
        <f t="shared" ref="CQ62:CQ63" si="174">INDEX(CB$61:CB$85,MATCH($CH62,$BS$61:$BS$85,0))</f>
        <v>0</v>
      </c>
      <c r="CR62" s="119">
        <f t="shared" ref="CR62:CR63" si="175">INDEX(CC$61:CC$85,MATCH($CH62,$BS$61:$BS$85,0))</f>
        <v>-9.9999999999999978E-2</v>
      </c>
      <c r="CS62" s="119">
        <f t="shared" ref="CS62:CS63" si="176">INDEX(CD$61:CD$85,MATCH($CH62,$BS$61:$BS$85,0))</f>
        <v>0</v>
      </c>
      <c r="CT62" s="119">
        <f t="shared" ref="CT62:CT63" si="177">INDEX(CE$61:CE$85,MATCH($CH62,$BS$61:$BS$85,0))</f>
        <v>-5.555555555555558E-2</v>
      </c>
      <c r="CV62" s="65" t="str">
        <f t="shared" si="134"/>
        <v>Product 2</v>
      </c>
      <c r="CW62" s="68">
        <f t="shared" ref="CW62:CW85" si="178">IFERROR(IF(M62="","",BC62-Z62),"")</f>
        <v>-4.5601851851851838E-2</v>
      </c>
      <c r="CX62" s="68">
        <f t="shared" ref="CX62:CX85" si="179">IFERROR(IF(M62="","",CF62-Z62),"")</f>
        <v>-5.1319745069745057E-2</v>
      </c>
      <c r="CY62" s="68">
        <f t="shared" ref="CY62:CY85" si="180">IFERROR(IF(M62="","",CF62-BC62),"")</f>
        <v>-5.7178932178932225E-3</v>
      </c>
    </row>
    <row r="63" spans="13:103" s="38" customFormat="1" ht="15" customHeight="1" x14ac:dyDescent="0.2">
      <c r="M63" s="82" t="str">
        <f t="shared" si="135"/>
        <v>Product 3</v>
      </c>
      <c r="N63" s="74">
        <v>0</v>
      </c>
      <c r="O63" s="74">
        <f t="shared" ref="O63:Y63" si="181">IFERROR(IF($M63="","",(O9/N9)-1),"")</f>
        <v>0.33333333333333326</v>
      </c>
      <c r="P63" s="74">
        <f t="shared" si="181"/>
        <v>0.25</v>
      </c>
      <c r="Q63" s="74">
        <f t="shared" si="181"/>
        <v>0.19999999999999996</v>
      </c>
      <c r="R63" s="74">
        <f t="shared" si="181"/>
        <v>0.16666666666666674</v>
      </c>
      <c r="S63" s="74">
        <f t="shared" si="181"/>
        <v>0.14285714285714279</v>
      </c>
      <c r="T63" s="74">
        <f t="shared" si="181"/>
        <v>0</v>
      </c>
      <c r="U63" s="74">
        <f t="shared" si="181"/>
        <v>-0.125</v>
      </c>
      <c r="V63" s="74">
        <f t="shared" si="181"/>
        <v>0</v>
      </c>
      <c r="W63" s="74">
        <f t="shared" si="181"/>
        <v>-0.1428571428571429</v>
      </c>
      <c r="X63" s="74">
        <f t="shared" si="181"/>
        <v>0</v>
      </c>
      <c r="Y63" s="74">
        <f t="shared" si="181"/>
        <v>0</v>
      </c>
      <c r="Z63" s="90">
        <f t="shared" si="128"/>
        <v>6.8749999999999992E-2</v>
      </c>
      <c r="AA63" s="106"/>
      <c r="AB63" s="118" t="str">
        <f t="shared" si="137"/>
        <v>Product 1</v>
      </c>
      <c r="AC63" s="119">
        <f t="shared" si="138"/>
        <v>0</v>
      </c>
      <c r="AD63" s="119">
        <f t="shared" si="139"/>
        <v>5.0000000000000044E-2</v>
      </c>
      <c r="AE63" s="119">
        <f t="shared" si="140"/>
        <v>4.7619047619047672E-2</v>
      </c>
      <c r="AF63" s="119">
        <f t="shared" si="141"/>
        <v>4.5454545454545414E-2</v>
      </c>
      <c r="AG63" s="119">
        <f t="shared" si="142"/>
        <v>-4.3478260869565188E-2</v>
      </c>
      <c r="AH63" s="119">
        <f t="shared" si="143"/>
        <v>-4.5454545454545414E-2</v>
      </c>
      <c r="AI63" s="119">
        <f t="shared" si="144"/>
        <v>0</v>
      </c>
      <c r="AJ63" s="119">
        <f t="shared" si="145"/>
        <v>4.7619047619047672E-2</v>
      </c>
      <c r="AK63" s="119">
        <f t="shared" si="146"/>
        <v>4.5454545454545414E-2</v>
      </c>
      <c r="AL63" s="119">
        <f t="shared" si="147"/>
        <v>4.3478260869565188E-2</v>
      </c>
      <c r="AM63" s="119">
        <f t="shared" si="148"/>
        <v>8.3333333333333259E-2</v>
      </c>
      <c r="AN63" s="119">
        <f t="shared" si="149"/>
        <v>0</v>
      </c>
      <c r="AP63" s="65" t="str">
        <f t="shared" si="130"/>
        <v>Product 3</v>
      </c>
      <c r="AQ63" s="132">
        <v>0</v>
      </c>
      <c r="AR63" s="133">
        <v>-0.16666666666666663</v>
      </c>
      <c r="AS63" s="133">
        <v>0.19999999999999996</v>
      </c>
      <c r="AT63" s="133">
        <v>0.16666666666666674</v>
      </c>
      <c r="AU63" s="133">
        <v>0.14285714285714279</v>
      </c>
      <c r="AV63" s="133">
        <v>0.125</v>
      </c>
      <c r="AW63" s="133">
        <v>0.11111111111111116</v>
      </c>
      <c r="AX63" s="133">
        <v>-0.19999999999999996</v>
      </c>
      <c r="AY63" s="133">
        <v>0</v>
      </c>
      <c r="AZ63" s="133">
        <v>-0.125</v>
      </c>
      <c r="BA63" s="133">
        <v>0</v>
      </c>
      <c r="BB63" s="133">
        <v>-7.1428571428571397E-2</v>
      </c>
      <c r="BC63" s="90">
        <f t="shared" si="150"/>
        <v>1.5211640211640223E-2</v>
      </c>
      <c r="BD63" s="106"/>
      <c r="BE63" s="118" t="str">
        <f t="shared" si="151"/>
        <v>Product 1</v>
      </c>
      <c r="BF63" s="119">
        <f t="shared" si="152"/>
        <v>-3.8461538461538436E-2</v>
      </c>
      <c r="BG63" s="119">
        <f t="shared" si="153"/>
        <v>-4.0000000000000036E-2</v>
      </c>
      <c r="BH63" s="119">
        <f t="shared" si="154"/>
        <v>-4.166666666666663E-2</v>
      </c>
      <c r="BI63" s="119">
        <f t="shared" si="155"/>
        <v>-4.3478260869565188E-2</v>
      </c>
      <c r="BJ63" s="119">
        <f t="shared" si="156"/>
        <v>4.5454545454545414E-2</v>
      </c>
      <c r="BK63" s="119">
        <f t="shared" si="157"/>
        <v>4.3478260869565188E-2</v>
      </c>
      <c r="BL63" s="119">
        <f>INDEX(AW$61:AW$85,MATCH($BE63,$AP$61:$AP$85,0))</f>
        <v>0</v>
      </c>
      <c r="BM63" s="119">
        <f t="shared" si="159"/>
        <v>4.1666666666666741E-2</v>
      </c>
      <c r="BN63" s="119">
        <f t="shared" si="160"/>
        <v>4.0000000000000036E-2</v>
      </c>
      <c r="BO63" s="119">
        <f t="shared" si="161"/>
        <v>3.8461538461538547E-2</v>
      </c>
      <c r="BP63" s="119">
        <f t="shared" si="162"/>
        <v>3.7037037037036979E-2</v>
      </c>
      <c r="BQ63" s="119">
        <f t="shared" si="163"/>
        <v>3.5714285714285809E-2</v>
      </c>
      <c r="BS63" s="65" t="str">
        <f t="shared" si="132"/>
        <v>Product 3</v>
      </c>
      <c r="BT63" s="132">
        <v>0</v>
      </c>
      <c r="BU63" s="133">
        <v>7.6923076923076872E-2</v>
      </c>
      <c r="BV63" s="133">
        <v>0.14285714285714279</v>
      </c>
      <c r="BW63" s="133">
        <v>0.125</v>
      </c>
      <c r="BX63" s="133">
        <v>0.11111111111111116</v>
      </c>
      <c r="BY63" s="133">
        <v>0.10000000000000009</v>
      </c>
      <c r="BZ63" s="133">
        <v>9.0909090909090828E-2</v>
      </c>
      <c r="CA63" s="133">
        <v>-0.16666666666666663</v>
      </c>
      <c r="CB63" s="133">
        <v>0</v>
      </c>
      <c r="CC63" s="133">
        <v>-9.9999999999999978E-2</v>
      </c>
      <c r="CD63" s="133">
        <v>0</v>
      </c>
      <c r="CE63" s="133">
        <v>-5.555555555555558E-2</v>
      </c>
      <c r="CF63" s="90">
        <f t="shared" si="164"/>
        <v>2.7048183298183297E-2</v>
      </c>
      <c r="CG63" s="106"/>
      <c r="CH63" s="118" t="str">
        <f t="shared" si="165"/>
        <v>Product 1</v>
      </c>
      <c r="CI63" s="119">
        <f t="shared" si="166"/>
        <v>3.4482758620689724E-2</v>
      </c>
      <c r="CJ63" s="119">
        <f t="shared" si="167"/>
        <v>-6.6666666666666652E-2</v>
      </c>
      <c r="CK63" s="119">
        <f t="shared" si="168"/>
        <v>-7.1428571428571397E-2</v>
      </c>
      <c r="CL63" s="119">
        <f t="shared" si="169"/>
        <v>0</v>
      </c>
      <c r="CM63" s="119">
        <f t="shared" si="170"/>
        <v>3.8461538461538547E-2</v>
      </c>
      <c r="CN63" s="119">
        <f t="shared" si="171"/>
        <v>3.7037037037036979E-2</v>
      </c>
      <c r="CO63" s="119">
        <f t="shared" si="172"/>
        <v>0</v>
      </c>
      <c r="CP63" s="119">
        <f t="shared" si="173"/>
        <v>3.5714285714285809E-2</v>
      </c>
      <c r="CQ63" s="119">
        <f t="shared" si="174"/>
        <v>3.4482758620689724E-2</v>
      </c>
      <c r="CR63" s="119">
        <f t="shared" si="175"/>
        <v>6.6666666666666652E-2</v>
      </c>
      <c r="CS63" s="119">
        <f t="shared" si="176"/>
        <v>6.25E-2</v>
      </c>
      <c r="CT63" s="119">
        <f t="shared" si="177"/>
        <v>5.8823529411764719E-2</v>
      </c>
      <c r="CV63" s="65" t="str">
        <f t="shared" si="134"/>
        <v>Product 3</v>
      </c>
      <c r="CW63" s="68">
        <f t="shared" si="178"/>
        <v>-5.3538359788359767E-2</v>
      </c>
      <c r="CX63" s="68">
        <f t="shared" si="179"/>
        <v>-4.1701816701816691E-2</v>
      </c>
      <c r="CY63" s="68">
        <f t="shared" si="180"/>
        <v>1.1836543086543075E-2</v>
      </c>
    </row>
    <row r="64" spans="13:103" s="38" customFormat="1" ht="15" customHeight="1" x14ac:dyDescent="0.2">
      <c r="M64" s="82" t="str">
        <f t="shared" si="135"/>
        <v/>
      </c>
      <c r="N64" s="74" t="str">
        <f>IF(M64="","",0)</f>
        <v/>
      </c>
      <c r="O64" s="74" t="str">
        <f>IFERROR(IF($M64="","",(O10/N10)-1),"")</f>
        <v/>
      </c>
      <c r="P64" s="74" t="str">
        <f t="shared" ref="P64:Y64" si="182">IFERROR(IF($M64="","",(P10/O10)-1),"")</f>
        <v/>
      </c>
      <c r="Q64" s="74" t="str">
        <f t="shared" si="182"/>
        <v/>
      </c>
      <c r="R64" s="74" t="str">
        <f t="shared" si="182"/>
        <v/>
      </c>
      <c r="S64" s="74" t="str">
        <f t="shared" si="182"/>
        <v/>
      </c>
      <c r="T64" s="74" t="str">
        <f t="shared" si="182"/>
        <v/>
      </c>
      <c r="U64" s="74" t="str">
        <f t="shared" si="182"/>
        <v/>
      </c>
      <c r="V64" s="74" t="str">
        <f t="shared" si="182"/>
        <v/>
      </c>
      <c r="W64" s="74" t="str">
        <f t="shared" si="182"/>
        <v/>
      </c>
      <c r="X64" s="74" t="str">
        <f t="shared" si="182"/>
        <v/>
      </c>
      <c r="Y64" s="74" t="str">
        <f t="shared" si="182"/>
        <v/>
      </c>
      <c r="Z64" s="90" t="str">
        <f>IFERROR(IF($M64="","",AVERAGE(N64:Y64)),"")</f>
        <v/>
      </c>
      <c r="AA64" s="106"/>
      <c r="AB64" s="106"/>
      <c r="AC64" s="114"/>
      <c r="AD64" s="114"/>
      <c r="AE64" s="114"/>
      <c r="AF64" s="114"/>
      <c r="AG64" s="114"/>
      <c r="AH64" s="114"/>
      <c r="AI64" s="114"/>
      <c r="AJ64" s="114"/>
      <c r="AK64" s="114"/>
      <c r="AL64" s="114"/>
      <c r="AM64" s="114"/>
      <c r="AN64" s="114"/>
      <c r="AP64" s="65" t="str">
        <f t="shared" si="130"/>
        <v/>
      </c>
      <c r="AQ64" s="132"/>
      <c r="AR64" s="132"/>
      <c r="AS64" s="132"/>
      <c r="AT64" s="132"/>
      <c r="AU64" s="132"/>
      <c r="AV64" s="132"/>
      <c r="AW64" s="132"/>
      <c r="AX64" s="132"/>
      <c r="AY64" s="132"/>
      <c r="AZ64" s="132"/>
      <c r="BA64" s="132"/>
      <c r="BB64" s="132"/>
      <c r="BC64" s="90" t="str">
        <f t="shared" si="150"/>
        <v/>
      </c>
      <c r="BD64" s="106"/>
      <c r="BE64" s="106"/>
      <c r="BF64" s="114"/>
      <c r="BG64" s="114"/>
      <c r="BH64" s="114"/>
      <c r="BI64" s="114"/>
      <c r="BJ64" s="114"/>
      <c r="BK64" s="114"/>
      <c r="BL64" s="114"/>
      <c r="BM64" s="114"/>
      <c r="BN64" s="114"/>
      <c r="BO64" s="114"/>
      <c r="BP64" s="114"/>
      <c r="BQ64" s="114"/>
      <c r="BS64" s="65" t="str">
        <f t="shared" si="132"/>
        <v/>
      </c>
      <c r="BT64" s="132"/>
      <c r="BU64" s="132"/>
      <c r="BV64" s="132"/>
      <c r="BW64" s="132"/>
      <c r="BX64" s="132"/>
      <c r="BY64" s="132"/>
      <c r="BZ64" s="132"/>
      <c r="CA64" s="132"/>
      <c r="CB64" s="132"/>
      <c r="CC64" s="132"/>
      <c r="CD64" s="132"/>
      <c r="CE64" s="132"/>
      <c r="CF64" s="90" t="str">
        <f t="shared" si="164"/>
        <v/>
      </c>
      <c r="CG64" s="106"/>
      <c r="CH64" s="106"/>
      <c r="CI64" s="114"/>
      <c r="CJ64" s="114"/>
      <c r="CK64" s="114"/>
      <c r="CL64" s="114"/>
      <c r="CM64" s="114"/>
      <c r="CN64" s="114"/>
      <c r="CO64" s="114"/>
      <c r="CP64" s="114"/>
      <c r="CQ64" s="114"/>
      <c r="CR64" s="114"/>
      <c r="CS64" s="114"/>
      <c r="CT64" s="114"/>
      <c r="CV64" s="65" t="str">
        <f t="shared" si="134"/>
        <v/>
      </c>
      <c r="CW64" s="68" t="str">
        <f t="shared" si="178"/>
        <v/>
      </c>
      <c r="CX64" s="68" t="str">
        <f t="shared" si="179"/>
        <v/>
      </c>
      <c r="CY64" s="68" t="str">
        <f t="shared" si="180"/>
        <v/>
      </c>
    </row>
    <row r="65" spans="13:103" s="38" customFormat="1" ht="15" customHeight="1" x14ac:dyDescent="0.2">
      <c r="M65" s="82" t="str">
        <f t="shared" si="135"/>
        <v/>
      </c>
      <c r="N65" s="74" t="str">
        <f t="shared" ref="N65:N85" si="183">IF(M65="","",0)</f>
        <v/>
      </c>
      <c r="O65" s="74" t="str">
        <f t="shared" ref="O65:Y65" si="184">IFERROR(IF($M65="","",(O11/N11)-1),"")</f>
        <v/>
      </c>
      <c r="P65" s="74" t="str">
        <f t="shared" si="184"/>
        <v/>
      </c>
      <c r="Q65" s="74" t="str">
        <f t="shared" si="184"/>
        <v/>
      </c>
      <c r="R65" s="74" t="str">
        <f t="shared" si="184"/>
        <v/>
      </c>
      <c r="S65" s="74" t="str">
        <f t="shared" si="184"/>
        <v/>
      </c>
      <c r="T65" s="74" t="str">
        <f t="shared" si="184"/>
        <v/>
      </c>
      <c r="U65" s="74" t="str">
        <f t="shared" si="184"/>
        <v/>
      </c>
      <c r="V65" s="74" t="str">
        <f t="shared" si="184"/>
        <v/>
      </c>
      <c r="W65" s="74" t="str">
        <f t="shared" si="184"/>
        <v/>
      </c>
      <c r="X65" s="74" t="str">
        <f t="shared" si="184"/>
        <v/>
      </c>
      <c r="Y65" s="74" t="str">
        <f t="shared" si="184"/>
        <v/>
      </c>
      <c r="Z65" s="90" t="str">
        <f t="shared" ref="Z65:Z85" si="185">IFERROR(IF($M65="","",AVERAGE(N65:Y65)),"")</f>
        <v/>
      </c>
      <c r="AA65" s="106"/>
      <c r="AB65" s="106"/>
      <c r="AC65" s="114"/>
      <c r="AD65" s="114"/>
      <c r="AE65" s="114"/>
      <c r="AF65" s="114"/>
      <c r="AG65" s="114"/>
      <c r="AH65" s="114"/>
      <c r="AI65" s="114"/>
      <c r="AJ65" s="114"/>
      <c r="AK65" s="114"/>
      <c r="AL65" s="114"/>
      <c r="AM65" s="114"/>
      <c r="AN65" s="114"/>
      <c r="AP65" s="65" t="str">
        <f t="shared" si="130"/>
        <v/>
      </c>
      <c r="AQ65" s="132"/>
      <c r="AR65" s="132"/>
      <c r="AS65" s="132"/>
      <c r="AT65" s="132"/>
      <c r="AU65" s="132"/>
      <c r="AV65" s="132"/>
      <c r="AW65" s="132"/>
      <c r="AX65" s="132"/>
      <c r="AY65" s="132"/>
      <c r="AZ65" s="132"/>
      <c r="BA65" s="132"/>
      <c r="BB65" s="132"/>
      <c r="BC65" s="90" t="str">
        <f t="shared" si="150"/>
        <v/>
      </c>
      <c r="BD65" s="106"/>
      <c r="BE65" s="106"/>
      <c r="BF65" s="114"/>
      <c r="BG65" s="114"/>
      <c r="BH65" s="114"/>
      <c r="BI65" s="114"/>
      <c r="BJ65" s="114"/>
      <c r="BK65" s="114"/>
      <c r="BL65" s="114"/>
      <c r="BM65" s="114"/>
      <c r="BN65" s="114"/>
      <c r="BO65" s="114"/>
      <c r="BP65" s="114"/>
      <c r="BQ65" s="114"/>
      <c r="BS65" s="65" t="str">
        <f t="shared" si="132"/>
        <v/>
      </c>
      <c r="BT65" s="132"/>
      <c r="BU65" s="132"/>
      <c r="BV65" s="132"/>
      <c r="BW65" s="132"/>
      <c r="BX65" s="132"/>
      <c r="BY65" s="132"/>
      <c r="BZ65" s="132"/>
      <c r="CA65" s="132"/>
      <c r="CB65" s="132"/>
      <c r="CC65" s="132"/>
      <c r="CD65" s="132"/>
      <c r="CE65" s="132"/>
      <c r="CF65" s="90" t="str">
        <f t="shared" si="164"/>
        <v/>
      </c>
      <c r="CG65" s="106"/>
      <c r="CH65" s="106"/>
      <c r="CI65" s="114"/>
      <c r="CJ65" s="114"/>
      <c r="CK65" s="114"/>
      <c r="CL65" s="114"/>
      <c r="CM65" s="114"/>
      <c r="CN65" s="114"/>
      <c r="CO65" s="114"/>
      <c r="CP65" s="114"/>
      <c r="CQ65" s="114"/>
      <c r="CR65" s="114"/>
      <c r="CS65" s="114"/>
      <c r="CT65" s="114"/>
      <c r="CV65" s="65" t="str">
        <f t="shared" si="134"/>
        <v/>
      </c>
      <c r="CW65" s="68" t="str">
        <f t="shared" si="178"/>
        <v/>
      </c>
      <c r="CX65" s="68" t="str">
        <f t="shared" si="179"/>
        <v/>
      </c>
      <c r="CY65" s="68" t="str">
        <f t="shared" si="180"/>
        <v/>
      </c>
    </row>
    <row r="66" spans="13:103" s="38" customFormat="1" ht="15" customHeight="1" x14ac:dyDescent="0.2">
      <c r="M66" s="82" t="str">
        <f t="shared" si="135"/>
        <v/>
      </c>
      <c r="N66" s="74" t="str">
        <f t="shared" si="183"/>
        <v/>
      </c>
      <c r="O66" s="74" t="str">
        <f t="shared" ref="O66:Y66" si="186">IFERROR(IF($M66="","",(O12/N12)-1),"")</f>
        <v/>
      </c>
      <c r="P66" s="74" t="str">
        <f t="shared" si="186"/>
        <v/>
      </c>
      <c r="Q66" s="74" t="str">
        <f t="shared" si="186"/>
        <v/>
      </c>
      <c r="R66" s="74" t="str">
        <f t="shared" si="186"/>
        <v/>
      </c>
      <c r="S66" s="74" t="str">
        <f t="shared" si="186"/>
        <v/>
      </c>
      <c r="T66" s="74" t="str">
        <f t="shared" si="186"/>
        <v/>
      </c>
      <c r="U66" s="74" t="str">
        <f t="shared" si="186"/>
        <v/>
      </c>
      <c r="V66" s="74" t="str">
        <f t="shared" si="186"/>
        <v/>
      </c>
      <c r="W66" s="74" t="str">
        <f t="shared" si="186"/>
        <v/>
      </c>
      <c r="X66" s="74" t="str">
        <f t="shared" si="186"/>
        <v/>
      </c>
      <c r="Y66" s="74" t="str">
        <f t="shared" si="186"/>
        <v/>
      </c>
      <c r="Z66" s="90" t="str">
        <f t="shared" si="185"/>
        <v/>
      </c>
      <c r="AA66" s="106"/>
      <c r="AB66" s="106"/>
      <c r="AC66" s="106"/>
      <c r="AD66" s="106"/>
      <c r="AE66" s="106"/>
      <c r="AF66" s="106"/>
      <c r="AG66" s="106"/>
      <c r="AH66" s="106"/>
      <c r="AI66" s="106"/>
      <c r="AJ66" s="106"/>
      <c r="AK66" s="106"/>
      <c r="AL66" s="106"/>
      <c r="AM66" s="106"/>
      <c r="AN66" s="106"/>
      <c r="AP66" s="65" t="str">
        <f t="shared" si="130"/>
        <v/>
      </c>
      <c r="AQ66" s="132"/>
      <c r="AR66" s="132"/>
      <c r="AS66" s="132"/>
      <c r="AT66" s="132"/>
      <c r="AU66" s="132"/>
      <c r="AV66" s="132"/>
      <c r="AW66" s="132"/>
      <c r="AX66" s="132"/>
      <c r="AY66" s="132"/>
      <c r="AZ66" s="132"/>
      <c r="BA66" s="132"/>
      <c r="BB66" s="132"/>
      <c r="BC66" s="90" t="str">
        <f t="shared" si="150"/>
        <v/>
      </c>
      <c r="BD66" s="106"/>
      <c r="BE66" s="106"/>
      <c r="BF66" s="106"/>
      <c r="BG66" s="106"/>
      <c r="BH66" s="106"/>
      <c r="BI66" s="106"/>
      <c r="BJ66" s="106"/>
      <c r="BK66" s="106"/>
      <c r="BL66" s="106"/>
      <c r="BM66" s="106"/>
      <c r="BN66" s="106"/>
      <c r="BO66" s="106"/>
      <c r="BP66" s="106"/>
      <c r="BQ66" s="106"/>
      <c r="BS66" s="65" t="str">
        <f t="shared" si="132"/>
        <v/>
      </c>
      <c r="BT66" s="132"/>
      <c r="BU66" s="132"/>
      <c r="BV66" s="132"/>
      <c r="BW66" s="132"/>
      <c r="BX66" s="132"/>
      <c r="BY66" s="132"/>
      <c r="BZ66" s="132"/>
      <c r="CA66" s="132"/>
      <c r="CB66" s="132"/>
      <c r="CC66" s="132"/>
      <c r="CD66" s="132"/>
      <c r="CE66" s="132"/>
      <c r="CF66" s="90" t="str">
        <f t="shared" si="164"/>
        <v/>
      </c>
      <c r="CG66" s="106"/>
      <c r="CH66" s="106"/>
      <c r="CI66" s="106"/>
      <c r="CJ66" s="106"/>
      <c r="CK66" s="106"/>
      <c r="CL66" s="106"/>
      <c r="CM66" s="106"/>
      <c r="CN66" s="106"/>
      <c r="CO66" s="106"/>
      <c r="CP66" s="106"/>
      <c r="CQ66" s="106"/>
      <c r="CR66" s="106"/>
      <c r="CS66" s="106"/>
      <c r="CT66" s="106"/>
      <c r="CV66" s="65" t="str">
        <f t="shared" si="134"/>
        <v/>
      </c>
      <c r="CW66" s="68" t="str">
        <f t="shared" si="178"/>
        <v/>
      </c>
      <c r="CX66" s="68" t="str">
        <f t="shared" si="179"/>
        <v/>
      </c>
      <c r="CY66" s="68" t="str">
        <f t="shared" si="180"/>
        <v/>
      </c>
    </row>
    <row r="67" spans="13:103" s="38" customFormat="1" ht="15" customHeight="1" x14ac:dyDescent="0.2">
      <c r="M67" s="82" t="str">
        <f t="shared" si="135"/>
        <v/>
      </c>
      <c r="N67" s="74" t="str">
        <f t="shared" si="183"/>
        <v/>
      </c>
      <c r="O67" s="74" t="str">
        <f t="shared" ref="O67:Y67" si="187">IFERROR(IF($M67="","",(O13/N13)-1),"")</f>
        <v/>
      </c>
      <c r="P67" s="74" t="str">
        <f t="shared" si="187"/>
        <v/>
      </c>
      <c r="Q67" s="74" t="str">
        <f t="shared" si="187"/>
        <v/>
      </c>
      <c r="R67" s="74" t="str">
        <f t="shared" si="187"/>
        <v/>
      </c>
      <c r="S67" s="74" t="str">
        <f t="shared" si="187"/>
        <v/>
      </c>
      <c r="T67" s="74" t="str">
        <f t="shared" si="187"/>
        <v/>
      </c>
      <c r="U67" s="74" t="str">
        <f t="shared" si="187"/>
        <v/>
      </c>
      <c r="V67" s="74" t="str">
        <f t="shared" si="187"/>
        <v/>
      </c>
      <c r="W67" s="74" t="str">
        <f t="shared" si="187"/>
        <v/>
      </c>
      <c r="X67" s="74" t="str">
        <f t="shared" si="187"/>
        <v/>
      </c>
      <c r="Y67" s="74" t="str">
        <f t="shared" si="187"/>
        <v/>
      </c>
      <c r="Z67" s="90" t="str">
        <f t="shared" si="185"/>
        <v/>
      </c>
      <c r="AA67" s="106"/>
      <c r="AB67" s="106"/>
      <c r="AC67" s="106"/>
      <c r="AD67" s="106"/>
      <c r="AE67" s="106"/>
      <c r="AF67" s="106"/>
      <c r="AG67" s="106"/>
      <c r="AH67" s="106"/>
      <c r="AI67" s="106"/>
      <c r="AJ67" s="106"/>
      <c r="AK67" s="106"/>
      <c r="AL67" s="106"/>
      <c r="AM67" s="106"/>
      <c r="AN67" s="106"/>
      <c r="AP67" s="65" t="str">
        <f t="shared" si="130"/>
        <v/>
      </c>
      <c r="AQ67" s="132"/>
      <c r="AR67" s="132"/>
      <c r="AS67" s="132"/>
      <c r="AT67" s="132"/>
      <c r="AU67" s="132"/>
      <c r="AV67" s="132"/>
      <c r="AW67" s="132"/>
      <c r="AX67" s="132"/>
      <c r="AY67" s="132"/>
      <c r="AZ67" s="132"/>
      <c r="BA67" s="132"/>
      <c r="BB67" s="132"/>
      <c r="BC67" s="90" t="str">
        <f t="shared" si="150"/>
        <v/>
      </c>
      <c r="BD67" s="106"/>
      <c r="BE67" s="106"/>
      <c r="BF67" s="106"/>
      <c r="BG67" s="106"/>
      <c r="BH67" s="106"/>
      <c r="BI67" s="106"/>
      <c r="BJ67" s="106"/>
      <c r="BK67" s="106"/>
      <c r="BL67" s="106"/>
      <c r="BM67" s="106"/>
      <c r="BN67" s="106"/>
      <c r="BO67" s="106"/>
      <c r="BP67" s="106"/>
      <c r="BQ67" s="106"/>
      <c r="BS67" s="65" t="str">
        <f t="shared" si="132"/>
        <v/>
      </c>
      <c r="BT67" s="132"/>
      <c r="BU67" s="132"/>
      <c r="BV67" s="132"/>
      <c r="BW67" s="132"/>
      <c r="BX67" s="132"/>
      <c r="BY67" s="132"/>
      <c r="BZ67" s="132"/>
      <c r="CA67" s="132"/>
      <c r="CB67" s="132"/>
      <c r="CC67" s="132"/>
      <c r="CD67" s="132"/>
      <c r="CE67" s="132"/>
      <c r="CF67" s="90" t="str">
        <f t="shared" si="164"/>
        <v/>
      </c>
      <c r="CG67" s="106"/>
      <c r="CH67" s="106"/>
      <c r="CI67" s="106"/>
      <c r="CJ67" s="106"/>
      <c r="CK67" s="106"/>
      <c r="CL67" s="106"/>
      <c r="CM67" s="106"/>
      <c r="CN67" s="106"/>
      <c r="CO67" s="106"/>
      <c r="CP67" s="106"/>
      <c r="CQ67" s="106"/>
      <c r="CR67" s="106"/>
      <c r="CS67" s="106"/>
      <c r="CT67" s="106"/>
      <c r="CV67" s="65" t="str">
        <f t="shared" si="134"/>
        <v/>
      </c>
      <c r="CW67" s="68" t="str">
        <f t="shared" si="178"/>
        <v/>
      </c>
      <c r="CX67" s="68" t="str">
        <f t="shared" si="179"/>
        <v/>
      </c>
      <c r="CY67" s="68" t="str">
        <f t="shared" si="180"/>
        <v/>
      </c>
    </row>
    <row r="68" spans="13:103" s="38" customFormat="1" ht="15" customHeight="1" x14ac:dyDescent="0.2">
      <c r="M68" s="82" t="str">
        <f t="shared" si="135"/>
        <v/>
      </c>
      <c r="N68" s="74" t="str">
        <f t="shared" si="183"/>
        <v/>
      </c>
      <c r="O68" s="74" t="str">
        <f t="shared" ref="O68:Y68" si="188">IFERROR(IF($M68="","",(O14/N14)-1),"")</f>
        <v/>
      </c>
      <c r="P68" s="74" t="str">
        <f t="shared" si="188"/>
        <v/>
      </c>
      <c r="Q68" s="74" t="str">
        <f t="shared" si="188"/>
        <v/>
      </c>
      <c r="R68" s="74" t="str">
        <f t="shared" si="188"/>
        <v/>
      </c>
      <c r="S68" s="74" t="str">
        <f t="shared" si="188"/>
        <v/>
      </c>
      <c r="T68" s="74" t="str">
        <f t="shared" si="188"/>
        <v/>
      </c>
      <c r="U68" s="74" t="str">
        <f t="shared" si="188"/>
        <v/>
      </c>
      <c r="V68" s="74" t="str">
        <f t="shared" si="188"/>
        <v/>
      </c>
      <c r="W68" s="74" t="str">
        <f t="shared" si="188"/>
        <v/>
      </c>
      <c r="X68" s="74" t="str">
        <f t="shared" si="188"/>
        <v/>
      </c>
      <c r="Y68" s="74" t="str">
        <f t="shared" si="188"/>
        <v/>
      </c>
      <c r="Z68" s="90" t="str">
        <f t="shared" si="185"/>
        <v/>
      </c>
      <c r="AA68" s="106"/>
      <c r="AB68" s="106"/>
      <c r="AC68" s="106"/>
      <c r="AD68" s="106"/>
      <c r="AE68" s="106"/>
      <c r="AF68" s="106"/>
      <c r="AG68" s="106"/>
      <c r="AH68" s="106"/>
      <c r="AI68" s="106"/>
      <c r="AJ68" s="106"/>
      <c r="AK68" s="106"/>
      <c r="AL68" s="106"/>
      <c r="AM68" s="106"/>
      <c r="AN68" s="106"/>
      <c r="AP68" s="65" t="str">
        <f t="shared" si="130"/>
        <v/>
      </c>
      <c r="AQ68" s="132"/>
      <c r="AR68" s="132"/>
      <c r="AS68" s="132"/>
      <c r="AT68" s="132"/>
      <c r="AU68" s="132"/>
      <c r="AV68" s="132"/>
      <c r="AW68" s="132"/>
      <c r="AX68" s="132"/>
      <c r="AY68" s="132"/>
      <c r="AZ68" s="132"/>
      <c r="BA68" s="132"/>
      <c r="BB68" s="132"/>
      <c r="BC68" s="90" t="str">
        <f t="shared" si="150"/>
        <v/>
      </c>
      <c r="BD68" s="106"/>
      <c r="BE68" s="106"/>
      <c r="BF68" s="106"/>
      <c r="BG68" s="106"/>
      <c r="BH68" s="106"/>
      <c r="BI68" s="106"/>
      <c r="BJ68" s="106"/>
      <c r="BK68" s="106"/>
      <c r="BL68" s="106"/>
      <c r="BM68" s="106"/>
      <c r="BN68" s="106"/>
      <c r="BO68" s="106"/>
      <c r="BP68" s="106"/>
      <c r="BQ68" s="106"/>
      <c r="BS68" s="65" t="str">
        <f t="shared" si="132"/>
        <v/>
      </c>
      <c r="BT68" s="132"/>
      <c r="BU68" s="132"/>
      <c r="BV68" s="132"/>
      <c r="BW68" s="132"/>
      <c r="BX68" s="132"/>
      <c r="BY68" s="132"/>
      <c r="BZ68" s="132"/>
      <c r="CA68" s="132"/>
      <c r="CB68" s="132"/>
      <c r="CC68" s="132"/>
      <c r="CD68" s="132"/>
      <c r="CE68" s="132"/>
      <c r="CF68" s="90" t="str">
        <f t="shared" si="164"/>
        <v/>
      </c>
      <c r="CG68" s="106"/>
      <c r="CH68" s="106"/>
      <c r="CI68" s="106"/>
      <c r="CJ68" s="106"/>
      <c r="CK68" s="106"/>
      <c r="CL68" s="106"/>
      <c r="CM68" s="106"/>
      <c r="CN68" s="106"/>
      <c r="CO68" s="106"/>
      <c r="CP68" s="106"/>
      <c r="CQ68" s="106"/>
      <c r="CR68" s="106"/>
      <c r="CS68" s="106"/>
      <c r="CT68" s="106"/>
      <c r="CV68" s="65" t="str">
        <f t="shared" si="134"/>
        <v/>
      </c>
      <c r="CW68" s="68" t="str">
        <f t="shared" si="178"/>
        <v/>
      </c>
      <c r="CX68" s="68" t="str">
        <f t="shared" si="179"/>
        <v/>
      </c>
      <c r="CY68" s="68" t="str">
        <f t="shared" si="180"/>
        <v/>
      </c>
    </row>
    <row r="69" spans="13:103" s="38" customFormat="1" ht="15" customHeight="1" x14ac:dyDescent="0.2">
      <c r="M69" s="82" t="str">
        <f t="shared" si="135"/>
        <v/>
      </c>
      <c r="N69" s="74" t="str">
        <f t="shared" si="183"/>
        <v/>
      </c>
      <c r="O69" s="74" t="str">
        <f t="shared" ref="O69:Y69" si="189">IFERROR(IF($M69="","",(O15/N15)-1),"")</f>
        <v/>
      </c>
      <c r="P69" s="74" t="str">
        <f t="shared" si="189"/>
        <v/>
      </c>
      <c r="Q69" s="74" t="str">
        <f t="shared" si="189"/>
        <v/>
      </c>
      <c r="R69" s="74" t="str">
        <f t="shared" si="189"/>
        <v/>
      </c>
      <c r="S69" s="74" t="str">
        <f t="shared" si="189"/>
        <v/>
      </c>
      <c r="T69" s="74" t="str">
        <f t="shared" si="189"/>
        <v/>
      </c>
      <c r="U69" s="74" t="str">
        <f t="shared" si="189"/>
        <v/>
      </c>
      <c r="V69" s="74" t="str">
        <f t="shared" si="189"/>
        <v/>
      </c>
      <c r="W69" s="74" t="str">
        <f t="shared" si="189"/>
        <v/>
      </c>
      <c r="X69" s="74" t="str">
        <f t="shared" si="189"/>
        <v/>
      </c>
      <c r="Y69" s="74" t="str">
        <f t="shared" si="189"/>
        <v/>
      </c>
      <c r="Z69" s="90" t="str">
        <f t="shared" si="185"/>
        <v/>
      </c>
      <c r="AA69" s="106"/>
      <c r="AB69" s="106"/>
      <c r="AC69" s="106"/>
      <c r="AD69" s="106"/>
      <c r="AE69" s="106"/>
      <c r="AF69" s="106"/>
      <c r="AG69" s="106"/>
      <c r="AH69" s="106"/>
      <c r="AI69" s="106"/>
      <c r="AJ69" s="106"/>
      <c r="AK69" s="106"/>
      <c r="AL69" s="106"/>
      <c r="AM69" s="106"/>
      <c r="AN69" s="106"/>
      <c r="AP69" s="65" t="str">
        <f t="shared" si="130"/>
        <v/>
      </c>
      <c r="AQ69" s="132"/>
      <c r="AR69" s="132"/>
      <c r="AS69" s="132"/>
      <c r="AT69" s="132"/>
      <c r="AU69" s="132"/>
      <c r="AV69" s="132"/>
      <c r="AW69" s="132"/>
      <c r="AX69" s="132"/>
      <c r="AY69" s="132"/>
      <c r="AZ69" s="132"/>
      <c r="BA69" s="132"/>
      <c r="BB69" s="132"/>
      <c r="BC69" s="90" t="str">
        <f t="shared" si="150"/>
        <v/>
      </c>
      <c r="BD69" s="106"/>
      <c r="BE69" s="106"/>
      <c r="BF69" s="106"/>
      <c r="BG69" s="106"/>
      <c r="BH69" s="106"/>
      <c r="BI69" s="106"/>
      <c r="BJ69" s="106"/>
      <c r="BK69" s="106"/>
      <c r="BL69" s="106"/>
      <c r="BM69" s="106"/>
      <c r="BN69" s="106"/>
      <c r="BO69" s="106"/>
      <c r="BP69" s="106"/>
      <c r="BQ69" s="106"/>
      <c r="BS69" s="65" t="str">
        <f t="shared" si="132"/>
        <v/>
      </c>
      <c r="BT69" s="132"/>
      <c r="BU69" s="132"/>
      <c r="BV69" s="132"/>
      <c r="BW69" s="132"/>
      <c r="BX69" s="132"/>
      <c r="BY69" s="132"/>
      <c r="BZ69" s="132"/>
      <c r="CA69" s="132"/>
      <c r="CB69" s="132"/>
      <c r="CC69" s="132"/>
      <c r="CD69" s="132"/>
      <c r="CE69" s="132"/>
      <c r="CF69" s="90" t="str">
        <f t="shared" si="164"/>
        <v/>
      </c>
      <c r="CG69" s="106"/>
      <c r="CH69" s="106"/>
      <c r="CI69" s="106"/>
      <c r="CJ69" s="106"/>
      <c r="CK69" s="106"/>
      <c r="CL69" s="106"/>
      <c r="CM69" s="106"/>
      <c r="CN69" s="106"/>
      <c r="CO69" s="106"/>
      <c r="CP69" s="106"/>
      <c r="CQ69" s="106"/>
      <c r="CR69" s="106"/>
      <c r="CS69" s="106"/>
      <c r="CT69" s="106"/>
      <c r="CV69" s="65" t="str">
        <f t="shared" si="134"/>
        <v/>
      </c>
      <c r="CW69" s="68" t="str">
        <f t="shared" si="178"/>
        <v/>
      </c>
      <c r="CX69" s="68" t="str">
        <f t="shared" si="179"/>
        <v/>
      </c>
      <c r="CY69" s="68" t="str">
        <f t="shared" si="180"/>
        <v/>
      </c>
    </row>
    <row r="70" spans="13:103" s="38" customFormat="1" ht="15" customHeight="1" x14ac:dyDescent="0.2">
      <c r="M70" s="82" t="str">
        <f t="shared" si="135"/>
        <v/>
      </c>
      <c r="N70" s="74" t="str">
        <f t="shared" si="183"/>
        <v/>
      </c>
      <c r="O70" s="74" t="str">
        <f t="shared" ref="O70:Y70" si="190">IFERROR(IF($M70="","",(O16/N16)-1),"")</f>
        <v/>
      </c>
      <c r="P70" s="74" t="str">
        <f t="shared" si="190"/>
        <v/>
      </c>
      <c r="Q70" s="74" t="str">
        <f t="shared" si="190"/>
        <v/>
      </c>
      <c r="R70" s="74" t="str">
        <f t="shared" si="190"/>
        <v/>
      </c>
      <c r="S70" s="74" t="str">
        <f t="shared" si="190"/>
        <v/>
      </c>
      <c r="T70" s="74" t="str">
        <f t="shared" si="190"/>
        <v/>
      </c>
      <c r="U70" s="74" t="str">
        <f t="shared" si="190"/>
        <v/>
      </c>
      <c r="V70" s="74" t="str">
        <f t="shared" si="190"/>
        <v/>
      </c>
      <c r="W70" s="74" t="str">
        <f t="shared" si="190"/>
        <v/>
      </c>
      <c r="X70" s="74" t="str">
        <f t="shared" si="190"/>
        <v/>
      </c>
      <c r="Y70" s="74" t="str">
        <f t="shared" si="190"/>
        <v/>
      </c>
      <c r="Z70" s="90" t="str">
        <f t="shared" si="185"/>
        <v/>
      </c>
      <c r="AA70" s="106"/>
      <c r="AB70" s="106"/>
      <c r="AC70" s="106"/>
      <c r="AD70" s="106"/>
      <c r="AE70" s="106"/>
      <c r="AF70" s="106"/>
      <c r="AG70" s="106"/>
      <c r="AH70" s="106"/>
      <c r="AI70" s="106"/>
      <c r="AJ70" s="106"/>
      <c r="AK70" s="106"/>
      <c r="AL70" s="106"/>
      <c r="AM70" s="106"/>
      <c r="AN70" s="106"/>
      <c r="AP70" s="65" t="str">
        <f t="shared" si="130"/>
        <v/>
      </c>
      <c r="AQ70" s="132"/>
      <c r="AR70" s="132"/>
      <c r="AS70" s="132"/>
      <c r="AT70" s="132"/>
      <c r="AU70" s="132"/>
      <c r="AV70" s="132"/>
      <c r="AW70" s="132"/>
      <c r="AX70" s="132"/>
      <c r="AY70" s="132"/>
      <c r="AZ70" s="132"/>
      <c r="BA70" s="132"/>
      <c r="BB70" s="132"/>
      <c r="BC70" s="90" t="str">
        <f t="shared" si="150"/>
        <v/>
      </c>
      <c r="BD70" s="106"/>
      <c r="BE70" s="106"/>
      <c r="BF70" s="106"/>
      <c r="BG70" s="106"/>
      <c r="BH70" s="106"/>
      <c r="BI70" s="106"/>
      <c r="BJ70" s="106"/>
      <c r="BK70" s="106"/>
      <c r="BL70" s="106"/>
      <c r="BM70" s="106"/>
      <c r="BN70" s="106"/>
      <c r="BO70" s="106"/>
      <c r="BP70" s="106"/>
      <c r="BQ70" s="106"/>
      <c r="BS70" s="65" t="str">
        <f t="shared" si="132"/>
        <v/>
      </c>
      <c r="BT70" s="132"/>
      <c r="BU70" s="132"/>
      <c r="BV70" s="132"/>
      <c r="BW70" s="132"/>
      <c r="BX70" s="132"/>
      <c r="BY70" s="132"/>
      <c r="BZ70" s="132"/>
      <c r="CA70" s="132"/>
      <c r="CB70" s="132"/>
      <c r="CC70" s="132"/>
      <c r="CD70" s="132"/>
      <c r="CE70" s="132"/>
      <c r="CF70" s="90" t="str">
        <f t="shared" si="164"/>
        <v/>
      </c>
      <c r="CG70" s="106"/>
      <c r="CH70" s="106"/>
      <c r="CI70" s="106"/>
      <c r="CJ70" s="106"/>
      <c r="CK70" s="106"/>
      <c r="CL70" s="106"/>
      <c r="CM70" s="106"/>
      <c r="CN70" s="106"/>
      <c r="CO70" s="106"/>
      <c r="CP70" s="106"/>
      <c r="CQ70" s="106"/>
      <c r="CR70" s="106"/>
      <c r="CS70" s="106"/>
      <c r="CT70" s="106"/>
      <c r="CV70" s="65" t="str">
        <f t="shared" si="134"/>
        <v/>
      </c>
      <c r="CW70" s="68" t="str">
        <f t="shared" si="178"/>
        <v/>
      </c>
      <c r="CX70" s="68" t="str">
        <f t="shared" si="179"/>
        <v/>
      </c>
      <c r="CY70" s="68" t="str">
        <f t="shared" si="180"/>
        <v/>
      </c>
    </row>
    <row r="71" spans="13:103" s="38" customFormat="1" ht="15" hidden="1" customHeight="1" x14ac:dyDescent="0.2">
      <c r="M71" s="82" t="str">
        <f t="shared" si="135"/>
        <v/>
      </c>
      <c r="N71" s="74" t="str">
        <f t="shared" si="183"/>
        <v/>
      </c>
      <c r="O71" s="74" t="str">
        <f t="shared" ref="O71:Y71" si="191">IFERROR(IF($M71="","",(O17/N17)-1),"")</f>
        <v/>
      </c>
      <c r="P71" s="74" t="str">
        <f t="shared" si="191"/>
        <v/>
      </c>
      <c r="Q71" s="74" t="str">
        <f t="shared" si="191"/>
        <v/>
      </c>
      <c r="R71" s="74" t="str">
        <f t="shared" si="191"/>
        <v/>
      </c>
      <c r="S71" s="74" t="str">
        <f t="shared" si="191"/>
        <v/>
      </c>
      <c r="T71" s="74" t="str">
        <f t="shared" si="191"/>
        <v/>
      </c>
      <c r="U71" s="74" t="str">
        <f t="shared" si="191"/>
        <v/>
      </c>
      <c r="V71" s="74" t="str">
        <f t="shared" si="191"/>
        <v/>
      </c>
      <c r="W71" s="74" t="str">
        <f t="shared" si="191"/>
        <v/>
      </c>
      <c r="X71" s="74" t="str">
        <f t="shared" si="191"/>
        <v/>
      </c>
      <c r="Y71" s="74" t="str">
        <f t="shared" si="191"/>
        <v/>
      </c>
      <c r="Z71" s="90" t="str">
        <f t="shared" si="185"/>
        <v/>
      </c>
      <c r="AA71" s="106"/>
      <c r="AB71" s="106"/>
      <c r="AC71" s="106"/>
      <c r="AD71" s="106"/>
      <c r="AE71" s="106"/>
      <c r="AF71" s="106"/>
      <c r="AG71" s="106"/>
      <c r="AH71" s="106"/>
      <c r="AI71" s="106"/>
      <c r="AJ71" s="106"/>
      <c r="AK71" s="106"/>
      <c r="AL71" s="106"/>
      <c r="AM71" s="106"/>
      <c r="AN71" s="106"/>
      <c r="AP71" s="65" t="str">
        <f t="shared" si="130"/>
        <v/>
      </c>
      <c r="AQ71" s="132"/>
      <c r="AR71" s="132"/>
      <c r="AS71" s="132"/>
      <c r="AT71" s="132"/>
      <c r="AU71" s="132"/>
      <c r="AV71" s="132"/>
      <c r="AW71" s="132"/>
      <c r="AX71" s="132"/>
      <c r="AY71" s="132"/>
      <c r="AZ71" s="132"/>
      <c r="BA71" s="132"/>
      <c r="BB71" s="132"/>
      <c r="BC71" s="90" t="str">
        <f t="shared" si="150"/>
        <v/>
      </c>
      <c r="BD71" s="106"/>
      <c r="BE71" s="106"/>
      <c r="BF71" s="106"/>
      <c r="BG71" s="106"/>
      <c r="BH71" s="106"/>
      <c r="BI71" s="106"/>
      <c r="BJ71" s="106"/>
      <c r="BK71" s="106"/>
      <c r="BL71" s="106"/>
      <c r="BM71" s="106"/>
      <c r="BN71" s="106"/>
      <c r="BO71" s="106"/>
      <c r="BP71" s="106"/>
      <c r="BQ71" s="106"/>
      <c r="BS71" s="65" t="str">
        <f t="shared" si="132"/>
        <v/>
      </c>
      <c r="BT71" s="132"/>
      <c r="BU71" s="132"/>
      <c r="BV71" s="132"/>
      <c r="BW71" s="132"/>
      <c r="BX71" s="132"/>
      <c r="BY71" s="132"/>
      <c r="BZ71" s="132"/>
      <c r="CA71" s="132"/>
      <c r="CB71" s="132"/>
      <c r="CC71" s="132"/>
      <c r="CD71" s="132"/>
      <c r="CE71" s="132"/>
      <c r="CF71" s="90" t="str">
        <f t="shared" si="164"/>
        <v/>
      </c>
      <c r="CG71" s="106"/>
      <c r="CH71" s="106"/>
      <c r="CI71" s="106"/>
      <c r="CJ71" s="106"/>
      <c r="CK71" s="106"/>
      <c r="CL71" s="106"/>
      <c r="CM71" s="106"/>
      <c r="CN71" s="106"/>
      <c r="CO71" s="106"/>
      <c r="CP71" s="106"/>
      <c r="CQ71" s="106"/>
      <c r="CR71" s="106"/>
      <c r="CS71" s="106"/>
      <c r="CT71" s="106"/>
      <c r="CV71" s="65" t="str">
        <f t="shared" si="134"/>
        <v/>
      </c>
      <c r="CW71" s="68" t="str">
        <f t="shared" si="178"/>
        <v/>
      </c>
      <c r="CX71" s="68" t="str">
        <f t="shared" si="179"/>
        <v/>
      </c>
      <c r="CY71" s="68" t="str">
        <f t="shared" si="180"/>
        <v/>
      </c>
    </row>
    <row r="72" spans="13:103" s="38" customFormat="1" ht="15" hidden="1" customHeight="1" x14ac:dyDescent="0.2">
      <c r="M72" s="82" t="str">
        <f t="shared" si="135"/>
        <v/>
      </c>
      <c r="N72" s="74" t="str">
        <f t="shared" si="183"/>
        <v/>
      </c>
      <c r="O72" s="74" t="str">
        <f t="shared" ref="O72:Y72" si="192">IFERROR(IF($M72="","",(O18/N18)-1),"")</f>
        <v/>
      </c>
      <c r="P72" s="74" t="str">
        <f t="shared" si="192"/>
        <v/>
      </c>
      <c r="Q72" s="74" t="str">
        <f t="shared" si="192"/>
        <v/>
      </c>
      <c r="R72" s="74" t="str">
        <f t="shared" si="192"/>
        <v/>
      </c>
      <c r="S72" s="74" t="str">
        <f t="shared" si="192"/>
        <v/>
      </c>
      <c r="T72" s="74" t="str">
        <f t="shared" si="192"/>
        <v/>
      </c>
      <c r="U72" s="74" t="str">
        <f t="shared" si="192"/>
        <v/>
      </c>
      <c r="V72" s="74" t="str">
        <f t="shared" si="192"/>
        <v/>
      </c>
      <c r="W72" s="74" t="str">
        <f t="shared" si="192"/>
        <v/>
      </c>
      <c r="X72" s="74" t="str">
        <f t="shared" si="192"/>
        <v/>
      </c>
      <c r="Y72" s="74" t="str">
        <f t="shared" si="192"/>
        <v/>
      </c>
      <c r="Z72" s="90" t="str">
        <f t="shared" si="185"/>
        <v/>
      </c>
      <c r="AA72" s="106"/>
      <c r="AB72" s="106"/>
      <c r="AC72" s="106"/>
      <c r="AD72" s="106"/>
      <c r="AE72" s="106"/>
      <c r="AF72" s="106"/>
      <c r="AG72" s="106"/>
      <c r="AH72" s="106"/>
      <c r="AI72" s="106"/>
      <c r="AJ72" s="106"/>
      <c r="AK72" s="106"/>
      <c r="AL72" s="106"/>
      <c r="AM72" s="106"/>
      <c r="AN72" s="106"/>
      <c r="AP72" s="65" t="str">
        <f t="shared" si="130"/>
        <v/>
      </c>
      <c r="AQ72" s="132"/>
      <c r="AR72" s="132"/>
      <c r="AS72" s="132"/>
      <c r="AT72" s="132"/>
      <c r="AU72" s="132"/>
      <c r="AV72" s="132"/>
      <c r="AW72" s="132"/>
      <c r="AX72" s="132"/>
      <c r="AY72" s="132"/>
      <c r="AZ72" s="132"/>
      <c r="BA72" s="132"/>
      <c r="BB72" s="132"/>
      <c r="BC72" s="90" t="str">
        <f t="shared" si="150"/>
        <v/>
      </c>
      <c r="BD72" s="106"/>
      <c r="BE72" s="106"/>
      <c r="BF72" s="106"/>
      <c r="BG72" s="106"/>
      <c r="BH72" s="106"/>
      <c r="BI72" s="106"/>
      <c r="BJ72" s="106"/>
      <c r="BK72" s="106"/>
      <c r="BL72" s="106"/>
      <c r="BM72" s="106"/>
      <c r="BN72" s="106"/>
      <c r="BO72" s="106"/>
      <c r="BP72" s="106"/>
      <c r="BQ72" s="106"/>
      <c r="BS72" s="65" t="str">
        <f t="shared" si="132"/>
        <v/>
      </c>
      <c r="BT72" s="132"/>
      <c r="BU72" s="132"/>
      <c r="BV72" s="132"/>
      <c r="BW72" s="132"/>
      <c r="BX72" s="132"/>
      <c r="BY72" s="132"/>
      <c r="BZ72" s="132"/>
      <c r="CA72" s="132"/>
      <c r="CB72" s="132"/>
      <c r="CC72" s="132"/>
      <c r="CD72" s="132"/>
      <c r="CE72" s="132"/>
      <c r="CF72" s="90" t="str">
        <f t="shared" si="164"/>
        <v/>
      </c>
      <c r="CG72" s="106"/>
      <c r="CH72" s="106"/>
      <c r="CI72" s="106"/>
      <c r="CJ72" s="106"/>
      <c r="CK72" s="106"/>
      <c r="CL72" s="106"/>
      <c r="CM72" s="106"/>
      <c r="CN72" s="106"/>
      <c r="CO72" s="106"/>
      <c r="CP72" s="106"/>
      <c r="CQ72" s="106"/>
      <c r="CR72" s="106"/>
      <c r="CS72" s="106"/>
      <c r="CT72" s="106"/>
      <c r="CV72" s="65" t="str">
        <f t="shared" si="134"/>
        <v/>
      </c>
      <c r="CW72" s="68" t="str">
        <f t="shared" si="178"/>
        <v/>
      </c>
      <c r="CX72" s="68" t="str">
        <f t="shared" si="179"/>
        <v/>
      </c>
      <c r="CY72" s="68" t="str">
        <f t="shared" si="180"/>
        <v/>
      </c>
    </row>
    <row r="73" spans="13:103" s="38" customFormat="1" ht="15" hidden="1" customHeight="1" x14ac:dyDescent="0.2">
      <c r="M73" s="82" t="str">
        <f t="shared" si="135"/>
        <v/>
      </c>
      <c r="N73" s="74" t="str">
        <f t="shared" si="183"/>
        <v/>
      </c>
      <c r="O73" s="74" t="str">
        <f t="shared" ref="O73:Y73" si="193">IFERROR(IF($M73="","",(O19/N19)-1),"")</f>
        <v/>
      </c>
      <c r="P73" s="74" t="str">
        <f t="shared" si="193"/>
        <v/>
      </c>
      <c r="Q73" s="74" t="str">
        <f t="shared" si="193"/>
        <v/>
      </c>
      <c r="R73" s="74" t="str">
        <f t="shared" si="193"/>
        <v/>
      </c>
      <c r="S73" s="74" t="str">
        <f t="shared" si="193"/>
        <v/>
      </c>
      <c r="T73" s="74" t="str">
        <f t="shared" si="193"/>
        <v/>
      </c>
      <c r="U73" s="74" t="str">
        <f t="shared" si="193"/>
        <v/>
      </c>
      <c r="V73" s="74" t="str">
        <f t="shared" si="193"/>
        <v/>
      </c>
      <c r="W73" s="74" t="str">
        <f t="shared" si="193"/>
        <v/>
      </c>
      <c r="X73" s="74" t="str">
        <f t="shared" si="193"/>
        <v/>
      </c>
      <c r="Y73" s="74" t="str">
        <f t="shared" si="193"/>
        <v/>
      </c>
      <c r="Z73" s="90" t="str">
        <f t="shared" si="185"/>
        <v/>
      </c>
      <c r="AA73" s="106"/>
      <c r="AB73" s="106"/>
      <c r="AC73" s="106"/>
      <c r="AD73" s="106"/>
      <c r="AE73" s="106"/>
      <c r="AF73" s="106"/>
      <c r="AG73" s="106"/>
      <c r="AH73" s="106"/>
      <c r="AI73" s="106"/>
      <c r="AJ73" s="106"/>
      <c r="AK73" s="106"/>
      <c r="AL73" s="106"/>
      <c r="AM73" s="106"/>
      <c r="AN73" s="106"/>
      <c r="AP73" s="65" t="str">
        <f t="shared" si="130"/>
        <v/>
      </c>
      <c r="AQ73" s="132"/>
      <c r="AR73" s="132"/>
      <c r="AS73" s="132"/>
      <c r="AT73" s="132"/>
      <c r="AU73" s="132"/>
      <c r="AV73" s="132"/>
      <c r="AW73" s="132"/>
      <c r="AX73" s="132"/>
      <c r="AY73" s="132"/>
      <c r="AZ73" s="132"/>
      <c r="BA73" s="132"/>
      <c r="BB73" s="132"/>
      <c r="BC73" s="90" t="str">
        <f t="shared" si="150"/>
        <v/>
      </c>
      <c r="BD73" s="106"/>
      <c r="BE73" s="106"/>
      <c r="BF73" s="106"/>
      <c r="BG73" s="106"/>
      <c r="BH73" s="106"/>
      <c r="BI73" s="106"/>
      <c r="BJ73" s="106"/>
      <c r="BK73" s="106"/>
      <c r="BL73" s="106"/>
      <c r="BM73" s="106"/>
      <c r="BN73" s="106"/>
      <c r="BO73" s="106"/>
      <c r="BP73" s="106"/>
      <c r="BQ73" s="106"/>
      <c r="BS73" s="65" t="str">
        <f t="shared" si="132"/>
        <v/>
      </c>
      <c r="BT73" s="132"/>
      <c r="BU73" s="132"/>
      <c r="BV73" s="132"/>
      <c r="BW73" s="132"/>
      <c r="BX73" s="132"/>
      <c r="BY73" s="132"/>
      <c r="BZ73" s="132"/>
      <c r="CA73" s="132"/>
      <c r="CB73" s="132"/>
      <c r="CC73" s="132"/>
      <c r="CD73" s="132"/>
      <c r="CE73" s="132"/>
      <c r="CF73" s="90" t="str">
        <f t="shared" si="164"/>
        <v/>
      </c>
      <c r="CG73" s="106"/>
      <c r="CH73" s="106"/>
      <c r="CI73" s="106"/>
      <c r="CJ73" s="106"/>
      <c r="CK73" s="106"/>
      <c r="CL73" s="106"/>
      <c r="CM73" s="106"/>
      <c r="CN73" s="106"/>
      <c r="CO73" s="106"/>
      <c r="CP73" s="106"/>
      <c r="CQ73" s="106"/>
      <c r="CR73" s="106"/>
      <c r="CS73" s="106"/>
      <c r="CT73" s="106"/>
      <c r="CV73" s="65" t="str">
        <f t="shared" si="134"/>
        <v/>
      </c>
      <c r="CW73" s="68" t="str">
        <f t="shared" si="178"/>
        <v/>
      </c>
      <c r="CX73" s="68" t="str">
        <f t="shared" si="179"/>
        <v/>
      </c>
      <c r="CY73" s="68" t="str">
        <f t="shared" si="180"/>
        <v/>
      </c>
    </row>
    <row r="74" spans="13:103" s="38" customFormat="1" ht="15" hidden="1" customHeight="1" x14ac:dyDescent="0.2">
      <c r="M74" s="82" t="str">
        <f t="shared" si="135"/>
        <v/>
      </c>
      <c r="N74" s="74" t="str">
        <f t="shared" si="183"/>
        <v/>
      </c>
      <c r="O74" s="74" t="str">
        <f t="shared" ref="O74:Y74" si="194">IFERROR(IF($M74="","",(O20/N20)-1),"")</f>
        <v/>
      </c>
      <c r="P74" s="74" t="str">
        <f t="shared" si="194"/>
        <v/>
      </c>
      <c r="Q74" s="74" t="str">
        <f t="shared" si="194"/>
        <v/>
      </c>
      <c r="R74" s="74" t="str">
        <f t="shared" si="194"/>
        <v/>
      </c>
      <c r="S74" s="74" t="str">
        <f t="shared" si="194"/>
        <v/>
      </c>
      <c r="T74" s="74" t="str">
        <f t="shared" si="194"/>
        <v/>
      </c>
      <c r="U74" s="74" t="str">
        <f t="shared" si="194"/>
        <v/>
      </c>
      <c r="V74" s="74" t="str">
        <f t="shared" si="194"/>
        <v/>
      </c>
      <c r="W74" s="74" t="str">
        <f t="shared" si="194"/>
        <v/>
      </c>
      <c r="X74" s="74" t="str">
        <f t="shared" si="194"/>
        <v/>
      </c>
      <c r="Y74" s="74" t="str">
        <f t="shared" si="194"/>
        <v/>
      </c>
      <c r="Z74" s="90" t="str">
        <f t="shared" si="185"/>
        <v/>
      </c>
      <c r="AA74" s="106"/>
      <c r="AB74" s="106"/>
      <c r="AC74" s="106"/>
      <c r="AD74" s="106"/>
      <c r="AE74" s="106"/>
      <c r="AF74" s="106"/>
      <c r="AG74" s="106"/>
      <c r="AH74" s="106"/>
      <c r="AI74" s="106"/>
      <c r="AJ74" s="106"/>
      <c r="AK74" s="106"/>
      <c r="AL74" s="106"/>
      <c r="AM74" s="106"/>
      <c r="AN74" s="106"/>
      <c r="AP74" s="65" t="str">
        <f t="shared" si="130"/>
        <v/>
      </c>
      <c r="AQ74" s="132"/>
      <c r="AR74" s="132"/>
      <c r="AS74" s="132"/>
      <c r="AT74" s="132"/>
      <c r="AU74" s="132"/>
      <c r="AV74" s="132"/>
      <c r="AW74" s="132"/>
      <c r="AX74" s="132"/>
      <c r="AY74" s="132"/>
      <c r="AZ74" s="132"/>
      <c r="BA74" s="132"/>
      <c r="BB74" s="132"/>
      <c r="BC74" s="90" t="str">
        <f t="shared" si="150"/>
        <v/>
      </c>
      <c r="BD74" s="106"/>
      <c r="BE74" s="106"/>
      <c r="BF74" s="106"/>
      <c r="BG74" s="106"/>
      <c r="BH74" s="106"/>
      <c r="BI74" s="106"/>
      <c r="BJ74" s="106"/>
      <c r="BK74" s="106"/>
      <c r="BL74" s="106"/>
      <c r="BM74" s="106"/>
      <c r="BN74" s="106"/>
      <c r="BO74" s="106"/>
      <c r="BP74" s="106"/>
      <c r="BQ74" s="106"/>
      <c r="BS74" s="65" t="str">
        <f t="shared" si="132"/>
        <v/>
      </c>
      <c r="BT74" s="132"/>
      <c r="BU74" s="132"/>
      <c r="BV74" s="132"/>
      <c r="BW74" s="132"/>
      <c r="BX74" s="132"/>
      <c r="BY74" s="132"/>
      <c r="BZ74" s="132"/>
      <c r="CA74" s="132"/>
      <c r="CB74" s="132"/>
      <c r="CC74" s="132"/>
      <c r="CD74" s="132"/>
      <c r="CE74" s="132"/>
      <c r="CF74" s="90" t="str">
        <f t="shared" si="164"/>
        <v/>
      </c>
      <c r="CG74" s="106"/>
      <c r="CH74" s="106"/>
      <c r="CI74" s="106"/>
      <c r="CJ74" s="106"/>
      <c r="CK74" s="106"/>
      <c r="CL74" s="106"/>
      <c r="CM74" s="106"/>
      <c r="CN74" s="106"/>
      <c r="CO74" s="106"/>
      <c r="CP74" s="106"/>
      <c r="CQ74" s="106"/>
      <c r="CR74" s="106"/>
      <c r="CS74" s="106"/>
      <c r="CT74" s="106"/>
      <c r="CV74" s="65" t="str">
        <f t="shared" si="134"/>
        <v/>
      </c>
      <c r="CW74" s="68" t="str">
        <f t="shared" si="178"/>
        <v/>
      </c>
      <c r="CX74" s="68" t="str">
        <f t="shared" si="179"/>
        <v/>
      </c>
      <c r="CY74" s="68" t="str">
        <f t="shared" si="180"/>
        <v/>
      </c>
    </row>
    <row r="75" spans="13:103" s="38" customFormat="1" ht="15" hidden="1" customHeight="1" x14ac:dyDescent="0.2">
      <c r="M75" s="82" t="str">
        <f t="shared" si="135"/>
        <v/>
      </c>
      <c r="N75" s="74" t="str">
        <f t="shared" si="183"/>
        <v/>
      </c>
      <c r="O75" s="74" t="str">
        <f t="shared" ref="O75:Y75" si="195">IFERROR(IF($M75="","",(O21/N21)-1),"")</f>
        <v/>
      </c>
      <c r="P75" s="74" t="str">
        <f t="shared" si="195"/>
        <v/>
      </c>
      <c r="Q75" s="74" t="str">
        <f t="shared" si="195"/>
        <v/>
      </c>
      <c r="R75" s="74" t="str">
        <f t="shared" si="195"/>
        <v/>
      </c>
      <c r="S75" s="74" t="str">
        <f t="shared" si="195"/>
        <v/>
      </c>
      <c r="T75" s="74" t="str">
        <f t="shared" si="195"/>
        <v/>
      </c>
      <c r="U75" s="74" t="str">
        <f t="shared" si="195"/>
        <v/>
      </c>
      <c r="V75" s="74" t="str">
        <f t="shared" si="195"/>
        <v/>
      </c>
      <c r="W75" s="74" t="str">
        <f t="shared" si="195"/>
        <v/>
      </c>
      <c r="X75" s="74" t="str">
        <f t="shared" si="195"/>
        <v/>
      </c>
      <c r="Y75" s="74" t="str">
        <f t="shared" si="195"/>
        <v/>
      </c>
      <c r="Z75" s="90" t="str">
        <f t="shared" si="185"/>
        <v/>
      </c>
      <c r="AA75" s="106"/>
      <c r="AB75" s="106"/>
      <c r="AC75" s="106"/>
      <c r="AD75" s="106"/>
      <c r="AE75" s="106"/>
      <c r="AF75" s="106"/>
      <c r="AG75" s="106"/>
      <c r="AH75" s="106"/>
      <c r="AI75" s="106"/>
      <c r="AJ75" s="106"/>
      <c r="AK75" s="106"/>
      <c r="AL75" s="106"/>
      <c r="AM75" s="106"/>
      <c r="AN75" s="106"/>
      <c r="AP75" s="65" t="str">
        <f t="shared" si="130"/>
        <v/>
      </c>
      <c r="AQ75" s="132"/>
      <c r="AR75" s="132"/>
      <c r="AS75" s="132"/>
      <c r="AT75" s="132"/>
      <c r="AU75" s="132"/>
      <c r="AV75" s="132"/>
      <c r="AW75" s="132"/>
      <c r="AX75" s="132"/>
      <c r="AY75" s="132"/>
      <c r="AZ75" s="132"/>
      <c r="BA75" s="132"/>
      <c r="BB75" s="132"/>
      <c r="BC75" s="90" t="str">
        <f t="shared" si="150"/>
        <v/>
      </c>
      <c r="BD75" s="106"/>
      <c r="BE75" s="106"/>
      <c r="BF75" s="106"/>
      <c r="BG75" s="106"/>
      <c r="BH75" s="106"/>
      <c r="BI75" s="106"/>
      <c r="BJ75" s="106"/>
      <c r="BK75" s="106"/>
      <c r="BL75" s="106"/>
      <c r="BM75" s="106"/>
      <c r="BN75" s="106"/>
      <c r="BO75" s="106"/>
      <c r="BP75" s="106"/>
      <c r="BQ75" s="106"/>
      <c r="BS75" s="65" t="str">
        <f t="shared" si="132"/>
        <v/>
      </c>
      <c r="BT75" s="132"/>
      <c r="BU75" s="132"/>
      <c r="BV75" s="132"/>
      <c r="BW75" s="132"/>
      <c r="BX75" s="132"/>
      <c r="BY75" s="132"/>
      <c r="BZ75" s="132"/>
      <c r="CA75" s="132"/>
      <c r="CB75" s="132"/>
      <c r="CC75" s="132"/>
      <c r="CD75" s="132"/>
      <c r="CE75" s="132"/>
      <c r="CF75" s="90" t="str">
        <f t="shared" si="164"/>
        <v/>
      </c>
      <c r="CG75" s="106"/>
      <c r="CH75" s="106"/>
      <c r="CI75" s="106"/>
      <c r="CJ75" s="106"/>
      <c r="CK75" s="106"/>
      <c r="CL75" s="106"/>
      <c r="CM75" s="106"/>
      <c r="CN75" s="106"/>
      <c r="CO75" s="106"/>
      <c r="CP75" s="106"/>
      <c r="CQ75" s="106"/>
      <c r="CR75" s="106"/>
      <c r="CS75" s="106"/>
      <c r="CT75" s="106"/>
      <c r="CV75" s="65" t="str">
        <f t="shared" si="134"/>
        <v/>
      </c>
      <c r="CW75" s="68" t="str">
        <f t="shared" si="178"/>
        <v/>
      </c>
      <c r="CX75" s="68" t="str">
        <f t="shared" si="179"/>
        <v/>
      </c>
      <c r="CY75" s="68" t="str">
        <f t="shared" si="180"/>
        <v/>
      </c>
    </row>
    <row r="76" spans="13:103" s="38" customFormat="1" ht="15" hidden="1" customHeight="1" x14ac:dyDescent="0.2">
      <c r="M76" s="82" t="str">
        <f t="shared" si="135"/>
        <v/>
      </c>
      <c r="N76" s="74" t="str">
        <f t="shared" si="183"/>
        <v/>
      </c>
      <c r="O76" s="74" t="str">
        <f t="shared" ref="O76:Y76" si="196">IFERROR(IF($M76="","",(O22/N22)-1),"")</f>
        <v/>
      </c>
      <c r="P76" s="74" t="str">
        <f t="shared" si="196"/>
        <v/>
      </c>
      <c r="Q76" s="74" t="str">
        <f t="shared" si="196"/>
        <v/>
      </c>
      <c r="R76" s="74" t="str">
        <f t="shared" si="196"/>
        <v/>
      </c>
      <c r="S76" s="74" t="str">
        <f t="shared" si="196"/>
        <v/>
      </c>
      <c r="T76" s="74" t="str">
        <f t="shared" si="196"/>
        <v/>
      </c>
      <c r="U76" s="74" t="str">
        <f t="shared" si="196"/>
        <v/>
      </c>
      <c r="V76" s="74" t="str">
        <f t="shared" si="196"/>
        <v/>
      </c>
      <c r="W76" s="74" t="str">
        <f t="shared" si="196"/>
        <v/>
      </c>
      <c r="X76" s="74" t="str">
        <f t="shared" si="196"/>
        <v/>
      </c>
      <c r="Y76" s="74" t="str">
        <f t="shared" si="196"/>
        <v/>
      </c>
      <c r="Z76" s="90" t="str">
        <f t="shared" si="185"/>
        <v/>
      </c>
      <c r="AA76" s="106"/>
      <c r="AB76" s="106"/>
      <c r="AC76" s="106"/>
      <c r="AD76" s="106"/>
      <c r="AE76" s="106"/>
      <c r="AF76" s="106"/>
      <c r="AG76" s="106"/>
      <c r="AH76" s="106"/>
      <c r="AI76" s="106"/>
      <c r="AJ76" s="106"/>
      <c r="AK76" s="106"/>
      <c r="AL76" s="106"/>
      <c r="AM76" s="106"/>
      <c r="AN76" s="106"/>
      <c r="AP76" s="65" t="str">
        <f t="shared" si="130"/>
        <v/>
      </c>
      <c r="AQ76" s="132"/>
      <c r="AR76" s="132"/>
      <c r="AS76" s="132"/>
      <c r="AT76" s="132"/>
      <c r="AU76" s="132"/>
      <c r="AV76" s="132"/>
      <c r="AW76" s="132"/>
      <c r="AX76" s="132"/>
      <c r="AY76" s="132"/>
      <c r="AZ76" s="132"/>
      <c r="BA76" s="132"/>
      <c r="BB76" s="132"/>
      <c r="BC76" s="90" t="str">
        <f t="shared" si="150"/>
        <v/>
      </c>
      <c r="BD76" s="106"/>
      <c r="BE76" s="106"/>
      <c r="BF76" s="106"/>
      <c r="BG76" s="106"/>
      <c r="BH76" s="106"/>
      <c r="BI76" s="106"/>
      <c r="BJ76" s="106"/>
      <c r="BK76" s="106"/>
      <c r="BL76" s="106"/>
      <c r="BM76" s="106"/>
      <c r="BN76" s="106"/>
      <c r="BO76" s="106"/>
      <c r="BP76" s="106"/>
      <c r="BQ76" s="106"/>
      <c r="BS76" s="65" t="str">
        <f t="shared" si="132"/>
        <v/>
      </c>
      <c r="BT76" s="132"/>
      <c r="BU76" s="132"/>
      <c r="BV76" s="132"/>
      <c r="BW76" s="132"/>
      <c r="BX76" s="132"/>
      <c r="BY76" s="132"/>
      <c r="BZ76" s="132"/>
      <c r="CA76" s="132"/>
      <c r="CB76" s="132"/>
      <c r="CC76" s="132"/>
      <c r="CD76" s="132"/>
      <c r="CE76" s="132"/>
      <c r="CF76" s="90" t="str">
        <f t="shared" si="164"/>
        <v/>
      </c>
      <c r="CG76" s="106"/>
      <c r="CH76" s="106"/>
      <c r="CI76" s="106"/>
      <c r="CJ76" s="106"/>
      <c r="CK76" s="106"/>
      <c r="CL76" s="106"/>
      <c r="CM76" s="106"/>
      <c r="CN76" s="106"/>
      <c r="CO76" s="106"/>
      <c r="CP76" s="106"/>
      <c r="CQ76" s="106"/>
      <c r="CR76" s="106"/>
      <c r="CS76" s="106"/>
      <c r="CT76" s="106"/>
      <c r="CV76" s="65" t="str">
        <f t="shared" si="134"/>
        <v/>
      </c>
      <c r="CW76" s="68" t="str">
        <f t="shared" si="178"/>
        <v/>
      </c>
      <c r="CX76" s="68" t="str">
        <f t="shared" si="179"/>
        <v/>
      </c>
      <c r="CY76" s="68" t="str">
        <f t="shared" si="180"/>
        <v/>
      </c>
    </row>
    <row r="77" spans="13:103" s="38" customFormat="1" ht="15" hidden="1" customHeight="1" x14ac:dyDescent="0.2">
      <c r="M77" s="82" t="str">
        <f t="shared" si="135"/>
        <v/>
      </c>
      <c r="N77" s="74" t="str">
        <f t="shared" si="183"/>
        <v/>
      </c>
      <c r="O77" s="74" t="str">
        <f t="shared" ref="O77:Y77" si="197">IFERROR(IF($M77="","",(O23/N23)-1),"")</f>
        <v/>
      </c>
      <c r="P77" s="74" t="str">
        <f t="shared" si="197"/>
        <v/>
      </c>
      <c r="Q77" s="74" t="str">
        <f t="shared" si="197"/>
        <v/>
      </c>
      <c r="R77" s="74" t="str">
        <f t="shared" si="197"/>
        <v/>
      </c>
      <c r="S77" s="74" t="str">
        <f t="shared" si="197"/>
        <v/>
      </c>
      <c r="T77" s="74" t="str">
        <f t="shared" si="197"/>
        <v/>
      </c>
      <c r="U77" s="74" t="str">
        <f t="shared" si="197"/>
        <v/>
      </c>
      <c r="V77" s="74" t="str">
        <f t="shared" si="197"/>
        <v/>
      </c>
      <c r="W77" s="74" t="str">
        <f t="shared" si="197"/>
        <v/>
      </c>
      <c r="X77" s="74" t="str">
        <f t="shared" si="197"/>
        <v/>
      </c>
      <c r="Y77" s="74" t="str">
        <f t="shared" si="197"/>
        <v/>
      </c>
      <c r="Z77" s="90" t="str">
        <f t="shared" si="185"/>
        <v/>
      </c>
      <c r="AA77" s="106"/>
      <c r="AB77" s="106"/>
      <c r="AC77" s="106"/>
      <c r="AD77" s="106"/>
      <c r="AE77" s="106"/>
      <c r="AF77" s="106"/>
      <c r="AG77" s="106"/>
      <c r="AH77" s="106"/>
      <c r="AI77" s="106"/>
      <c r="AJ77" s="106"/>
      <c r="AK77" s="106"/>
      <c r="AL77" s="106"/>
      <c r="AM77" s="106"/>
      <c r="AN77" s="106"/>
      <c r="AP77" s="65" t="str">
        <f t="shared" si="130"/>
        <v/>
      </c>
      <c r="AQ77" s="132"/>
      <c r="AR77" s="132"/>
      <c r="AS77" s="132"/>
      <c r="AT77" s="132"/>
      <c r="AU77" s="132"/>
      <c r="AV77" s="132"/>
      <c r="AW77" s="132"/>
      <c r="AX77" s="132"/>
      <c r="AY77" s="132"/>
      <c r="AZ77" s="132"/>
      <c r="BA77" s="132"/>
      <c r="BB77" s="132"/>
      <c r="BC77" s="90" t="str">
        <f t="shared" si="150"/>
        <v/>
      </c>
      <c r="BD77" s="106"/>
      <c r="BE77" s="106"/>
      <c r="BF77" s="106"/>
      <c r="BG77" s="106"/>
      <c r="BH77" s="106"/>
      <c r="BI77" s="106"/>
      <c r="BJ77" s="106"/>
      <c r="BK77" s="106"/>
      <c r="BL77" s="106"/>
      <c r="BM77" s="106"/>
      <c r="BN77" s="106"/>
      <c r="BO77" s="106"/>
      <c r="BP77" s="106"/>
      <c r="BQ77" s="106"/>
      <c r="BS77" s="65" t="str">
        <f t="shared" si="132"/>
        <v/>
      </c>
      <c r="BT77" s="132"/>
      <c r="BU77" s="132"/>
      <c r="BV77" s="132"/>
      <c r="BW77" s="132"/>
      <c r="BX77" s="132"/>
      <c r="BY77" s="132"/>
      <c r="BZ77" s="132"/>
      <c r="CA77" s="132"/>
      <c r="CB77" s="132"/>
      <c r="CC77" s="132"/>
      <c r="CD77" s="132"/>
      <c r="CE77" s="132"/>
      <c r="CF77" s="90" t="str">
        <f t="shared" si="164"/>
        <v/>
      </c>
      <c r="CG77" s="106"/>
      <c r="CH77" s="106"/>
      <c r="CI77" s="106"/>
      <c r="CJ77" s="106"/>
      <c r="CK77" s="106"/>
      <c r="CL77" s="106"/>
      <c r="CM77" s="106"/>
      <c r="CN77" s="106"/>
      <c r="CO77" s="106"/>
      <c r="CP77" s="106"/>
      <c r="CQ77" s="106"/>
      <c r="CR77" s="106"/>
      <c r="CS77" s="106"/>
      <c r="CT77" s="106"/>
      <c r="CV77" s="65" t="str">
        <f t="shared" si="134"/>
        <v/>
      </c>
      <c r="CW77" s="68" t="str">
        <f t="shared" si="178"/>
        <v/>
      </c>
      <c r="CX77" s="68" t="str">
        <f t="shared" si="179"/>
        <v/>
      </c>
      <c r="CY77" s="68" t="str">
        <f t="shared" si="180"/>
        <v/>
      </c>
    </row>
    <row r="78" spans="13:103" s="38" customFormat="1" ht="15" hidden="1" customHeight="1" x14ac:dyDescent="0.2">
      <c r="M78" s="82" t="str">
        <f t="shared" si="135"/>
        <v/>
      </c>
      <c r="N78" s="74" t="str">
        <f t="shared" si="183"/>
        <v/>
      </c>
      <c r="O78" s="74" t="str">
        <f t="shared" ref="O78:Y78" si="198">IFERROR(IF($M78="","",(O24/N24)-1),"")</f>
        <v/>
      </c>
      <c r="P78" s="74" t="str">
        <f t="shared" si="198"/>
        <v/>
      </c>
      <c r="Q78" s="74" t="str">
        <f t="shared" si="198"/>
        <v/>
      </c>
      <c r="R78" s="74" t="str">
        <f t="shared" si="198"/>
        <v/>
      </c>
      <c r="S78" s="74" t="str">
        <f t="shared" si="198"/>
        <v/>
      </c>
      <c r="T78" s="74" t="str">
        <f t="shared" si="198"/>
        <v/>
      </c>
      <c r="U78" s="74" t="str">
        <f t="shared" si="198"/>
        <v/>
      </c>
      <c r="V78" s="74" t="str">
        <f t="shared" si="198"/>
        <v/>
      </c>
      <c r="W78" s="74" t="str">
        <f t="shared" si="198"/>
        <v/>
      </c>
      <c r="X78" s="74" t="str">
        <f t="shared" si="198"/>
        <v/>
      </c>
      <c r="Y78" s="74" t="str">
        <f t="shared" si="198"/>
        <v/>
      </c>
      <c r="Z78" s="90" t="str">
        <f t="shared" si="185"/>
        <v/>
      </c>
      <c r="AA78" s="106"/>
      <c r="AB78" s="106"/>
      <c r="AC78" s="106"/>
      <c r="AD78" s="106"/>
      <c r="AE78" s="106"/>
      <c r="AF78" s="106"/>
      <c r="AG78" s="106"/>
      <c r="AH78" s="106"/>
      <c r="AI78" s="106"/>
      <c r="AJ78" s="106"/>
      <c r="AK78" s="106"/>
      <c r="AL78" s="106"/>
      <c r="AM78" s="106"/>
      <c r="AN78" s="106"/>
      <c r="AP78" s="65" t="str">
        <f t="shared" si="130"/>
        <v/>
      </c>
      <c r="AQ78" s="132"/>
      <c r="AR78" s="132"/>
      <c r="AS78" s="132"/>
      <c r="AT78" s="132"/>
      <c r="AU78" s="132"/>
      <c r="AV78" s="132"/>
      <c r="AW78" s="132"/>
      <c r="AX78" s="132"/>
      <c r="AY78" s="132"/>
      <c r="AZ78" s="132"/>
      <c r="BA78" s="132"/>
      <c r="BB78" s="132"/>
      <c r="BC78" s="90" t="str">
        <f t="shared" si="150"/>
        <v/>
      </c>
      <c r="BD78" s="106"/>
      <c r="BE78" s="106"/>
      <c r="BF78" s="106"/>
      <c r="BG78" s="106"/>
      <c r="BH78" s="106"/>
      <c r="BI78" s="106"/>
      <c r="BJ78" s="106"/>
      <c r="BK78" s="106"/>
      <c r="BL78" s="106"/>
      <c r="BM78" s="106"/>
      <c r="BN78" s="106"/>
      <c r="BO78" s="106"/>
      <c r="BP78" s="106"/>
      <c r="BQ78" s="106"/>
      <c r="BS78" s="65" t="str">
        <f t="shared" si="132"/>
        <v/>
      </c>
      <c r="BT78" s="130"/>
      <c r="BU78" s="130"/>
      <c r="BV78" s="130"/>
      <c r="BW78" s="130"/>
      <c r="BX78" s="130"/>
      <c r="BY78" s="130"/>
      <c r="BZ78" s="130"/>
      <c r="CA78" s="130"/>
      <c r="CB78" s="130"/>
      <c r="CC78" s="130"/>
      <c r="CD78" s="130"/>
      <c r="CE78" s="130"/>
      <c r="CF78" s="90" t="str">
        <f t="shared" si="164"/>
        <v/>
      </c>
      <c r="CG78" s="106"/>
      <c r="CH78" s="106"/>
      <c r="CI78" s="106"/>
      <c r="CJ78" s="106"/>
      <c r="CK78" s="106"/>
      <c r="CL78" s="106"/>
      <c r="CM78" s="106"/>
      <c r="CN78" s="106"/>
      <c r="CO78" s="106"/>
      <c r="CP78" s="106"/>
      <c r="CQ78" s="106"/>
      <c r="CR78" s="106"/>
      <c r="CS78" s="106"/>
      <c r="CT78" s="106"/>
      <c r="CU78" s="40"/>
      <c r="CV78" s="65" t="str">
        <f t="shared" si="134"/>
        <v/>
      </c>
      <c r="CW78" s="68" t="str">
        <f t="shared" si="178"/>
        <v/>
      </c>
      <c r="CX78" s="68" t="str">
        <f t="shared" si="179"/>
        <v/>
      </c>
      <c r="CY78" s="68" t="str">
        <f t="shared" si="180"/>
        <v/>
      </c>
    </row>
    <row r="79" spans="13:103" s="38" customFormat="1" ht="15" hidden="1" customHeight="1" x14ac:dyDescent="0.2">
      <c r="M79" s="82" t="str">
        <f t="shared" si="135"/>
        <v/>
      </c>
      <c r="N79" s="74" t="str">
        <f t="shared" si="183"/>
        <v/>
      </c>
      <c r="O79" s="74" t="str">
        <f t="shared" ref="O79:Y79" si="199">IFERROR(IF($M79="","",(O25/N25)-1),"")</f>
        <v/>
      </c>
      <c r="P79" s="74" t="str">
        <f t="shared" si="199"/>
        <v/>
      </c>
      <c r="Q79" s="74" t="str">
        <f t="shared" si="199"/>
        <v/>
      </c>
      <c r="R79" s="74" t="str">
        <f t="shared" si="199"/>
        <v/>
      </c>
      <c r="S79" s="74" t="str">
        <f t="shared" si="199"/>
        <v/>
      </c>
      <c r="T79" s="74" t="str">
        <f t="shared" si="199"/>
        <v/>
      </c>
      <c r="U79" s="74" t="str">
        <f t="shared" si="199"/>
        <v/>
      </c>
      <c r="V79" s="74" t="str">
        <f t="shared" si="199"/>
        <v/>
      </c>
      <c r="W79" s="74" t="str">
        <f t="shared" si="199"/>
        <v/>
      </c>
      <c r="X79" s="74" t="str">
        <f t="shared" si="199"/>
        <v/>
      </c>
      <c r="Y79" s="74" t="str">
        <f t="shared" si="199"/>
        <v/>
      </c>
      <c r="Z79" s="90" t="str">
        <f t="shared" si="185"/>
        <v/>
      </c>
      <c r="AA79" s="106"/>
      <c r="AB79" s="106"/>
      <c r="AC79" s="106"/>
      <c r="AD79" s="106"/>
      <c r="AE79" s="106"/>
      <c r="AF79" s="106"/>
      <c r="AG79" s="106"/>
      <c r="AH79" s="106"/>
      <c r="AI79" s="106"/>
      <c r="AJ79" s="106"/>
      <c r="AK79" s="106"/>
      <c r="AL79" s="106"/>
      <c r="AM79" s="106"/>
      <c r="AN79" s="106"/>
      <c r="AP79" s="65" t="str">
        <f t="shared" si="130"/>
        <v/>
      </c>
      <c r="AQ79" s="132"/>
      <c r="AR79" s="132"/>
      <c r="AS79" s="132"/>
      <c r="AT79" s="132"/>
      <c r="AU79" s="132"/>
      <c r="AV79" s="132"/>
      <c r="AW79" s="132"/>
      <c r="AX79" s="132"/>
      <c r="AY79" s="132"/>
      <c r="AZ79" s="132"/>
      <c r="BA79" s="132"/>
      <c r="BB79" s="132"/>
      <c r="BC79" s="90" t="str">
        <f t="shared" si="150"/>
        <v/>
      </c>
      <c r="BD79" s="106"/>
      <c r="BE79" s="106"/>
      <c r="BF79" s="106"/>
      <c r="BG79" s="106"/>
      <c r="BH79" s="106"/>
      <c r="BI79" s="106"/>
      <c r="BJ79" s="106"/>
      <c r="BK79" s="106"/>
      <c r="BL79" s="106"/>
      <c r="BM79" s="106"/>
      <c r="BN79" s="106"/>
      <c r="BO79" s="106"/>
      <c r="BP79" s="106"/>
      <c r="BQ79" s="106"/>
      <c r="BS79" s="65" t="str">
        <f t="shared" si="132"/>
        <v/>
      </c>
      <c r="BT79" s="130"/>
      <c r="BU79" s="130"/>
      <c r="BV79" s="130"/>
      <c r="BW79" s="130"/>
      <c r="BX79" s="130"/>
      <c r="BY79" s="130"/>
      <c r="BZ79" s="130"/>
      <c r="CA79" s="130"/>
      <c r="CB79" s="130"/>
      <c r="CC79" s="130"/>
      <c r="CD79" s="130"/>
      <c r="CE79" s="130"/>
      <c r="CF79" s="90" t="str">
        <f t="shared" si="164"/>
        <v/>
      </c>
      <c r="CG79" s="106"/>
      <c r="CH79" s="106"/>
      <c r="CI79" s="106"/>
      <c r="CJ79" s="106"/>
      <c r="CK79" s="106"/>
      <c r="CL79" s="106"/>
      <c r="CM79" s="106"/>
      <c r="CN79" s="106"/>
      <c r="CO79" s="106"/>
      <c r="CP79" s="106"/>
      <c r="CQ79" s="106"/>
      <c r="CR79" s="106"/>
      <c r="CS79" s="106"/>
      <c r="CT79" s="106"/>
      <c r="CU79" s="40"/>
      <c r="CV79" s="65" t="str">
        <f t="shared" si="134"/>
        <v/>
      </c>
      <c r="CW79" s="68" t="str">
        <f t="shared" si="178"/>
        <v/>
      </c>
      <c r="CX79" s="68" t="str">
        <f t="shared" si="179"/>
        <v/>
      </c>
      <c r="CY79" s="68" t="str">
        <f t="shared" si="180"/>
        <v/>
      </c>
    </row>
    <row r="80" spans="13:103" s="38" customFormat="1" ht="15" hidden="1" customHeight="1" x14ac:dyDescent="0.2">
      <c r="M80" s="82" t="str">
        <f t="shared" si="135"/>
        <v/>
      </c>
      <c r="N80" s="74" t="str">
        <f t="shared" si="183"/>
        <v/>
      </c>
      <c r="O80" s="74" t="str">
        <f t="shared" ref="O80:Y80" si="200">IFERROR(IF($M80="","",(O26/N26)-1),"")</f>
        <v/>
      </c>
      <c r="P80" s="74" t="str">
        <f t="shared" si="200"/>
        <v/>
      </c>
      <c r="Q80" s="74" t="str">
        <f t="shared" si="200"/>
        <v/>
      </c>
      <c r="R80" s="74" t="str">
        <f t="shared" si="200"/>
        <v/>
      </c>
      <c r="S80" s="74" t="str">
        <f t="shared" si="200"/>
        <v/>
      </c>
      <c r="T80" s="74" t="str">
        <f t="shared" si="200"/>
        <v/>
      </c>
      <c r="U80" s="74" t="str">
        <f t="shared" si="200"/>
        <v/>
      </c>
      <c r="V80" s="74" t="str">
        <f t="shared" si="200"/>
        <v/>
      </c>
      <c r="W80" s="74" t="str">
        <f t="shared" si="200"/>
        <v/>
      </c>
      <c r="X80" s="74" t="str">
        <f t="shared" si="200"/>
        <v/>
      </c>
      <c r="Y80" s="74" t="str">
        <f t="shared" si="200"/>
        <v/>
      </c>
      <c r="Z80" s="90" t="str">
        <f t="shared" si="185"/>
        <v/>
      </c>
      <c r="AA80" s="106"/>
      <c r="AB80" s="106"/>
      <c r="AC80" s="106"/>
      <c r="AD80" s="106"/>
      <c r="AE80" s="106"/>
      <c r="AF80" s="106"/>
      <c r="AG80" s="106"/>
      <c r="AH80" s="106"/>
      <c r="AI80" s="106"/>
      <c r="AJ80" s="106"/>
      <c r="AK80" s="106"/>
      <c r="AL80" s="106"/>
      <c r="AM80" s="106"/>
      <c r="AN80" s="106"/>
      <c r="AP80" s="65" t="str">
        <f t="shared" si="130"/>
        <v/>
      </c>
      <c r="AQ80" s="132"/>
      <c r="AR80" s="132"/>
      <c r="AS80" s="132"/>
      <c r="AT80" s="132"/>
      <c r="AU80" s="132"/>
      <c r="AV80" s="132"/>
      <c r="AW80" s="132"/>
      <c r="AX80" s="132"/>
      <c r="AY80" s="132"/>
      <c r="AZ80" s="132"/>
      <c r="BA80" s="132"/>
      <c r="BB80" s="132"/>
      <c r="BC80" s="90" t="str">
        <f t="shared" si="150"/>
        <v/>
      </c>
      <c r="BD80" s="106"/>
      <c r="BE80" s="106"/>
      <c r="BF80" s="106"/>
      <c r="BG80" s="106"/>
      <c r="BH80" s="106"/>
      <c r="BI80" s="106"/>
      <c r="BJ80" s="106"/>
      <c r="BK80" s="106"/>
      <c r="BL80" s="106"/>
      <c r="BM80" s="106"/>
      <c r="BN80" s="106"/>
      <c r="BO80" s="106"/>
      <c r="BP80" s="106"/>
      <c r="BQ80" s="106"/>
      <c r="BS80" s="65" t="str">
        <f t="shared" si="132"/>
        <v/>
      </c>
      <c r="BT80" s="130"/>
      <c r="BU80" s="130"/>
      <c r="BV80" s="130"/>
      <c r="BW80" s="130"/>
      <c r="BX80" s="130"/>
      <c r="BY80" s="130"/>
      <c r="BZ80" s="130"/>
      <c r="CA80" s="130"/>
      <c r="CB80" s="130"/>
      <c r="CC80" s="130"/>
      <c r="CD80" s="130"/>
      <c r="CE80" s="130"/>
      <c r="CF80" s="90" t="str">
        <f t="shared" si="164"/>
        <v/>
      </c>
      <c r="CG80" s="106"/>
      <c r="CH80" s="106"/>
      <c r="CI80" s="106"/>
      <c r="CJ80" s="106"/>
      <c r="CK80" s="106"/>
      <c r="CL80" s="106"/>
      <c r="CM80" s="106"/>
      <c r="CN80" s="106"/>
      <c r="CO80" s="106"/>
      <c r="CP80" s="106"/>
      <c r="CQ80" s="106"/>
      <c r="CR80" s="106"/>
      <c r="CS80" s="106"/>
      <c r="CT80" s="106"/>
      <c r="CU80" s="40"/>
      <c r="CV80" s="65" t="str">
        <f t="shared" si="134"/>
        <v/>
      </c>
      <c r="CW80" s="68" t="str">
        <f t="shared" si="178"/>
        <v/>
      </c>
      <c r="CX80" s="68" t="str">
        <f t="shared" si="179"/>
        <v/>
      </c>
      <c r="CY80" s="68" t="str">
        <f t="shared" si="180"/>
        <v/>
      </c>
    </row>
    <row r="81" spans="13:103" s="38" customFormat="1" ht="15" hidden="1" customHeight="1" x14ac:dyDescent="0.2">
      <c r="M81" s="82" t="str">
        <f t="shared" si="135"/>
        <v/>
      </c>
      <c r="N81" s="74" t="str">
        <f t="shared" si="183"/>
        <v/>
      </c>
      <c r="O81" s="74" t="str">
        <f t="shared" ref="O81:Y81" si="201">IFERROR(IF($M81="","",(O27/N27)-1),"")</f>
        <v/>
      </c>
      <c r="P81" s="74" t="str">
        <f t="shared" si="201"/>
        <v/>
      </c>
      <c r="Q81" s="74" t="str">
        <f t="shared" si="201"/>
        <v/>
      </c>
      <c r="R81" s="74" t="str">
        <f t="shared" si="201"/>
        <v/>
      </c>
      <c r="S81" s="74" t="str">
        <f t="shared" si="201"/>
        <v/>
      </c>
      <c r="T81" s="74" t="str">
        <f t="shared" si="201"/>
        <v/>
      </c>
      <c r="U81" s="74" t="str">
        <f t="shared" si="201"/>
        <v/>
      </c>
      <c r="V81" s="74" t="str">
        <f t="shared" si="201"/>
        <v/>
      </c>
      <c r="W81" s="74" t="str">
        <f t="shared" si="201"/>
        <v/>
      </c>
      <c r="X81" s="74" t="str">
        <f t="shared" si="201"/>
        <v/>
      </c>
      <c r="Y81" s="74" t="str">
        <f t="shared" si="201"/>
        <v/>
      </c>
      <c r="Z81" s="90" t="str">
        <f t="shared" si="185"/>
        <v/>
      </c>
      <c r="AA81" s="106"/>
      <c r="AB81" s="106"/>
      <c r="AC81" s="106"/>
      <c r="AD81" s="106"/>
      <c r="AE81" s="106"/>
      <c r="AF81" s="106"/>
      <c r="AG81" s="106"/>
      <c r="AH81" s="106"/>
      <c r="AI81" s="106"/>
      <c r="AJ81" s="106"/>
      <c r="AK81" s="106"/>
      <c r="AL81" s="106"/>
      <c r="AM81" s="106"/>
      <c r="AN81" s="106"/>
      <c r="AP81" s="65" t="str">
        <f t="shared" si="130"/>
        <v/>
      </c>
      <c r="AQ81" s="132"/>
      <c r="AR81" s="132"/>
      <c r="AS81" s="132"/>
      <c r="AT81" s="132"/>
      <c r="AU81" s="132"/>
      <c r="AV81" s="132"/>
      <c r="AW81" s="132"/>
      <c r="AX81" s="132"/>
      <c r="AY81" s="132"/>
      <c r="AZ81" s="132"/>
      <c r="BA81" s="132"/>
      <c r="BB81" s="132"/>
      <c r="BC81" s="90" t="str">
        <f t="shared" si="150"/>
        <v/>
      </c>
      <c r="BD81" s="106"/>
      <c r="BE81" s="106"/>
      <c r="BF81" s="106"/>
      <c r="BG81" s="106"/>
      <c r="BH81" s="106"/>
      <c r="BI81" s="106"/>
      <c r="BJ81" s="106"/>
      <c r="BK81" s="106"/>
      <c r="BL81" s="106"/>
      <c r="BM81" s="106"/>
      <c r="BN81" s="106"/>
      <c r="BO81" s="106"/>
      <c r="BP81" s="106"/>
      <c r="BQ81" s="106"/>
      <c r="BS81" s="65" t="str">
        <f t="shared" si="132"/>
        <v/>
      </c>
      <c r="BT81" s="130"/>
      <c r="BU81" s="130"/>
      <c r="BV81" s="130"/>
      <c r="BW81" s="130"/>
      <c r="BX81" s="130"/>
      <c r="BY81" s="130"/>
      <c r="BZ81" s="130"/>
      <c r="CA81" s="130"/>
      <c r="CB81" s="130"/>
      <c r="CC81" s="130"/>
      <c r="CD81" s="130"/>
      <c r="CE81" s="130"/>
      <c r="CF81" s="90" t="str">
        <f t="shared" si="164"/>
        <v/>
      </c>
      <c r="CG81" s="106"/>
      <c r="CH81" s="106"/>
      <c r="CI81" s="106"/>
      <c r="CJ81" s="106"/>
      <c r="CK81" s="106"/>
      <c r="CL81" s="106"/>
      <c r="CM81" s="106"/>
      <c r="CN81" s="106"/>
      <c r="CO81" s="106"/>
      <c r="CP81" s="106"/>
      <c r="CQ81" s="106"/>
      <c r="CR81" s="106"/>
      <c r="CS81" s="106"/>
      <c r="CT81" s="106"/>
      <c r="CU81" s="40"/>
      <c r="CV81" s="65" t="str">
        <f t="shared" si="134"/>
        <v/>
      </c>
      <c r="CW81" s="68" t="str">
        <f t="shared" si="178"/>
        <v/>
      </c>
      <c r="CX81" s="68" t="str">
        <f t="shared" si="179"/>
        <v/>
      </c>
      <c r="CY81" s="68" t="str">
        <f t="shared" si="180"/>
        <v/>
      </c>
    </row>
    <row r="82" spans="13:103" s="38" customFormat="1" ht="15" hidden="1" customHeight="1" x14ac:dyDescent="0.2">
      <c r="M82" s="82" t="str">
        <f t="shared" si="135"/>
        <v/>
      </c>
      <c r="N82" s="74" t="str">
        <f t="shared" si="183"/>
        <v/>
      </c>
      <c r="O82" s="74" t="str">
        <f t="shared" ref="O82:Y82" si="202">IFERROR(IF($M82="","",(O28/N28)-1),"")</f>
        <v/>
      </c>
      <c r="P82" s="74" t="str">
        <f t="shared" si="202"/>
        <v/>
      </c>
      <c r="Q82" s="74" t="str">
        <f t="shared" si="202"/>
        <v/>
      </c>
      <c r="R82" s="74" t="str">
        <f t="shared" si="202"/>
        <v/>
      </c>
      <c r="S82" s="74" t="str">
        <f t="shared" si="202"/>
        <v/>
      </c>
      <c r="T82" s="74" t="str">
        <f t="shared" si="202"/>
        <v/>
      </c>
      <c r="U82" s="74" t="str">
        <f t="shared" si="202"/>
        <v/>
      </c>
      <c r="V82" s="74" t="str">
        <f t="shared" si="202"/>
        <v/>
      </c>
      <c r="W82" s="74" t="str">
        <f t="shared" si="202"/>
        <v/>
      </c>
      <c r="X82" s="74" t="str">
        <f t="shared" si="202"/>
        <v/>
      </c>
      <c r="Y82" s="74" t="str">
        <f t="shared" si="202"/>
        <v/>
      </c>
      <c r="Z82" s="90" t="str">
        <f t="shared" si="185"/>
        <v/>
      </c>
      <c r="AA82" s="106"/>
      <c r="AB82" s="106"/>
      <c r="AC82" s="106"/>
      <c r="AD82" s="106"/>
      <c r="AE82" s="106"/>
      <c r="AF82" s="106"/>
      <c r="AG82" s="106"/>
      <c r="AH82" s="106"/>
      <c r="AI82" s="106"/>
      <c r="AJ82" s="106"/>
      <c r="AK82" s="106"/>
      <c r="AL82" s="106"/>
      <c r="AM82" s="106"/>
      <c r="AN82" s="106"/>
      <c r="AP82" s="65" t="str">
        <f t="shared" si="130"/>
        <v/>
      </c>
      <c r="AQ82" s="132"/>
      <c r="AR82" s="132"/>
      <c r="AS82" s="132"/>
      <c r="AT82" s="132"/>
      <c r="AU82" s="132"/>
      <c r="AV82" s="132"/>
      <c r="AW82" s="132"/>
      <c r="AX82" s="132"/>
      <c r="AY82" s="132"/>
      <c r="AZ82" s="132"/>
      <c r="BA82" s="132"/>
      <c r="BB82" s="132"/>
      <c r="BC82" s="90" t="str">
        <f t="shared" si="150"/>
        <v/>
      </c>
      <c r="BD82" s="106"/>
      <c r="BE82" s="106"/>
      <c r="BF82" s="106"/>
      <c r="BG82" s="106"/>
      <c r="BH82" s="106"/>
      <c r="BI82" s="106"/>
      <c r="BJ82" s="106"/>
      <c r="BK82" s="106"/>
      <c r="BL82" s="106"/>
      <c r="BM82" s="106"/>
      <c r="BN82" s="106"/>
      <c r="BO82" s="106"/>
      <c r="BP82" s="106"/>
      <c r="BQ82" s="106"/>
      <c r="BS82" s="65" t="str">
        <f t="shared" si="132"/>
        <v/>
      </c>
      <c r="BT82" s="130"/>
      <c r="BU82" s="130"/>
      <c r="BV82" s="130"/>
      <c r="BW82" s="130"/>
      <c r="BX82" s="130"/>
      <c r="BY82" s="130"/>
      <c r="BZ82" s="130"/>
      <c r="CA82" s="130"/>
      <c r="CB82" s="130"/>
      <c r="CC82" s="130"/>
      <c r="CD82" s="130"/>
      <c r="CE82" s="130"/>
      <c r="CF82" s="90" t="str">
        <f t="shared" si="164"/>
        <v/>
      </c>
      <c r="CG82" s="106"/>
      <c r="CH82" s="106"/>
      <c r="CI82" s="106"/>
      <c r="CJ82" s="106"/>
      <c r="CK82" s="106"/>
      <c r="CL82" s="106"/>
      <c r="CM82" s="106"/>
      <c r="CN82" s="106"/>
      <c r="CO82" s="106"/>
      <c r="CP82" s="106"/>
      <c r="CQ82" s="106"/>
      <c r="CR82" s="106"/>
      <c r="CS82" s="106"/>
      <c r="CT82" s="106"/>
      <c r="CU82" s="40"/>
      <c r="CV82" s="65" t="str">
        <f t="shared" si="134"/>
        <v/>
      </c>
      <c r="CW82" s="68" t="str">
        <f t="shared" si="178"/>
        <v/>
      </c>
      <c r="CX82" s="68" t="str">
        <f t="shared" si="179"/>
        <v/>
      </c>
      <c r="CY82" s="68" t="str">
        <f t="shared" si="180"/>
        <v/>
      </c>
    </row>
    <row r="83" spans="13:103" s="38" customFormat="1" ht="15" hidden="1" customHeight="1" x14ac:dyDescent="0.2">
      <c r="M83" s="82" t="str">
        <f t="shared" si="135"/>
        <v/>
      </c>
      <c r="N83" s="74" t="str">
        <f t="shared" si="183"/>
        <v/>
      </c>
      <c r="O83" s="74" t="str">
        <f t="shared" ref="O83:Y83" si="203">IFERROR(IF($M83="","",(O29/N29)-1),"")</f>
        <v/>
      </c>
      <c r="P83" s="74" t="str">
        <f t="shared" si="203"/>
        <v/>
      </c>
      <c r="Q83" s="74" t="str">
        <f t="shared" si="203"/>
        <v/>
      </c>
      <c r="R83" s="74" t="str">
        <f t="shared" si="203"/>
        <v/>
      </c>
      <c r="S83" s="74" t="str">
        <f t="shared" si="203"/>
        <v/>
      </c>
      <c r="T83" s="74" t="str">
        <f t="shared" si="203"/>
        <v/>
      </c>
      <c r="U83" s="74" t="str">
        <f t="shared" si="203"/>
        <v/>
      </c>
      <c r="V83" s="74" t="str">
        <f t="shared" si="203"/>
        <v/>
      </c>
      <c r="W83" s="74" t="str">
        <f t="shared" si="203"/>
        <v/>
      </c>
      <c r="X83" s="74" t="str">
        <f t="shared" si="203"/>
        <v/>
      </c>
      <c r="Y83" s="74" t="str">
        <f t="shared" si="203"/>
        <v/>
      </c>
      <c r="Z83" s="90" t="str">
        <f t="shared" si="185"/>
        <v/>
      </c>
      <c r="AA83" s="106"/>
      <c r="AB83" s="106"/>
      <c r="AC83" s="106"/>
      <c r="AD83" s="106"/>
      <c r="AE83" s="106"/>
      <c r="AF83" s="106"/>
      <c r="AG83" s="106"/>
      <c r="AH83" s="106"/>
      <c r="AI83" s="106"/>
      <c r="AJ83" s="106"/>
      <c r="AK83" s="106"/>
      <c r="AL83" s="106"/>
      <c r="AM83" s="106"/>
      <c r="AN83" s="106"/>
      <c r="AP83" s="65" t="str">
        <f t="shared" si="130"/>
        <v/>
      </c>
      <c r="AQ83" s="132"/>
      <c r="AR83" s="132"/>
      <c r="AS83" s="132"/>
      <c r="AT83" s="132"/>
      <c r="AU83" s="132"/>
      <c r="AV83" s="132"/>
      <c r="AW83" s="132"/>
      <c r="AX83" s="132"/>
      <c r="AY83" s="132"/>
      <c r="AZ83" s="132"/>
      <c r="BA83" s="132"/>
      <c r="BB83" s="132"/>
      <c r="BC83" s="90" t="str">
        <f t="shared" si="150"/>
        <v/>
      </c>
      <c r="BD83" s="106"/>
      <c r="BE83" s="106"/>
      <c r="BF83" s="106"/>
      <c r="BG83" s="106"/>
      <c r="BH83" s="106"/>
      <c r="BI83" s="106"/>
      <c r="BJ83" s="106"/>
      <c r="BK83" s="106"/>
      <c r="BL83" s="106"/>
      <c r="BM83" s="106"/>
      <c r="BN83" s="106"/>
      <c r="BO83" s="106"/>
      <c r="BP83" s="106"/>
      <c r="BQ83" s="106"/>
      <c r="BS83" s="65" t="str">
        <f t="shared" si="132"/>
        <v/>
      </c>
      <c r="BT83" s="130"/>
      <c r="BU83" s="130"/>
      <c r="BV83" s="130"/>
      <c r="BW83" s="130"/>
      <c r="BX83" s="130"/>
      <c r="BY83" s="130"/>
      <c r="BZ83" s="130"/>
      <c r="CA83" s="130"/>
      <c r="CB83" s="130"/>
      <c r="CC83" s="130"/>
      <c r="CD83" s="130"/>
      <c r="CE83" s="130"/>
      <c r="CF83" s="90" t="str">
        <f t="shared" si="164"/>
        <v/>
      </c>
      <c r="CG83" s="106"/>
      <c r="CH83" s="106"/>
      <c r="CI83" s="106"/>
      <c r="CJ83" s="106"/>
      <c r="CK83" s="106"/>
      <c r="CL83" s="106"/>
      <c r="CM83" s="106"/>
      <c r="CN83" s="106"/>
      <c r="CO83" s="106"/>
      <c r="CP83" s="106"/>
      <c r="CQ83" s="106"/>
      <c r="CR83" s="106"/>
      <c r="CS83" s="106"/>
      <c r="CT83" s="106"/>
      <c r="CU83" s="40"/>
      <c r="CV83" s="65" t="str">
        <f t="shared" si="134"/>
        <v/>
      </c>
      <c r="CW83" s="68" t="str">
        <f t="shared" si="178"/>
        <v/>
      </c>
      <c r="CX83" s="68" t="str">
        <f t="shared" si="179"/>
        <v/>
      </c>
      <c r="CY83" s="68" t="str">
        <f t="shared" si="180"/>
        <v/>
      </c>
    </row>
    <row r="84" spans="13:103" s="38" customFormat="1" ht="15" hidden="1" customHeight="1" x14ac:dyDescent="0.2">
      <c r="M84" s="82" t="str">
        <f t="shared" si="135"/>
        <v/>
      </c>
      <c r="N84" s="74" t="str">
        <f t="shared" si="183"/>
        <v/>
      </c>
      <c r="O84" s="74" t="str">
        <f t="shared" ref="O84:Y84" si="204">IFERROR(IF($M84="","",(O30/N30)-1),"")</f>
        <v/>
      </c>
      <c r="P84" s="74" t="str">
        <f t="shared" si="204"/>
        <v/>
      </c>
      <c r="Q84" s="74" t="str">
        <f t="shared" si="204"/>
        <v/>
      </c>
      <c r="R84" s="74" t="str">
        <f t="shared" si="204"/>
        <v/>
      </c>
      <c r="S84" s="74" t="str">
        <f t="shared" si="204"/>
        <v/>
      </c>
      <c r="T84" s="74" t="str">
        <f t="shared" si="204"/>
        <v/>
      </c>
      <c r="U84" s="74" t="str">
        <f t="shared" si="204"/>
        <v/>
      </c>
      <c r="V84" s="74" t="str">
        <f t="shared" si="204"/>
        <v/>
      </c>
      <c r="W84" s="74" t="str">
        <f t="shared" si="204"/>
        <v/>
      </c>
      <c r="X84" s="74" t="str">
        <f t="shared" si="204"/>
        <v/>
      </c>
      <c r="Y84" s="74" t="str">
        <f t="shared" si="204"/>
        <v/>
      </c>
      <c r="Z84" s="90" t="str">
        <f t="shared" si="185"/>
        <v/>
      </c>
      <c r="AA84" s="106"/>
      <c r="AB84" s="106"/>
      <c r="AC84" s="106"/>
      <c r="AD84" s="106"/>
      <c r="AE84" s="106"/>
      <c r="AF84" s="106"/>
      <c r="AG84" s="106"/>
      <c r="AH84" s="106"/>
      <c r="AI84" s="106"/>
      <c r="AJ84" s="106"/>
      <c r="AK84" s="106"/>
      <c r="AL84" s="106"/>
      <c r="AM84" s="106"/>
      <c r="AN84" s="106"/>
      <c r="AP84" s="65" t="str">
        <f t="shared" si="130"/>
        <v/>
      </c>
      <c r="AQ84" s="132"/>
      <c r="AR84" s="132"/>
      <c r="AS84" s="132"/>
      <c r="AT84" s="132"/>
      <c r="AU84" s="132"/>
      <c r="AV84" s="132"/>
      <c r="AW84" s="132"/>
      <c r="AX84" s="132"/>
      <c r="AY84" s="132"/>
      <c r="AZ84" s="132"/>
      <c r="BA84" s="132"/>
      <c r="BB84" s="132"/>
      <c r="BC84" s="90" t="str">
        <f t="shared" si="150"/>
        <v/>
      </c>
      <c r="BD84" s="106"/>
      <c r="BE84" s="106"/>
      <c r="BF84" s="106"/>
      <c r="BG84" s="106"/>
      <c r="BH84" s="106"/>
      <c r="BI84" s="106"/>
      <c r="BJ84" s="106"/>
      <c r="BK84" s="106"/>
      <c r="BL84" s="106"/>
      <c r="BM84" s="106"/>
      <c r="BN84" s="106"/>
      <c r="BO84" s="106"/>
      <c r="BP84" s="106"/>
      <c r="BQ84" s="106"/>
      <c r="BS84" s="65" t="str">
        <f t="shared" si="132"/>
        <v/>
      </c>
      <c r="BT84" s="130"/>
      <c r="BU84" s="130"/>
      <c r="BV84" s="130"/>
      <c r="BW84" s="130"/>
      <c r="BX84" s="130"/>
      <c r="BY84" s="130"/>
      <c r="BZ84" s="130"/>
      <c r="CA84" s="130"/>
      <c r="CB84" s="130"/>
      <c r="CC84" s="130"/>
      <c r="CD84" s="130"/>
      <c r="CE84" s="130"/>
      <c r="CF84" s="90" t="str">
        <f t="shared" si="164"/>
        <v/>
      </c>
      <c r="CG84" s="106"/>
      <c r="CH84" s="106"/>
      <c r="CI84" s="106"/>
      <c r="CJ84" s="106"/>
      <c r="CK84" s="106"/>
      <c r="CL84" s="106"/>
      <c r="CM84" s="106"/>
      <c r="CN84" s="106"/>
      <c r="CO84" s="106"/>
      <c r="CP84" s="106"/>
      <c r="CQ84" s="106"/>
      <c r="CR84" s="106"/>
      <c r="CS84" s="106"/>
      <c r="CT84" s="106"/>
      <c r="CU84" s="40"/>
      <c r="CV84" s="65" t="str">
        <f t="shared" si="134"/>
        <v/>
      </c>
      <c r="CW84" s="68" t="str">
        <f t="shared" si="178"/>
        <v/>
      </c>
      <c r="CX84" s="68" t="str">
        <f t="shared" si="179"/>
        <v/>
      </c>
      <c r="CY84" s="68" t="str">
        <f t="shared" si="180"/>
        <v/>
      </c>
    </row>
    <row r="85" spans="13:103" s="38" customFormat="1" ht="15" hidden="1" customHeight="1" x14ac:dyDescent="0.2">
      <c r="M85" s="82" t="str">
        <f t="shared" si="135"/>
        <v/>
      </c>
      <c r="N85" s="74" t="str">
        <f t="shared" si="183"/>
        <v/>
      </c>
      <c r="O85" s="74" t="str">
        <f t="shared" ref="O85:Y85" si="205">IFERROR(IF($M85="","",(O31/N31)-1),"")</f>
        <v/>
      </c>
      <c r="P85" s="74" t="str">
        <f t="shared" si="205"/>
        <v/>
      </c>
      <c r="Q85" s="74" t="str">
        <f t="shared" si="205"/>
        <v/>
      </c>
      <c r="R85" s="74" t="str">
        <f t="shared" si="205"/>
        <v/>
      </c>
      <c r="S85" s="74" t="str">
        <f t="shared" si="205"/>
        <v/>
      </c>
      <c r="T85" s="74" t="str">
        <f t="shared" si="205"/>
        <v/>
      </c>
      <c r="U85" s="74" t="str">
        <f t="shared" si="205"/>
        <v/>
      </c>
      <c r="V85" s="74" t="str">
        <f t="shared" si="205"/>
        <v/>
      </c>
      <c r="W85" s="74" t="str">
        <f t="shared" si="205"/>
        <v/>
      </c>
      <c r="X85" s="74" t="str">
        <f t="shared" si="205"/>
        <v/>
      </c>
      <c r="Y85" s="74" t="str">
        <f t="shared" si="205"/>
        <v/>
      </c>
      <c r="Z85" s="90" t="str">
        <f t="shared" si="185"/>
        <v/>
      </c>
      <c r="AA85" s="106"/>
      <c r="AB85" s="106"/>
      <c r="AC85" s="106"/>
      <c r="AD85" s="106"/>
      <c r="AE85" s="106"/>
      <c r="AF85" s="106"/>
      <c r="AG85" s="106"/>
      <c r="AH85" s="106"/>
      <c r="AI85" s="106"/>
      <c r="AJ85" s="106"/>
      <c r="AK85" s="106"/>
      <c r="AL85" s="106"/>
      <c r="AM85" s="106"/>
      <c r="AN85" s="106"/>
      <c r="AP85" s="65" t="str">
        <f t="shared" si="130"/>
        <v/>
      </c>
      <c r="AQ85" s="132"/>
      <c r="AR85" s="132"/>
      <c r="AS85" s="132"/>
      <c r="AT85" s="132"/>
      <c r="AU85" s="132"/>
      <c r="AV85" s="132"/>
      <c r="AW85" s="132"/>
      <c r="AX85" s="132"/>
      <c r="AY85" s="132"/>
      <c r="AZ85" s="132"/>
      <c r="BA85" s="132"/>
      <c r="BB85" s="132"/>
      <c r="BC85" s="90" t="str">
        <f t="shared" si="150"/>
        <v/>
      </c>
      <c r="BD85" s="106"/>
      <c r="BE85" s="106"/>
      <c r="BF85" s="106"/>
      <c r="BG85" s="106"/>
      <c r="BH85" s="106"/>
      <c r="BI85" s="106"/>
      <c r="BJ85" s="106"/>
      <c r="BK85" s="106"/>
      <c r="BL85" s="106"/>
      <c r="BM85" s="106"/>
      <c r="BN85" s="106"/>
      <c r="BO85" s="106"/>
      <c r="BP85" s="106"/>
      <c r="BQ85" s="106"/>
      <c r="BS85" s="65" t="str">
        <f t="shared" si="132"/>
        <v/>
      </c>
      <c r="BT85" s="130"/>
      <c r="BU85" s="130"/>
      <c r="BV85" s="130"/>
      <c r="BW85" s="130"/>
      <c r="BX85" s="130"/>
      <c r="BY85" s="130"/>
      <c r="BZ85" s="130"/>
      <c r="CA85" s="130"/>
      <c r="CB85" s="130"/>
      <c r="CC85" s="130"/>
      <c r="CD85" s="130"/>
      <c r="CE85" s="130"/>
      <c r="CF85" s="90" t="str">
        <f t="shared" si="164"/>
        <v/>
      </c>
      <c r="CG85" s="106"/>
      <c r="CH85" s="106"/>
      <c r="CI85" s="106"/>
      <c r="CJ85" s="106"/>
      <c r="CK85" s="106"/>
      <c r="CL85" s="106"/>
      <c r="CM85" s="106"/>
      <c r="CN85" s="106"/>
      <c r="CO85" s="106"/>
      <c r="CP85" s="106"/>
      <c r="CQ85" s="106"/>
      <c r="CR85" s="106"/>
      <c r="CS85" s="106"/>
      <c r="CT85" s="106"/>
      <c r="CU85" s="40"/>
      <c r="CV85" s="65" t="str">
        <f t="shared" si="134"/>
        <v/>
      </c>
      <c r="CW85" s="68" t="str">
        <f t="shared" si="178"/>
        <v/>
      </c>
      <c r="CX85" s="68" t="str">
        <f t="shared" si="179"/>
        <v/>
      </c>
      <c r="CY85" s="68" t="str">
        <f t="shared" si="180"/>
        <v/>
      </c>
    </row>
    <row r="86" spans="13:103" s="38" customFormat="1" ht="9.6" customHeight="1" x14ac:dyDescent="0.2">
      <c r="Z86" s="40"/>
      <c r="AA86" s="103"/>
      <c r="AB86" s="103"/>
      <c r="AC86" s="103"/>
      <c r="AD86" s="103"/>
      <c r="AE86" s="103"/>
      <c r="AF86" s="103"/>
      <c r="AG86" s="103"/>
      <c r="AH86" s="103"/>
      <c r="AI86" s="103"/>
      <c r="AJ86" s="103"/>
      <c r="AK86" s="103"/>
      <c r="AL86" s="103"/>
      <c r="AM86" s="103"/>
      <c r="AN86" s="103"/>
      <c r="BC86" s="40"/>
      <c r="BD86" s="103"/>
      <c r="BE86" s="103"/>
      <c r="BF86" s="103"/>
      <c r="BG86" s="103"/>
      <c r="BH86" s="103"/>
      <c r="BI86" s="103"/>
      <c r="BJ86" s="103"/>
      <c r="BK86" s="103"/>
      <c r="BL86" s="103"/>
      <c r="BM86" s="103"/>
      <c r="BN86" s="103"/>
      <c r="BO86" s="103"/>
      <c r="BP86" s="103"/>
      <c r="BQ86" s="103"/>
      <c r="CF86" s="40"/>
      <c r="CG86" s="103"/>
      <c r="CH86" s="103"/>
      <c r="CI86" s="103"/>
      <c r="CJ86" s="103"/>
      <c r="CK86" s="103"/>
      <c r="CL86" s="103"/>
      <c r="CM86" s="103"/>
      <c r="CN86" s="103"/>
      <c r="CO86" s="103"/>
      <c r="CP86" s="103"/>
      <c r="CQ86" s="103"/>
      <c r="CR86" s="103"/>
      <c r="CS86" s="103"/>
      <c r="CT86" s="103"/>
      <c r="CW86" s="40"/>
      <c r="CX86" s="40"/>
      <c r="CY86" s="40"/>
    </row>
    <row r="87" spans="13:103" s="38" customFormat="1" ht="15" customHeight="1" x14ac:dyDescent="0.2">
      <c r="M87" s="41" t="s">
        <v>31</v>
      </c>
      <c r="N87" s="43" t="s">
        <v>32</v>
      </c>
      <c r="Z87" s="42" t="s">
        <v>30</v>
      </c>
      <c r="AA87" s="104"/>
      <c r="AB87" s="104"/>
      <c r="AC87" s="104"/>
      <c r="AD87" s="104"/>
      <c r="AE87" s="104"/>
      <c r="AF87" s="104"/>
      <c r="AG87" s="104"/>
      <c r="AH87" s="104"/>
      <c r="AI87" s="104"/>
      <c r="AJ87" s="104"/>
      <c r="AK87" s="104"/>
      <c r="AL87" s="104"/>
      <c r="AM87" s="104"/>
      <c r="AN87" s="104"/>
      <c r="AP87" s="41" t="s">
        <v>31</v>
      </c>
      <c r="AQ87" s="43"/>
      <c r="BC87" s="42" t="s">
        <v>30</v>
      </c>
      <c r="BD87" s="104"/>
      <c r="BE87" s="104"/>
      <c r="BF87" s="104"/>
      <c r="BG87" s="104"/>
      <c r="BH87" s="104"/>
      <c r="BI87" s="104"/>
      <c r="BJ87" s="104"/>
      <c r="BK87" s="104"/>
      <c r="BL87" s="104"/>
      <c r="BM87" s="104"/>
      <c r="BN87" s="104"/>
      <c r="BO87" s="104"/>
      <c r="BP87" s="104"/>
      <c r="BQ87" s="104"/>
      <c r="BS87" s="41" t="s">
        <v>31</v>
      </c>
      <c r="BT87" s="43"/>
      <c r="CF87" s="42" t="s">
        <v>30</v>
      </c>
      <c r="CG87" s="104"/>
      <c r="CH87" s="104"/>
      <c r="CI87" s="104"/>
      <c r="CJ87" s="104"/>
      <c r="CK87" s="104"/>
      <c r="CL87" s="104"/>
      <c r="CM87" s="104"/>
      <c r="CN87" s="104"/>
      <c r="CO87" s="104"/>
      <c r="CP87" s="104"/>
      <c r="CQ87" s="104"/>
      <c r="CR87" s="104"/>
      <c r="CS87" s="104"/>
      <c r="CT87" s="104"/>
      <c r="CV87" s="41" t="s">
        <v>31</v>
      </c>
      <c r="CW87" s="40" t="s">
        <v>22</v>
      </c>
      <c r="CX87" s="40" t="s">
        <v>22</v>
      </c>
      <c r="CY87" s="40" t="s">
        <v>22</v>
      </c>
    </row>
    <row r="88" spans="13:103" s="38" customFormat="1" ht="15" customHeight="1" x14ac:dyDescent="0.2">
      <c r="M88" s="82" t="str">
        <f>IF(M7=0,"",M7)</f>
        <v>Product 1</v>
      </c>
      <c r="N88" s="75">
        <f t="shared" ref="N88:Y90" si="206">IF(OR(N34="",N7="",$M88=""),"",N7*N34)</f>
        <v>9995</v>
      </c>
      <c r="O88" s="75">
        <f t="shared" si="206"/>
        <v>10494.75</v>
      </c>
      <c r="P88" s="75">
        <f t="shared" si="206"/>
        <v>10994.5</v>
      </c>
      <c r="Q88" s="75">
        <f t="shared" si="206"/>
        <v>11494.25</v>
      </c>
      <c r="R88" s="75">
        <f t="shared" si="206"/>
        <v>10994.5</v>
      </c>
      <c r="S88" s="75">
        <f t="shared" si="206"/>
        <v>10494.75</v>
      </c>
      <c r="T88" s="75">
        <f t="shared" si="206"/>
        <v>10494.75</v>
      </c>
      <c r="U88" s="75">
        <f t="shared" si="206"/>
        <v>10994.5</v>
      </c>
      <c r="V88" s="75">
        <f t="shared" si="206"/>
        <v>11494.25</v>
      </c>
      <c r="W88" s="75">
        <f t="shared" si="206"/>
        <v>11993.999999999998</v>
      </c>
      <c r="X88" s="75">
        <f t="shared" si="206"/>
        <v>12993.499999999998</v>
      </c>
      <c r="Y88" s="75">
        <f t="shared" si="206"/>
        <v>12993.499999999998</v>
      </c>
      <c r="Z88" s="70">
        <f>IF($M88="","",SUM(N88:Y88))</f>
        <v>135432.25</v>
      </c>
      <c r="AA88" s="107"/>
      <c r="AB88" s="118" t="str">
        <f>AB7</f>
        <v>Product 2</v>
      </c>
      <c r="AC88" s="117">
        <f>INDEX(N$88:N$112,MATCH($AB88,$M$88:$M$112,0))</f>
        <v>22485</v>
      </c>
      <c r="AD88" s="117">
        <f t="shared" ref="AD88:AN88" si="207">INDEX(O$88:O$112,MATCH($AB88,$M$88:$M$112,0))</f>
        <v>14990</v>
      </c>
      <c r="AE88" s="117">
        <f t="shared" si="207"/>
        <v>14990</v>
      </c>
      <c r="AF88" s="117">
        <f t="shared" si="207"/>
        <v>18737.5</v>
      </c>
      <c r="AG88" s="117">
        <f t="shared" si="207"/>
        <v>18737.5</v>
      </c>
      <c r="AH88" s="117">
        <f t="shared" si="207"/>
        <v>22485</v>
      </c>
      <c r="AI88" s="117">
        <f t="shared" si="207"/>
        <v>22485</v>
      </c>
      <c r="AJ88" s="117">
        <f t="shared" si="207"/>
        <v>26232.5</v>
      </c>
      <c r="AK88" s="117">
        <f t="shared" si="207"/>
        <v>29980</v>
      </c>
      <c r="AL88" s="117">
        <f t="shared" si="207"/>
        <v>37475</v>
      </c>
      <c r="AM88" s="117">
        <f t="shared" si="207"/>
        <v>44970</v>
      </c>
      <c r="AN88" s="117">
        <f t="shared" si="207"/>
        <v>44970</v>
      </c>
      <c r="AP88" s="65" t="str">
        <f t="shared" ref="AP88:AP112" si="208">IF(M7=0,"",M7)</f>
        <v>Product 1</v>
      </c>
      <c r="AQ88" s="75">
        <f>IF($AP88="","",AQ7*AQ34)</f>
        <v>9610.576923076922</v>
      </c>
      <c r="AR88" s="75">
        <f t="shared" ref="AR88:BB88" si="209">IF($AP88="","",AR7*AR34)</f>
        <v>10074.959999999999</v>
      </c>
      <c r="AS88" s="75">
        <f t="shared" si="209"/>
        <v>10536.395833333334</v>
      </c>
      <c r="AT88" s="75">
        <f t="shared" si="209"/>
        <v>10994.5</v>
      </c>
      <c r="AU88" s="75">
        <f t="shared" si="209"/>
        <v>11494.25</v>
      </c>
      <c r="AV88" s="75">
        <f t="shared" si="209"/>
        <v>10951.043478260868</v>
      </c>
      <c r="AW88" s="75">
        <f t="shared" si="209"/>
        <v>10494.75</v>
      </c>
      <c r="AX88" s="75">
        <f t="shared" si="209"/>
        <v>11452.604166666668</v>
      </c>
      <c r="AY88" s="75">
        <f t="shared" si="209"/>
        <v>11954.019999999999</v>
      </c>
      <c r="AZ88" s="75">
        <f t="shared" si="209"/>
        <v>12455.307692307691</v>
      </c>
      <c r="BA88" s="75">
        <f t="shared" si="209"/>
        <v>13474.740740740739</v>
      </c>
      <c r="BB88" s="75">
        <f t="shared" si="209"/>
        <v>13457.553571428572</v>
      </c>
      <c r="BC88" s="70">
        <f>IF($M88="","",SUM(AQ88:BB88))</f>
        <v>136950.70240581481</v>
      </c>
      <c r="BD88" s="107"/>
      <c r="BE88" s="118" t="str">
        <f>BE7</f>
        <v>Product 2</v>
      </c>
      <c r="BF88" s="123">
        <f>INDEX(AQ$88:AQ$112,MATCH($BE88,$AP$88:$AP$112,0))</f>
        <v>14990</v>
      </c>
      <c r="BG88" s="123">
        <f t="shared" ref="BG88:BQ88" si="210">INDEX(AR$88:AR$112,MATCH($BE88,$AP$88:$AP$112,0))</f>
        <v>11242.5</v>
      </c>
      <c r="BH88" s="123">
        <f t="shared" si="210"/>
        <v>14990</v>
      </c>
      <c r="BI88" s="123">
        <f t="shared" si="210"/>
        <v>21860.416666666668</v>
      </c>
      <c r="BJ88" s="123">
        <f t="shared" si="210"/>
        <v>18737.5</v>
      </c>
      <c r="BK88" s="123">
        <f t="shared" si="210"/>
        <v>25697.142857142855</v>
      </c>
      <c r="BL88" s="123">
        <f t="shared" si="210"/>
        <v>22485</v>
      </c>
      <c r="BM88" s="123">
        <f t="shared" si="210"/>
        <v>29511.5625</v>
      </c>
      <c r="BN88" s="123">
        <f t="shared" si="210"/>
        <v>33311.111111111109</v>
      </c>
      <c r="BO88" s="123">
        <f t="shared" si="210"/>
        <v>44970</v>
      </c>
      <c r="BP88" s="123">
        <f t="shared" si="210"/>
        <v>52465</v>
      </c>
      <c r="BQ88" s="123">
        <f t="shared" si="210"/>
        <v>44970</v>
      </c>
      <c r="BS88" s="65" t="str">
        <f t="shared" ref="BS88:BS112" si="211">IF(M7=0,"",M7)</f>
        <v>Product 1</v>
      </c>
      <c r="BT88" s="75">
        <f>IF($AP88="","",BT7*BT34)</f>
        <v>9941.9761273209551</v>
      </c>
      <c r="BU88" s="75">
        <f t="shared" ref="BU88:CE88" si="212">IF($AP88="","",BU7*BU34)</f>
        <v>9403.2960000000003</v>
      </c>
      <c r="BV88" s="75">
        <f t="shared" si="212"/>
        <v>9783.7961309523816</v>
      </c>
      <c r="BW88" s="75">
        <f t="shared" si="212"/>
        <v>10994.5</v>
      </c>
      <c r="BX88" s="75">
        <f t="shared" si="212"/>
        <v>11936.336538461537</v>
      </c>
      <c r="BY88" s="75">
        <f t="shared" si="212"/>
        <v>11356.63768115942</v>
      </c>
      <c r="BZ88" s="75">
        <f t="shared" si="212"/>
        <v>10494.75</v>
      </c>
      <c r="CA88" s="75">
        <f t="shared" si="212"/>
        <v>11861.625744047622</v>
      </c>
      <c r="CB88" s="75">
        <f t="shared" si="212"/>
        <v>12366.227586206896</v>
      </c>
      <c r="CC88" s="75">
        <f t="shared" si="212"/>
        <v>13285.661538461538</v>
      </c>
      <c r="CD88" s="75">
        <f t="shared" si="212"/>
        <v>14316.912037037036</v>
      </c>
      <c r="CE88" s="75">
        <f t="shared" si="212"/>
        <v>14249.174369747898</v>
      </c>
      <c r="CF88" s="70">
        <f>IF($M88="","",SUM(BT88:CE88))</f>
        <v>139990.8937533953</v>
      </c>
      <c r="CG88" s="107"/>
      <c r="CH88" s="118" t="str">
        <f>CH7</f>
        <v>Product 2</v>
      </c>
      <c r="CI88" s="123">
        <f>INDEX(BT$88:BT$112,MATCH($CH88,$BS$88:$BS$112,0))</f>
        <v>12848.571428571428</v>
      </c>
      <c r="CJ88" s="123">
        <f t="shared" ref="CJ88:CT88" si="213">INDEX(BU$88:BU$112,MATCH($CH88,$BS$88:$BS$112,0))</f>
        <v>7495</v>
      </c>
      <c r="CK88" s="123">
        <f t="shared" si="213"/>
        <v>14990</v>
      </c>
      <c r="CL88" s="123">
        <f t="shared" si="213"/>
        <v>24592.968750000004</v>
      </c>
      <c r="CM88" s="123">
        <f t="shared" si="213"/>
        <v>18737.5</v>
      </c>
      <c r="CN88" s="123">
        <f t="shared" si="213"/>
        <v>28552.380952380954</v>
      </c>
      <c r="CO88" s="123">
        <f t="shared" si="213"/>
        <v>22485</v>
      </c>
      <c r="CP88" s="123">
        <f t="shared" si="213"/>
        <v>32462.71875</v>
      </c>
      <c r="CQ88" s="123">
        <f t="shared" si="213"/>
        <v>36339.393939393936</v>
      </c>
      <c r="CR88" s="123">
        <f t="shared" si="213"/>
        <v>52465</v>
      </c>
      <c r="CS88" s="123">
        <f t="shared" si="213"/>
        <v>59960</v>
      </c>
      <c r="CT88" s="123">
        <f t="shared" si="213"/>
        <v>44970</v>
      </c>
      <c r="CV88" s="65" t="str">
        <f t="shared" ref="CV88:CV112" si="214">IF(M7=0,"",M7)</f>
        <v>Product 1</v>
      </c>
      <c r="CW88" s="66">
        <f>IFERROR(IF(M88="","",BC88-Z88),"")</f>
        <v>1518.452405814809</v>
      </c>
      <c r="CX88" s="66">
        <f>IFERROR(IF(M88="","",CF88-BC88),"")</f>
        <v>3040.1913475804904</v>
      </c>
      <c r="CY88" s="66">
        <f>IFERROR(IF(M88="","",CF88-BC88),"")</f>
        <v>3040.1913475804904</v>
      </c>
    </row>
    <row r="89" spans="13:103" s="38" customFormat="1" ht="15" customHeight="1" x14ac:dyDescent="0.2">
      <c r="M89" s="82" t="str">
        <f t="shared" ref="M89:M111" si="215">IF(M8=0,"",M8)</f>
        <v>Product 2</v>
      </c>
      <c r="N89" s="75">
        <f t="shared" si="206"/>
        <v>22485</v>
      </c>
      <c r="O89" s="75">
        <f t="shared" si="206"/>
        <v>14990</v>
      </c>
      <c r="P89" s="75">
        <f t="shared" si="206"/>
        <v>14990</v>
      </c>
      <c r="Q89" s="75">
        <f t="shared" si="206"/>
        <v>18737.5</v>
      </c>
      <c r="R89" s="75">
        <f t="shared" si="206"/>
        <v>18737.5</v>
      </c>
      <c r="S89" s="75">
        <f t="shared" si="206"/>
        <v>22485</v>
      </c>
      <c r="T89" s="75">
        <f t="shared" si="206"/>
        <v>22485</v>
      </c>
      <c r="U89" s="75">
        <f t="shared" si="206"/>
        <v>26232.5</v>
      </c>
      <c r="V89" s="75">
        <f t="shared" si="206"/>
        <v>29980</v>
      </c>
      <c r="W89" s="75">
        <f t="shared" si="206"/>
        <v>37475</v>
      </c>
      <c r="X89" s="75">
        <f t="shared" si="206"/>
        <v>44970</v>
      </c>
      <c r="Y89" s="75">
        <f t="shared" si="206"/>
        <v>44970</v>
      </c>
      <c r="Z89" s="70">
        <f t="shared" ref="Z89:Z112" si="216">IF($M89="","",SUM(N89:Y89))</f>
        <v>318537.5</v>
      </c>
      <c r="AA89" s="107"/>
      <c r="AB89" s="118" t="str">
        <f t="shared" ref="AB89:AB90" si="217">AB8</f>
        <v>Product 3</v>
      </c>
      <c r="AC89" s="117">
        <f t="shared" ref="AC89:AC90" si="218">INDEX(N$88:N$112,MATCH($AB89,$M$88:$M$112,0))</f>
        <v>7498.5</v>
      </c>
      <c r="AD89" s="117">
        <f t="shared" ref="AD89:AD90" si="219">INDEX(O$88:O$112,MATCH($AB89,$M$88:$M$112,0))</f>
        <v>9998</v>
      </c>
      <c r="AE89" s="117">
        <f t="shared" ref="AE89:AE90" si="220">INDEX(P$88:P$112,MATCH($AB89,$M$88:$M$112,0))</f>
        <v>12497.5</v>
      </c>
      <c r="AF89" s="117">
        <f t="shared" ref="AF89:AF90" si="221">INDEX(Q$88:Q$112,MATCH($AB89,$M$88:$M$112,0))</f>
        <v>14997</v>
      </c>
      <c r="AG89" s="117">
        <f t="shared" ref="AG89:AG90" si="222">INDEX(R$88:R$112,MATCH($AB89,$M$88:$M$112,0))</f>
        <v>17496.5</v>
      </c>
      <c r="AH89" s="117">
        <f t="shared" ref="AH89:AH90" si="223">INDEX(S$88:S$112,MATCH($AB89,$M$88:$M$112,0))</f>
        <v>19996</v>
      </c>
      <c r="AI89" s="117">
        <f t="shared" ref="AI89:AI90" si="224">INDEX(T$88:T$112,MATCH($AB89,$M$88:$M$112,0))</f>
        <v>19996</v>
      </c>
      <c r="AJ89" s="117">
        <f t="shared" ref="AJ89:AJ90" si="225">INDEX(U$88:U$112,MATCH($AB89,$M$88:$M$112,0))</f>
        <v>17496.5</v>
      </c>
      <c r="AK89" s="117">
        <f t="shared" ref="AK89:AK90" si="226">INDEX(V$88:V$112,MATCH($AB89,$M$88:$M$112,0))</f>
        <v>17496.5</v>
      </c>
      <c r="AL89" s="117">
        <f t="shared" ref="AL89:AL90" si="227">INDEX(W$88:W$112,MATCH($AB89,$M$88:$M$112,0))</f>
        <v>14997</v>
      </c>
      <c r="AM89" s="117">
        <f t="shared" ref="AM89:AM90" si="228">INDEX(X$88:X$112,MATCH($AB89,$M$88:$M$112,0))</f>
        <v>14997</v>
      </c>
      <c r="AN89" s="117">
        <f t="shared" ref="AN89:AN90" si="229">INDEX(Y$88:Y$112,MATCH($AB89,$M$88:$M$112,0))</f>
        <v>14997</v>
      </c>
      <c r="AP89" s="65" t="str">
        <f t="shared" si="208"/>
        <v>Product 2</v>
      </c>
      <c r="AQ89" s="75">
        <f t="shared" ref="AQ89:BB89" si="230">IF($AP89="","",AQ8*AQ35)</f>
        <v>14990</v>
      </c>
      <c r="AR89" s="75">
        <f t="shared" si="230"/>
        <v>11242.5</v>
      </c>
      <c r="AS89" s="75">
        <f t="shared" si="230"/>
        <v>14990</v>
      </c>
      <c r="AT89" s="75">
        <f t="shared" si="230"/>
        <v>21860.416666666668</v>
      </c>
      <c r="AU89" s="75">
        <f t="shared" si="230"/>
        <v>18737.5</v>
      </c>
      <c r="AV89" s="75">
        <f t="shared" si="230"/>
        <v>25697.142857142855</v>
      </c>
      <c r="AW89" s="75">
        <f t="shared" si="230"/>
        <v>22485</v>
      </c>
      <c r="AX89" s="75">
        <f t="shared" si="230"/>
        <v>29511.5625</v>
      </c>
      <c r="AY89" s="75">
        <f t="shared" si="230"/>
        <v>33311.111111111109</v>
      </c>
      <c r="AZ89" s="75">
        <f t="shared" si="230"/>
        <v>44970</v>
      </c>
      <c r="BA89" s="75">
        <f t="shared" si="230"/>
        <v>52465</v>
      </c>
      <c r="BB89" s="75">
        <f t="shared" si="230"/>
        <v>44970</v>
      </c>
      <c r="BC89" s="70">
        <f t="shared" ref="BC89:BC112" si="231">IF($M89="","",SUM(AQ89:BB89))</f>
        <v>335230.23313492065</v>
      </c>
      <c r="BD89" s="107"/>
      <c r="BE89" s="118" t="str">
        <f t="shared" ref="BE89:BE90" si="232">BE8</f>
        <v>Product 3</v>
      </c>
      <c r="BF89" s="123">
        <f t="shared" ref="BF89:BF90" si="233">INDEX(AQ$88:AQ$112,MATCH($BE89,$AP$88:$AP$112,0))</f>
        <v>8248.5</v>
      </c>
      <c r="BG89" s="123">
        <f t="shared" ref="BG89:BG90" si="234">INDEX(AR$88:AR$112,MATCH($BE89,$AP$88:$AP$112,0))</f>
        <v>9165.0000000000018</v>
      </c>
      <c r="BH89" s="123">
        <f t="shared" ref="BH89:BH90" si="235">INDEX(AS$88:AS$112,MATCH($BE89,$AP$88:$AP$112,0))</f>
        <v>16497</v>
      </c>
      <c r="BI89" s="123">
        <f t="shared" ref="BI89:BI90" si="236">INDEX(AT$88:AT$112,MATCH($BE89,$AP$88:$AP$112,0))</f>
        <v>19246.5</v>
      </c>
      <c r="BJ89" s="123">
        <f t="shared" ref="BJ89:BJ90" si="237">INDEX(AU$88:AU$112,MATCH($BE89,$AP$88:$AP$112,0))</f>
        <v>21996</v>
      </c>
      <c r="BK89" s="123">
        <f t="shared" ref="BK89:BK90" si="238">INDEX(AV$88:AV$112,MATCH($BE89,$AP$88:$AP$112,0))</f>
        <v>24745.5</v>
      </c>
      <c r="BL89" s="123">
        <f t="shared" ref="BL89:BL90" si="239">INDEX(AW$88:AW$112,MATCH($BE89,$AP$88:$AP$112,0))</f>
        <v>24440</v>
      </c>
      <c r="BM89" s="123">
        <f t="shared" ref="BM89:BM90" si="240">INDEX(AX$88:AX$112,MATCH($BE89,$AP$88:$AP$112,0))</f>
        <v>15397.2</v>
      </c>
      <c r="BN89" s="123">
        <f t="shared" ref="BN89:BN90" si="241">INDEX(AY$88:AY$112,MATCH($BE89,$AP$88:$AP$112,0))</f>
        <v>19246.5</v>
      </c>
      <c r="BO89" s="123">
        <f t="shared" ref="BO89:BO90" si="242">INDEX(AZ$88:AZ$112,MATCH($BE89,$AP$88:$AP$112,0))</f>
        <v>14434.875</v>
      </c>
      <c r="BP89" s="123">
        <f t="shared" ref="BP89:BP90" si="243">INDEX(BA$88:BA$112,MATCH($BE89,$AP$88:$AP$112,0))</f>
        <v>16497</v>
      </c>
      <c r="BQ89" s="123">
        <f t="shared" ref="BQ89:BQ90" si="244">INDEX(BB$88:BB$112,MATCH($BE89,$AP$88:$AP$112,0))</f>
        <v>15318.642857142857</v>
      </c>
      <c r="BS89" s="65" t="str">
        <f t="shared" si="211"/>
        <v>Product 2</v>
      </c>
      <c r="BT89" s="75">
        <f t="shared" ref="BT89:CE89" si="245">IF($AP89="","",BT8*BT35)</f>
        <v>12848.571428571428</v>
      </c>
      <c r="BU89" s="75">
        <f t="shared" si="245"/>
        <v>7495</v>
      </c>
      <c r="BV89" s="75">
        <f t="shared" si="245"/>
        <v>14990</v>
      </c>
      <c r="BW89" s="75">
        <f t="shared" si="245"/>
        <v>24592.968750000004</v>
      </c>
      <c r="BX89" s="75">
        <f t="shared" si="245"/>
        <v>18737.5</v>
      </c>
      <c r="BY89" s="75">
        <f t="shared" si="245"/>
        <v>28552.380952380954</v>
      </c>
      <c r="BZ89" s="75">
        <f t="shared" si="245"/>
        <v>22485</v>
      </c>
      <c r="CA89" s="75">
        <f t="shared" si="245"/>
        <v>32462.71875</v>
      </c>
      <c r="CB89" s="75">
        <f t="shared" si="245"/>
        <v>36339.393939393936</v>
      </c>
      <c r="CC89" s="75">
        <f t="shared" si="245"/>
        <v>52465</v>
      </c>
      <c r="CD89" s="75">
        <f t="shared" si="245"/>
        <v>59960</v>
      </c>
      <c r="CE89" s="75">
        <f t="shared" si="245"/>
        <v>44970</v>
      </c>
      <c r="CF89" s="70">
        <f t="shared" ref="CF89:CF112" si="246">IF($M89="","",SUM(BT89:CE89))</f>
        <v>355898.53382034635</v>
      </c>
      <c r="CG89" s="107"/>
      <c r="CH89" s="118" t="str">
        <f t="shared" ref="CH89:CH90" si="247">CH8</f>
        <v>Product 3</v>
      </c>
      <c r="CI89" s="123">
        <f t="shared" ref="CI89:CI90" si="248">INDEX(BT$88:BT$112,MATCH($CH89,$BS$88:$BS$112,0))</f>
        <v>8998.5</v>
      </c>
      <c r="CJ89" s="123">
        <f t="shared" ref="CJ89" si="249">INDEX(BU$88:BU$112,MATCH($CH89,$BS$88:$BS$112,0))</f>
        <v>10767.435897435898</v>
      </c>
      <c r="CK89" s="123">
        <f t="shared" ref="CK89:CK90" si="250">INDEX(BV$88:BV$112,MATCH($CH89,$BS$88:$BS$112,0))</f>
        <v>20568</v>
      </c>
      <c r="CL89" s="123">
        <f t="shared" ref="CL89" si="251">INDEX(BW$88:BW$112,MATCH($CH89,$BS$88:$BS$112,0))</f>
        <v>23621.0625</v>
      </c>
      <c r="CM89" s="123">
        <f t="shared" ref="CM89:CM90" si="252">INDEX(BX$88:BX$112,MATCH($CH89,$BS$88:$BS$112,0))</f>
        <v>26662.222222222223</v>
      </c>
      <c r="CN89" s="123">
        <f t="shared" ref="CN89:CN90" si="253">INDEX(BY$88:BY$112,MATCH($CH89,$BS$88:$BS$112,0))</f>
        <v>29695.050000000003</v>
      </c>
      <c r="CO89" s="123">
        <f t="shared" ref="CO89:CO90" si="254">INDEX(BZ$88:BZ$112,MATCH($CH89,$BS$88:$BS$112,0))</f>
        <v>29086.060606060604</v>
      </c>
      <c r="CP89" s="123">
        <f t="shared" ref="CP89:CP90" si="255">INDEX(CA$88:CA$112,MATCH($CH89,$BS$88:$BS$112,0))</f>
        <v>13997.666666666668</v>
      </c>
      <c r="CQ89" s="123">
        <f t="shared" ref="CQ89:CQ90" si="256">INDEX(CB$88:CB$112,MATCH($CH89,$BS$88:$BS$112,0))</f>
        <v>20996.5</v>
      </c>
      <c r="CR89" s="123">
        <f t="shared" ref="CR89:CR90" si="257">INDEX(CC$88:CC$112,MATCH($CH89,$BS$88:$BS$112,0))</f>
        <v>14172.637500000001</v>
      </c>
      <c r="CS89" s="123">
        <f t="shared" ref="CS89:CS90" si="258">INDEX(CD$88:CD$112,MATCH($CH89,$BS$88:$BS$112,0))</f>
        <v>17997</v>
      </c>
      <c r="CT89" s="123">
        <f t="shared" ref="CT89" si="259">INDEX(CE$88:CE$112,MATCH($CH89,$BS$88:$BS$112,0))</f>
        <v>15783.083333333332</v>
      </c>
      <c r="CV89" s="65" t="str">
        <f t="shared" si="214"/>
        <v>Product 2</v>
      </c>
      <c r="CW89" s="66">
        <f t="shared" ref="CW89:CW112" si="260">IFERROR(IF(M89="","",BC89-Z89),"")</f>
        <v>16692.733134920651</v>
      </c>
      <c r="CX89" s="66">
        <f t="shared" ref="CX89:CX112" si="261">IFERROR(IF(M89="","",CF89-BC89),"")</f>
        <v>20668.300685425696</v>
      </c>
      <c r="CY89" s="66">
        <f t="shared" ref="CY89:CY112" si="262">IFERROR(IF(M89="","",CF89-BC89),"")</f>
        <v>20668.300685425696</v>
      </c>
    </row>
    <row r="90" spans="13:103" s="38" customFormat="1" ht="15" customHeight="1" x14ac:dyDescent="0.2">
      <c r="M90" s="82" t="str">
        <f t="shared" si="215"/>
        <v>Product 3</v>
      </c>
      <c r="N90" s="75">
        <f t="shared" si="206"/>
        <v>7498.5</v>
      </c>
      <c r="O90" s="75">
        <f t="shared" si="206"/>
        <v>9998</v>
      </c>
      <c r="P90" s="75">
        <f t="shared" si="206"/>
        <v>12497.5</v>
      </c>
      <c r="Q90" s="75">
        <f t="shared" si="206"/>
        <v>14997</v>
      </c>
      <c r="R90" s="75">
        <f t="shared" si="206"/>
        <v>17496.5</v>
      </c>
      <c r="S90" s="75">
        <f t="shared" si="206"/>
        <v>19996</v>
      </c>
      <c r="T90" s="75">
        <f t="shared" si="206"/>
        <v>19996</v>
      </c>
      <c r="U90" s="75">
        <f t="shared" si="206"/>
        <v>17496.5</v>
      </c>
      <c r="V90" s="75">
        <f t="shared" si="206"/>
        <v>17496.5</v>
      </c>
      <c r="W90" s="75">
        <f t="shared" si="206"/>
        <v>14997</v>
      </c>
      <c r="X90" s="75">
        <f t="shared" si="206"/>
        <v>14997</v>
      </c>
      <c r="Y90" s="75">
        <f t="shared" si="206"/>
        <v>14997</v>
      </c>
      <c r="Z90" s="70">
        <f t="shared" si="216"/>
        <v>182463.5</v>
      </c>
      <c r="AA90" s="107"/>
      <c r="AB90" s="118" t="str">
        <f t="shared" si="217"/>
        <v>Product 1</v>
      </c>
      <c r="AC90" s="117">
        <f t="shared" si="218"/>
        <v>9995</v>
      </c>
      <c r="AD90" s="117">
        <f t="shared" si="219"/>
        <v>10494.75</v>
      </c>
      <c r="AE90" s="117">
        <f t="shared" si="220"/>
        <v>10994.5</v>
      </c>
      <c r="AF90" s="117">
        <f t="shared" si="221"/>
        <v>11494.25</v>
      </c>
      <c r="AG90" s="117">
        <f t="shared" si="222"/>
        <v>10994.5</v>
      </c>
      <c r="AH90" s="117">
        <f t="shared" si="223"/>
        <v>10494.75</v>
      </c>
      <c r="AI90" s="117">
        <f t="shared" si="224"/>
        <v>10494.75</v>
      </c>
      <c r="AJ90" s="117">
        <f t="shared" si="225"/>
        <v>10994.5</v>
      </c>
      <c r="AK90" s="117">
        <f t="shared" si="226"/>
        <v>11494.25</v>
      </c>
      <c r="AL90" s="117">
        <f t="shared" si="227"/>
        <v>11993.999999999998</v>
      </c>
      <c r="AM90" s="117">
        <f t="shared" si="228"/>
        <v>12993.499999999998</v>
      </c>
      <c r="AN90" s="117">
        <f t="shared" si="229"/>
        <v>12993.499999999998</v>
      </c>
      <c r="AP90" s="65" t="str">
        <f t="shared" si="208"/>
        <v>Product 3</v>
      </c>
      <c r="AQ90" s="75">
        <f t="shared" ref="AQ90:BB90" si="263">IF($AP90="","",AQ9*AQ36)</f>
        <v>8248.5</v>
      </c>
      <c r="AR90" s="75">
        <f t="shared" si="263"/>
        <v>9165.0000000000018</v>
      </c>
      <c r="AS90" s="75">
        <f t="shared" si="263"/>
        <v>16497</v>
      </c>
      <c r="AT90" s="75">
        <f t="shared" si="263"/>
        <v>19246.5</v>
      </c>
      <c r="AU90" s="75">
        <f t="shared" si="263"/>
        <v>21996</v>
      </c>
      <c r="AV90" s="75">
        <f t="shared" si="263"/>
        <v>24745.5</v>
      </c>
      <c r="AW90" s="75">
        <f t="shared" si="263"/>
        <v>24440</v>
      </c>
      <c r="AX90" s="75">
        <f t="shared" si="263"/>
        <v>15397.2</v>
      </c>
      <c r="AY90" s="75">
        <f t="shared" si="263"/>
        <v>19246.5</v>
      </c>
      <c r="AZ90" s="75">
        <f t="shared" si="263"/>
        <v>14434.875</v>
      </c>
      <c r="BA90" s="75">
        <f t="shared" si="263"/>
        <v>16497</v>
      </c>
      <c r="BB90" s="75">
        <f t="shared" si="263"/>
        <v>15318.642857142857</v>
      </c>
      <c r="BC90" s="70">
        <f t="shared" si="231"/>
        <v>205232.71785714288</v>
      </c>
      <c r="BD90" s="107"/>
      <c r="BE90" s="118" t="str">
        <f t="shared" si="232"/>
        <v>Product 1</v>
      </c>
      <c r="BF90" s="123">
        <f t="shared" si="233"/>
        <v>9610.576923076922</v>
      </c>
      <c r="BG90" s="123">
        <f t="shared" si="234"/>
        <v>10074.959999999999</v>
      </c>
      <c r="BH90" s="123">
        <f t="shared" si="235"/>
        <v>10536.395833333334</v>
      </c>
      <c r="BI90" s="123">
        <f t="shared" si="236"/>
        <v>10994.5</v>
      </c>
      <c r="BJ90" s="123">
        <f t="shared" si="237"/>
        <v>11494.25</v>
      </c>
      <c r="BK90" s="123">
        <f t="shared" si="238"/>
        <v>10951.043478260868</v>
      </c>
      <c r="BL90" s="123">
        <f t="shared" si="239"/>
        <v>10494.75</v>
      </c>
      <c r="BM90" s="123">
        <f t="shared" si="240"/>
        <v>11452.604166666668</v>
      </c>
      <c r="BN90" s="123">
        <f t="shared" si="241"/>
        <v>11954.019999999999</v>
      </c>
      <c r="BO90" s="123">
        <f t="shared" si="242"/>
        <v>12455.307692307691</v>
      </c>
      <c r="BP90" s="123">
        <f t="shared" si="243"/>
        <v>13474.740740740739</v>
      </c>
      <c r="BQ90" s="123">
        <f t="shared" si="244"/>
        <v>13457.553571428572</v>
      </c>
      <c r="BS90" s="65" t="str">
        <f t="shared" si="211"/>
        <v>Product 3</v>
      </c>
      <c r="BT90" s="75">
        <f t="shared" ref="BT90:CE90" si="264">IF($AP90="","",BT9*BT36)</f>
        <v>8998.5</v>
      </c>
      <c r="BU90" s="75">
        <f t="shared" si="264"/>
        <v>10767.435897435898</v>
      </c>
      <c r="BV90" s="75">
        <f t="shared" si="264"/>
        <v>20568</v>
      </c>
      <c r="BW90" s="75">
        <f t="shared" si="264"/>
        <v>23621.0625</v>
      </c>
      <c r="BX90" s="75">
        <f t="shared" si="264"/>
        <v>26662.222222222223</v>
      </c>
      <c r="BY90" s="75">
        <f t="shared" si="264"/>
        <v>29695.050000000003</v>
      </c>
      <c r="BZ90" s="75">
        <f t="shared" si="264"/>
        <v>29086.060606060604</v>
      </c>
      <c r="CA90" s="75">
        <f t="shared" si="264"/>
        <v>13997.666666666668</v>
      </c>
      <c r="CB90" s="75">
        <f t="shared" si="264"/>
        <v>20996.5</v>
      </c>
      <c r="CC90" s="75">
        <f t="shared" si="264"/>
        <v>14172.637500000001</v>
      </c>
      <c r="CD90" s="75">
        <f t="shared" si="264"/>
        <v>17997</v>
      </c>
      <c r="CE90" s="75">
        <f t="shared" si="264"/>
        <v>15783.083333333332</v>
      </c>
      <c r="CF90" s="70">
        <f t="shared" si="246"/>
        <v>232345.21872571873</v>
      </c>
      <c r="CG90" s="107"/>
      <c r="CH90" s="118" t="str">
        <f t="shared" si="247"/>
        <v>Product 1</v>
      </c>
      <c r="CI90" s="123">
        <f t="shared" si="248"/>
        <v>9941.9761273209551</v>
      </c>
      <c r="CJ90" s="123">
        <f>INDEX(BU$88:BU$112,MATCH($CH90,$BS$88:$BS$112,0))</f>
        <v>9403.2960000000003</v>
      </c>
      <c r="CK90" s="123">
        <f t="shared" si="250"/>
        <v>9783.7961309523816</v>
      </c>
      <c r="CL90" s="123">
        <f>INDEX(BW$88:BW$112,MATCH($CH90,$BS$88:$BS$112,0))</f>
        <v>10994.5</v>
      </c>
      <c r="CM90" s="123">
        <f t="shared" si="252"/>
        <v>11936.336538461537</v>
      </c>
      <c r="CN90" s="123">
        <f t="shared" si="253"/>
        <v>11356.63768115942</v>
      </c>
      <c r="CO90" s="123">
        <f t="shared" si="254"/>
        <v>10494.75</v>
      </c>
      <c r="CP90" s="123">
        <f t="shared" si="255"/>
        <v>11861.625744047622</v>
      </c>
      <c r="CQ90" s="123">
        <f t="shared" si="256"/>
        <v>12366.227586206896</v>
      </c>
      <c r="CR90" s="123">
        <f t="shared" si="257"/>
        <v>13285.661538461538</v>
      </c>
      <c r="CS90" s="123">
        <f t="shared" si="258"/>
        <v>14316.912037037036</v>
      </c>
      <c r="CT90" s="123">
        <f>INDEX(CE$88:CE$112,MATCH($CH90,$BS$88:$BS$112,0))</f>
        <v>14249.174369747898</v>
      </c>
      <c r="CV90" s="65" t="str">
        <f t="shared" si="214"/>
        <v>Product 3</v>
      </c>
      <c r="CW90" s="66">
        <f t="shared" si="260"/>
        <v>22769.217857142881</v>
      </c>
      <c r="CX90" s="66">
        <f t="shared" si="261"/>
        <v>27112.500868575851</v>
      </c>
      <c r="CY90" s="66">
        <f t="shared" si="262"/>
        <v>27112.500868575851</v>
      </c>
    </row>
    <row r="91" spans="13:103" s="38" customFormat="1" ht="15" customHeight="1" x14ac:dyDescent="0.2">
      <c r="M91" s="82" t="str">
        <f t="shared" si="215"/>
        <v/>
      </c>
      <c r="N91" s="75" t="str">
        <f>IF(OR(N37="",N10="",$M91=""),"",N10*N37)</f>
        <v/>
      </c>
      <c r="O91" s="75" t="str">
        <f t="shared" ref="O91:Y91" si="265">IF(OR(O37="",O10="",$M91=""),"",O10*O37)</f>
        <v/>
      </c>
      <c r="P91" s="75" t="str">
        <f t="shared" si="265"/>
        <v/>
      </c>
      <c r="Q91" s="75" t="str">
        <f t="shared" si="265"/>
        <v/>
      </c>
      <c r="R91" s="75" t="str">
        <f t="shared" si="265"/>
        <v/>
      </c>
      <c r="S91" s="75" t="str">
        <f t="shared" si="265"/>
        <v/>
      </c>
      <c r="T91" s="75" t="str">
        <f t="shared" si="265"/>
        <v/>
      </c>
      <c r="U91" s="75" t="str">
        <f t="shared" si="265"/>
        <v/>
      </c>
      <c r="V91" s="75" t="str">
        <f t="shared" si="265"/>
        <v/>
      </c>
      <c r="W91" s="75" t="str">
        <f t="shared" si="265"/>
        <v/>
      </c>
      <c r="X91" s="75" t="str">
        <f t="shared" si="265"/>
        <v/>
      </c>
      <c r="Y91" s="75" t="str">
        <f t="shared" si="265"/>
        <v/>
      </c>
      <c r="Z91" s="70" t="str">
        <f t="shared" si="216"/>
        <v/>
      </c>
      <c r="AA91" s="107"/>
      <c r="AB91" s="106"/>
      <c r="AC91" s="102"/>
      <c r="AD91" s="102"/>
      <c r="AE91" s="102"/>
      <c r="AF91" s="102"/>
      <c r="AG91" s="102"/>
      <c r="AH91" s="102"/>
      <c r="AI91" s="102"/>
      <c r="AJ91" s="102"/>
      <c r="AK91" s="102"/>
      <c r="AL91" s="102"/>
      <c r="AM91" s="102"/>
      <c r="AN91" s="102"/>
      <c r="AP91" s="65" t="str">
        <f t="shared" si="208"/>
        <v/>
      </c>
      <c r="AQ91" s="75" t="str">
        <f t="shared" ref="AQ91:BB91" si="266">IF($AP91="","",AQ10*AQ37)</f>
        <v/>
      </c>
      <c r="AR91" s="75" t="str">
        <f t="shared" si="266"/>
        <v/>
      </c>
      <c r="AS91" s="75" t="str">
        <f t="shared" si="266"/>
        <v/>
      </c>
      <c r="AT91" s="75" t="str">
        <f t="shared" si="266"/>
        <v/>
      </c>
      <c r="AU91" s="75" t="str">
        <f t="shared" si="266"/>
        <v/>
      </c>
      <c r="AV91" s="75" t="str">
        <f t="shared" si="266"/>
        <v/>
      </c>
      <c r="AW91" s="75" t="str">
        <f t="shared" si="266"/>
        <v/>
      </c>
      <c r="AX91" s="75" t="str">
        <f t="shared" si="266"/>
        <v/>
      </c>
      <c r="AY91" s="75" t="str">
        <f t="shared" si="266"/>
        <v/>
      </c>
      <c r="AZ91" s="75" t="str">
        <f t="shared" si="266"/>
        <v/>
      </c>
      <c r="BA91" s="75" t="str">
        <f t="shared" si="266"/>
        <v/>
      </c>
      <c r="BB91" s="75" t="str">
        <f t="shared" si="266"/>
        <v/>
      </c>
      <c r="BC91" s="70" t="str">
        <f t="shared" si="231"/>
        <v/>
      </c>
      <c r="BD91" s="107"/>
      <c r="BE91" s="106"/>
      <c r="BF91" s="102"/>
      <c r="BG91" s="102"/>
      <c r="BH91" s="102"/>
      <c r="BI91" s="102"/>
      <c r="BJ91" s="102"/>
      <c r="BK91" s="102"/>
      <c r="BL91" s="102"/>
      <c r="BM91" s="102"/>
      <c r="BN91" s="102"/>
      <c r="BO91" s="102"/>
      <c r="BP91" s="102"/>
      <c r="BQ91" s="102"/>
      <c r="BS91" s="65" t="str">
        <f t="shared" si="211"/>
        <v/>
      </c>
      <c r="BT91" s="75" t="str">
        <f t="shared" ref="BT91:CE91" si="267">IF($AP91="","",BT10*BT37)</f>
        <v/>
      </c>
      <c r="BU91" s="75" t="str">
        <f t="shared" si="267"/>
        <v/>
      </c>
      <c r="BV91" s="75" t="str">
        <f t="shared" si="267"/>
        <v/>
      </c>
      <c r="BW91" s="75" t="str">
        <f t="shared" si="267"/>
        <v/>
      </c>
      <c r="BX91" s="75" t="str">
        <f t="shared" si="267"/>
        <v/>
      </c>
      <c r="BY91" s="75" t="str">
        <f t="shared" si="267"/>
        <v/>
      </c>
      <c r="BZ91" s="75" t="str">
        <f t="shared" si="267"/>
        <v/>
      </c>
      <c r="CA91" s="75" t="str">
        <f t="shared" si="267"/>
        <v/>
      </c>
      <c r="CB91" s="75" t="str">
        <f t="shared" si="267"/>
        <v/>
      </c>
      <c r="CC91" s="75" t="str">
        <f t="shared" si="267"/>
        <v/>
      </c>
      <c r="CD91" s="75" t="str">
        <f t="shared" si="267"/>
        <v/>
      </c>
      <c r="CE91" s="75" t="str">
        <f t="shared" si="267"/>
        <v/>
      </c>
      <c r="CF91" s="70" t="str">
        <f t="shared" si="246"/>
        <v/>
      </c>
      <c r="CG91" s="107"/>
      <c r="CH91" s="106"/>
      <c r="CI91" s="102"/>
      <c r="CJ91" s="102"/>
      <c r="CK91" s="102"/>
      <c r="CL91" s="102"/>
      <c r="CM91" s="102"/>
      <c r="CN91" s="102"/>
      <c r="CO91" s="102"/>
      <c r="CP91" s="102"/>
      <c r="CQ91" s="102"/>
      <c r="CR91" s="102"/>
      <c r="CS91" s="102"/>
      <c r="CT91" s="102"/>
      <c r="CV91" s="65" t="str">
        <f t="shared" si="214"/>
        <v/>
      </c>
      <c r="CW91" s="66" t="str">
        <f t="shared" si="260"/>
        <v/>
      </c>
      <c r="CX91" s="66" t="str">
        <f t="shared" si="261"/>
        <v/>
      </c>
      <c r="CY91" s="66" t="str">
        <f t="shared" si="262"/>
        <v/>
      </c>
    </row>
    <row r="92" spans="13:103" s="38" customFormat="1" ht="15" customHeight="1" x14ac:dyDescent="0.2">
      <c r="M92" s="82" t="str">
        <f t="shared" si="215"/>
        <v/>
      </c>
      <c r="N92" s="75" t="str">
        <f t="shared" ref="N92:Y92" si="268">IF(OR(N38="",N11="",$M92=""),"",N11*N38)</f>
        <v/>
      </c>
      <c r="O92" s="75" t="str">
        <f t="shared" si="268"/>
        <v/>
      </c>
      <c r="P92" s="75" t="str">
        <f t="shared" si="268"/>
        <v/>
      </c>
      <c r="Q92" s="75" t="str">
        <f t="shared" si="268"/>
        <v/>
      </c>
      <c r="R92" s="75" t="str">
        <f t="shared" si="268"/>
        <v/>
      </c>
      <c r="S92" s="75" t="str">
        <f t="shared" si="268"/>
        <v/>
      </c>
      <c r="T92" s="75" t="str">
        <f t="shared" si="268"/>
        <v/>
      </c>
      <c r="U92" s="75" t="str">
        <f t="shared" si="268"/>
        <v/>
      </c>
      <c r="V92" s="75" t="str">
        <f t="shared" si="268"/>
        <v/>
      </c>
      <c r="W92" s="75" t="str">
        <f t="shared" si="268"/>
        <v/>
      </c>
      <c r="X92" s="75" t="str">
        <f t="shared" si="268"/>
        <v/>
      </c>
      <c r="Y92" s="75" t="str">
        <f t="shared" si="268"/>
        <v/>
      </c>
      <c r="Z92" s="70" t="str">
        <f t="shared" si="216"/>
        <v/>
      </c>
      <c r="AA92" s="107"/>
      <c r="AB92" s="106"/>
      <c r="AC92" s="102"/>
      <c r="AD92" s="102"/>
      <c r="AE92" s="102"/>
      <c r="AF92" s="102"/>
      <c r="AG92" s="102"/>
      <c r="AH92" s="102"/>
      <c r="AI92" s="102"/>
      <c r="AJ92" s="102"/>
      <c r="AK92" s="102"/>
      <c r="AL92" s="102"/>
      <c r="AM92" s="102"/>
      <c r="AN92" s="102"/>
      <c r="AP92" s="65" t="str">
        <f t="shared" si="208"/>
        <v/>
      </c>
      <c r="AQ92" s="75" t="str">
        <f t="shared" ref="AQ92:BB92" si="269">IF($AP92="","",AQ11*AQ38)</f>
        <v/>
      </c>
      <c r="AR92" s="75" t="str">
        <f t="shared" si="269"/>
        <v/>
      </c>
      <c r="AS92" s="75" t="str">
        <f t="shared" si="269"/>
        <v/>
      </c>
      <c r="AT92" s="75" t="str">
        <f t="shared" si="269"/>
        <v/>
      </c>
      <c r="AU92" s="75" t="str">
        <f t="shared" si="269"/>
        <v/>
      </c>
      <c r="AV92" s="75" t="str">
        <f t="shared" si="269"/>
        <v/>
      </c>
      <c r="AW92" s="75" t="str">
        <f t="shared" si="269"/>
        <v/>
      </c>
      <c r="AX92" s="75" t="str">
        <f t="shared" si="269"/>
        <v/>
      </c>
      <c r="AY92" s="75" t="str">
        <f t="shared" si="269"/>
        <v/>
      </c>
      <c r="AZ92" s="75" t="str">
        <f t="shared" si="269"/>
        <v/>
      </c>
      <c r="BA92" s="75" t="str">
        <f t="shared" si="269"/>
        <v/>
      </c>
      <c r="BB92" s="75" t="str">
        <f t="shared" si="269"/>
        <v/>
      </c>
      <c r="BC92" s="70" t="str">
        <f t="shared" si="231"/>
        <v/>
      </c>
      <c r="BD92" s="107"/>
      <c r="BE92" s="106"/>
      <c r="BF92" s="102"/>
      <c r="BG92" s="102"/>
      <c r="BH92" s="102"/>
      <c r="BI92" s="102"/>
      <c r="BJ92" s="102"/>
      <c r="BK92" s="102"/>
      <c r="BL92" s="102"/>
      <c r="BM92" s="102"/>
      <c r="BN92" s="102"/>
      <c r="BO92" s="102"/>
      <c r="BP92" s="102"/>
      <c r="BQ92" s="102"/>
      <c r="BS92" s="65" t="str">
        <f t="shared" si="211"/>
        <v/>
      </c>
      <c r="BT92" s="75" t="str">
        <f t="shared" ref="BT92:CE92" si="270">IF($AP92="","",BT11*BT38)</f>
        <v/>
      </c>
      <c r="BU92" s="75" t="str">
        <f t="shared" si="270"/>
        <v/>
      </c>
      <c r="BV92" s="75" t="str">
        <f t="shared" si="270"/>
        <v/>
      </c>
      <c r="BW92" s="75" t="str">
        <f t="shared" si="270"/>
        <v/>
      </c>
      <c r="BX92" s="75" t="str">
        <f t="shared" si="270"/>
        <v/>
      </c>
      <c r="BY92" s="75" t="str">
        <f t="shared" si="270"/>
        <v/>
      </c>
      <c r="BZ92" s="75" t="str">
        <f t="shared" si="270"/>
        <v/>
      </c>
      <c r="CA92" s="75" t="str">
        <f t="shared" si="270"/>
        <v/>
      </c>
      <c r="CB92" s="75" t="str">
        <f t="shared" si="270"/>
        <v/>
      </c>
      <c r="CC92" s="75" t="str">
        <f t="shared" si="270"/>
        <v/>
      </c>
      <c r="CD92" s="75" t="str">
        <f t="shared" si="270"/>
        <v/>
      </c>
      <c r="CE92" s="75" t="str">
        <f t="shared" si="270"/>
        <v/>
      </c>
      <c r="CF92" s="70" t="str">
        <f t="shared" si="246"/>
        <v/>
      </c>
      <c r="CG92" s="107"/>
      <c r="CH92" s="106"/>
      <c r="CI92" s="102"/>
      <c r="CJ92" s="102"/>
      <c r="CK92" s="102"/>
      <c r="CL92" s="102"/>
      <c r="CM92" s="102"/>
      <c r="CN92" s="102"/>
      <c r="CO92" s="102"/>
      <c r="CP92" s="102"/>
      <c r="CQ92" s="102"/>
      <c r="CR92" s="102"/>
      <c r="CS92" s="102"/>
      <c r="CT92" s="102"/>
      <c r="CV92" s="65" t="str">
        <f t="shared" si="214"/>
        <v/>
      </c>
      <c r="CW92" s="66" t="str">
        <f t="shared" si="260"/>
        <v/>
      </c>
      <c r="CX92" s="66" t="str">
        <f t="shared" si="261"/>
        <v/>
      </c>
      <c r="CY92" s="66" t="str">
        <f t="shared" si="262"/>
        <v/>
      </c>
    </row>
    <row r="93" spans="13:103" s="38" customFormat="1" ht="15" customHeight="1" x14ac:dyDescent="0.2">
      <c r="M93" s="82" t="str">
        <f t="shared" si="215"/>
        <v/>
      </c>
      <c r="N93" s="75" t="str">
        <f t="shared" ref="N93:Y93" si="271">IF(OR(N39="",N12="",$M93=""),"",N12*N39)</f>
        <v/>
      </c>
      <c r="O93" s="75" t="str">
        <f t="shared" si="271"/>
        <v/>
      </c>
      <c r="P93" s="75" t="str">
        <f t="shared" si="271"/>
        <v/>
      </c>
      <c r="Q93" s="75" t="str">
        <f t="shared" si="271"/>
        <v/>
      </c>
      <c r="R93" s="75" t="str">
        <f t="shared" si="271"/>
        <v/>
      </c>
      <c r="S93" s="75" t="str">
        <f t="shared" si="271"/>
        <v/>
      </c>
      <c r="T93" s="75" t="str">
        <f t="shared" si="271"/>
        <v/>
      </c>
      <c r="U93" s="75" t="str">
        <f t="shared" si="271"/>
        <v/>
      </c>
      <c r="V93" s="75" t="str">
        <f t="shared" si="271"/>
        <v/>
      </c>
      <c r="W93" s="75" t="str">
        <f t="shared" si="271"/>
        <v/>
      </c>
      <c r="X93" s="75" t="str">
        <f t="shared" si="271"/>
        <v/>
      </c>
      <c r="Y93" s="75" t="str">
        <f t="shared" si="271"/>
        <v/>
      </c>
      <c r="Z93" s="70" t="str">
        <f t="shared" si="216"/>
        <v/>
      </c>
      <c r="AA93" s="107"/>
      <c r="AB93" s="107"/>
      <c r="AC93" s="107"/>
      <c r="AD93" s="107"/>
      <c r="AE93" s="107"/>
      <c r="AF93" s="107"/>
      <c r="AG93" s="107"/>
      <c r="AH93" s="107"/>
      <c r="AI93" s="107"/>
      <c r="AJ93" s="107"/>
      <c r="AK93" s="107"/>
      <c r="AL93" s="107"/>
      <c r="AM93" s="107"/>
      <c r="AN93" s="107"/>
      <c r="AP93" s="65" t="str">
        <f t="shared" si="208"/>
        <v/>
      </c>
      <c r="AQ93" s="75" t="str">
        <f t="shared" ref="AQ93:BB93" si="272">IF($AP93="","",AQ12*AQ39)</f>
        <v/>
      </c>
      <c r="AR93" s="75" t="str">
        <f t="shared" si="272"/>
        <v/>
      </c>
      <c r="AS93" s="75" t="str">
        <f t="shared" si="272"/>
        <v/>
      </c>
      <c r="AT93" s="75" t="str">
        <f t="shared" si="272"/>
        <v/>
      </c>
      <c r="AU93" s="75" t="str">
        <f t="shared" si="272"/>
        <v/>
      </c>
      <c r="AV93" s="75" t="str">
        <f t="shared" si="272"/>
        <v/>
      </c>
      <c r="AW93" s="75" t="str">
        <f t="shared" si="272"/>
        <v/>
      </c>
      <c r="AX93" s="75" t="str">
        <f t="shared" si="272"/>
        <v/>
      </c>
      <c r="AY93" s="75" t="str">
        <f t="shared" si="272"/>
        <v/>
      </c>
      <c r="AZ93" s="75" t="str">
        <f t="shared" si="272"/>
        <v/>
      </c>
      <c r="BA93" s="75" t="str">
        <f t="shared" si="272"/>
        <v/>
      </c>
      <c r="BB93" s="75" t="str">
        <f t="shared" si="272"/>
        <v/>
      </c>
      <c r="BC93" s="70" t="str">
        <f t="shared" si="231"/>
        <v/>
      </c>
      <c r="BD93" s="107"/>
      <c r="BE93" s="107"/>
      <c r="BF93" s="107"/>
      <c r="BG93" s="107"/>
      <c r="BH93" s="107"/>
      <c r="BI93" s="107"/>
      <c r="BJ93" s="107"/>
      <c r="BK93" s="107"/>
      <c r="BL93" s="107"/>
      <c r="BM93" s="107"/>
      <c r="BN93" s="107"/>
      <c r="BO93" s="107"/>
      <c r="BP93" s="107"/>
      <c r="BQ93" s="107"/>
      <c r="BS93" s="65" t="str">
        <f t="shared" si="211"/>
        <v/>
      </c>
      <c r="BT93" s="75" t="str">
        <f t="shared" ref="BT93:CE93" si="273">IF($AP93="","",BT12*BT39)</f>
        <v/>
      </c>
      <c r="BU93" s="75" t="str">
        <f t="shared" si="273"/>
        <v/>
      </c>
      <c r="BV93" s="75" t="str">
        <f t="shared" si="273"/>
        <v/>
      </c>
      <c r="BW93" s="75" t="str">
        <f t="shared" si="273"/>
        <v/>
      </c>
      <c r="BX93" s="75" t="str">
        <f t="shared" si="273"/>
        <v/>
      </c>
      <c r="BY93" s="75" t="str">
        <f t="shared" si="273"/>
        <v/>
      </c>
      <c r="BZ93" s="75" t="str">
        <f t="shared" si="273"/>
        <v/>
      </c>
      <c r="CA93" s="75" t="str">
        <f t="shared" si="273"/>
        <v/>
      </c>
      <c r="CB93" s="75" t="str">
        <f t="shared" si="273"/>
        <v/>
      </c>
      <c r="CC93" s="75" t="str">
        <f t="shared" si="273"/>
        <v/>
      </c>
      <c r="CD93" s="75" t="str">
        <f t="shared" si="273"/>
        <v/>
      </c>
      <c r="CE93" s="75" t="str">
        <f t="shared" si="273"/>
        <v/>
      </c>
      <c r="CF93" s="70" t="str">
        <f t="shared" si="246"/>
        <v/>
      </c>
      <c r="CG93" s="107"/>
      <c r="CH93" s="107"/>
      <c r="CI93" s="107"/>
      <c r="CJ93" s="107"/>
      <c r="CK93" s="107"/>
      <c r="CL93" s="107"/>
      <c r="CM93" s="107"/>
      <c r="CN93" s="107"/>
      <c r="CO93" s="107"/>
      <c r="CP93" s="107"/>
      <c r="CQ93" s="107"/>
      <c r="CR93" s="107"/>
      <c r="CS93" s="107"/>
      <c r="CT93" s="107"/>
      <c r="CV93" s="65" t="str">
        <f t="shared" si="214"/>
        <v/>
      </c>
      <c r="CW93" s="66" t="str">
        <f t="shared" si="260"/>
        <v/>
      </c>
      <c r="CX93" s="66" t="str">
        <f t="shared" si="261"/>
        <v/>
      </c>
      <c r="CY93" s="66" t="str">
        <f t="shared" si="262"/>
        <v/>
      </c>
    </row>
    <row r="94" spans="13:103" s="38" customFormat="1" ht="15" customHeight="1" x14ac:dyDescent="0.2">
      <c r="M94" s="82" t="str">
        <f t="shared" si="215"/>
        <v/>
      </c>
      <c r="N94" s="75" t="str">
        <f t="shared" ref="N94:Y94" si="274">IF(OR(N40="",N13="",$M94=""),"",N13*N40)</f>
        <v/>
      </c>
      <c r="O94" s="75" t="str">
        <f t="shared" si="274"/>
        <v/>
      </c>
      <c r="P94" s="75" t="str">
        <f t="shared" si="274"/>
        <v/>
      </c>
      <c r="Q94" s="75" t="str">
        <f t="shared" si="274"/>
        <v/>
      </c>
      <c r="R94" s="75" t="str">
        <f t="shared" si="274"/>
        <v/>
      </c>
      <c r="S94" s="75" t="str">
        <f t="shared" si="274"/>
        <v/>
      </c>
      <c r="T94" s="75" t="str">
        <f t="shared" si="274"/>
        <v/>
      </c>
      <c r="U94" s="75" t="str">
        <f t="shared" si="274"/>
        <v/>
      </c>
      <c r="V94" s="75" t="str">
        <f t="shared" si="274"/>
        <v/>
      </c>
      <c r="W94" s="75" t="str">
        <f t="shared" si="274"/>
        <v/>
      </c>
      <c r="X94" s="75" t="str">
        <f t="shared" si="274"/>
        <v/>
      </c>
      <c r="Y94" s="75" t="str">
        <f t="shared" si="274"/>
        <v/>
      </c>
      <c r="Z94" s="70" t="str">
        <f t="shared" si="216"/>
        <v/>
      </c>
      <c r="AA94" s="107"/>
      <c r="AB94" s="107"/>
      <c r="AC94" s="107"/>
      <c r="AD94" s="107"/>
      <c r="AE94" s="107"/>
      <c r="AF94" s="107"/>
      <c r="AG94" s="107"/>
      <c r="AH94" s="107"/>
      <c r="AI94" s="107"/>
      <c r="AJ94" s="107"/>
      <c r="AK94" s="107"/>
      <c r="AL94" s="107"/>
      <c r="AM94" s="107"/>
      <c r="AN94" s="107"/>
      <c r="AP94" s="65" t="str">
        <f t="shared" si="208"/>
        <v/>
      </c>
      <c r="AQ94" s="75" t="str">
        <f t="shared" ref="AQ94:BB94" si="275">IF($AP94="","",AQ13*AQ40)</f>
        <v/>
      </c>
      <c r="AR94" s="75" t="str">
        <f t="shared" si="275"/>
        <v/>
      </c>
      <c r="AS94" s="75" t="str">
        <f t="shared" si="275"/>
        <v/>
      </c>
      <c r="AT94" s="75" t="str">
        <f t="shared" si="275"/>
        <v/>
      </c>
      <c r="AU94" s="75" t="str">
        <f t="shared" si="275"/>
        <v/>
      </c>
      <c r="AV94" s="75" t="str">
        <f t="shared" si="275"/>
        <v/>
      </c>
      <c r="AW94" s="75" t="str">
        <f t="shared" si="275"/>
        <v/>
      </c>
      <c r="AX94" s="75" t="str">
        <f t="shared" si="275"/>
        <v/>
      </c>
      <c r="AY94" s="75" t="str">
        <f t="shared" si="275"/>
        <v/>
      </c>
      <c r="AZ94" s="75" t="str">
        <f t="shared" si="275"/>
        <v/>
      </c>
      <c r="BA94" s="75" t="str">
        <f t="shared" si="275"/>
        <v/>
      </c>
      <c r="BB94" s="75" t="str">
        <f t="shared" si="275"/>
        <v/>
      </c>
      <c r="BC94" s="70" t="str">
        <f t="shared" si="231"/>
        <v/>
      </c>
      <c r="BD94" s="107"/>
      <c r="BE94" s="107"/>
      <c r="BF94" s="107"/>
      <c r="BG94" s="107"/>
      <c r="BH94" s="107"/>
      <c r="BI94" s="107"/>
      <c r="BJ94" s="107"/>
      <c r="BK94" s="107"/>
      <c r="BL94" s="107"/>
      <c r="BM94" s="107"/>
      <c r="BN94" s="107"/>
      <c r="BO94" s="107"/>
      <c r="BP94" s="107"/>
      <c r="BQ94" s="107"/>
      <c r="BS94" s="65" t="str">
        <f t="shared" si="211"/>
        <v/>
      </c>
      <c r="BT94" s="75" t="str">
        <f t="shared" ref="BT94:CE94" si="276">IF($AP94="","",BT13*BT40)</f>
        <v/>
      </c>
      <c r="BU94" s="75" t="str">
        <f t="shared" si="276"/>
        <v/>
      </c>
      <c r="BV94" s="75" t="str">
        <f t="shared" si="276"/>
        <v/>
      </c>
      <c r="BW94" s="75" t="str">
        <f t="shared" si="276"/>
        <v/>
      </c>
      <c r="BX94" s="75" t="str">
        <f t="shared" si="276"/>
        <v/>
      </c>
      <c r="BY94" s="75" t="str">
        <f t="shared" si="276"/>
        <v/>
      </c>
      <c r="BZ94" s="75" t="str">
        <f t="shared" si="276"/>
        <v/>
      </c>
      <c r="CA94" s="75" t="str">
        <f t="shared" si="276"/>
        <v/>
      </c>
      <c r="CB94" s="75" t="str">
        <f t="shared" si="276"/>
        <v/>
      </c>
      <c r="CC94" s="75" t="str">
        <f t="shared" si="276"/>
        <v/>
      </c>
      <c r="CD94" s="75" t="str">
        <f t="shared" si="276"/>
        <v/>
      </c>
      <c r="CE94" s="75" t="str">
        <f t="shared" si="276"/>
        <v/>
      </c>
      <c r="CF94" s="70" t="str">
        <f t="shared" si="246"/>
        <v/>
      </c>
      <c r="CG94" s="107"/>
      <c r="CH94" s="107"/>
      <c r="CI94" s="107"/>
      <c r="CJ94" s="107"/>
      <c r="CK94" s="107"/>
      <c r="CL94" s="107"/>
      <c r="CM94" s="107"/>
      <c r="CN94" s="107"/>
      <c r="CO94" s="107"/>
      <c r="CP94" s="107"/>
      <c r="CQ94" s="107"/>
      <c r="CR94" s="107"/>
      <c r="CS94" s="107"/>
      <c r="CT94" s="107"/>
      <c r="CV94" s="65" t="str">
        <f t="shared" si="214"/>
        <v/>
      </c>
      <c r="CW94" s="66" t="str">
        <f t="shared" si="260"/>
        <v/>
      </c>
      <c r="CX94" s="66" t="str">
        <f t="shared" si="261"/>
        <v/>
      </c>
      <c r="CY94" s="66" t="str">
        <f t="shared" si="262"/>
        <v/>
      </c>
    </row>
    <row r="95" spans="13:103" s="38" customFormat="1" ht="15" customHeight="1" x14ac:dyDescent="0.2">
      <c r="M95" s="82" t="str">
        <f t="shared" si="215"/>
        <v/>
      </c>
      <c r="N95" s="75" t="str">
        <f t="shared" ref="N95:Y95" si="277">IF(OR(N41="",N14="",$M95=""),"",N14*N41)</f>
        <v/>
      </c>
      <c r="O95" s="75" t="str">
        <f t="shared" si="277"/>
        <v/>
      </c>
      <c r="P95" s="75" t="str">
        <f t="shared" si="277"/>
        <v/>
      </c>
      <c r="Q95" s="75" t="str">
        <f t="shared" si="277"/>
        <v/>
      </c>
      <c r="R95" s="75" t="str">
        <f t="shared" si="277"/>
        <v/>
      </c>
      <c r="S95" s="75" t="str">
        <f t="shared" si="277"/>
        <v/>
      </c>
      <c r="T95" s="75" t="str">
        <f t="shared" si="277"/>
        <v/>
      </c>
      <c r="U95" s="75" t="str">
        <f t="shared" si="277"/>
        <v/>
      </c>
      <c r="V95" s="75" t="str">
        <f t="shared" si="277"/>
        <v/>
      </c>
      <c r="W95" s="75" t="str">
        <f t="shared" si="277"/>
        <v/>
      </c>
      <c r="X95" s="75" t="str">
        <f t="shared" si="277"/>
        <v/>
      </c>
      <c r="Y95" s="75" t="str">
        <f t="shared" si="277"/>
        <v/>
      </c>
      <c r="Z95" s="70" t="str">
        <f t="shared" si="216"/>
        <v/>
      </c>
      <c r="AA95" s="107"/>
      <c r="AB95" s="107"/>
      <c r="AC95" s="107"/>
      <c r="AD95" s="107"/>
      <c r="AE95" s="107"/>
      <c r="AF95" s="107"/>
      <c r="AG95" s="107"/>
      <c r="AH95" s="107"/>
      <c r="AI95" s="107"/>
      <c r="AJ95" s="107"/>
      <c r="AK95" s="107"/>
      <c r="AL95" s="107"/>
      <c r="AM95" s="107"/>
      <c r="AN95" s="107"/>
      <c r="AP95" s="65" t="str">
        <f t="shared" si="208"/>
        <v/>
      </c>
      <c r="AQ95" s="75" t="str">
        <f t="shared" ref="AQ95:BB95" si="278">IF($AP95="","",AQ14*AQ41)</f>
        <v/>
      </c>
      <c r="AR95" s="75" t="str">
        <f t="shared" si="278"/>
        <v/>
      </c>
      <c r="AS95" s="75" t="str">
        <f t="shared" si="278"/>
        <v/>
      </c>
      <c r="AT95" s="75" t="str">
        <f t="shared" si="278"/>
        <v/>
      </c>
      <c r="AU95" s="75" t="str">
        <f t="shared" si="278"/>
        <v/>
      </c>
      <c r="AV95" s="75" t="str">
        <f t="shared" si="278"/>
        <v/>
      </c>
      <c r="AW95" s="75" t="str">
        <f t="shared" si="278"/>
        <v/>
      </c>
      <c r="AX95" s="75" t="str">
        <f t="shared" si="278"/>
        <v/>
      </c>
      <c r="AY95" s="75" t="str">
        <f t="shared" si="278"/>
        <v/>
      </c>
      <c r="AZ95" s="75" t="str">
        <f t="shared" si="278"/>
        <v/>
      </c>
      <c r="BA95" s="75" t="str">
        <f t="shared" si="278"/>
        <v/>
      </c>
      <c r="BB95" s="75" t="str">
        <f t="shared" si="278"/>
        <v/>
      </c>
      <c r="BC95" s="70" t="str">
        <f t="shared" si="231"/>
        <v/>
      </c>
      <c r="BD95" s="107"/>
      <c r="BE95" s="107"/>
      <c r="BF95" s="107"/>
      <c r="BG95" s="107"/>
      <c r="BH95" s="107"/>
      <c r="BI95" s="107"/>
      <c r="BJ95" s="107"/>
      <c r="BK95" s="107"/>
      <c r="BL95" s="107"/>
      <c r="BM95" s="107"/>
      <c r="BN95" s="107"/>
      <c r="BO95" s="107"/>
      <c r="BP95" s="107"/>
      <c r="BQ95" s="107"/>
      <c r="BS95" s="65" t="str">
        <f t="shared" si="211"/>
        <v/>
      </c>
      <c r="BT95" s="75" t="str">
        <f t="shared" ref="BT95:CE95" si="279">IF($AP95="","",BT14*BT41)</f>
        <v/>
      </c>
      <c r="BU95" s="75" t="str">
        <f t="shared" si="279"/>
        <v/>
      </c>
      <c r="BV95" s="75" t="str">
        <f t="shared" si="279"/>
        <v/>
      </c>
      <c r="BW95" s="75" t="str">
        <f t="shared" si="279"/>
        <v/>
      </c>
      <c r="BX95" s="75" t="str">
        <f t="shared" si="279"/>
        <v/>
      </c>
      <c r="BY95" s="75" t="str">
        <f t="shared" si="279"/>
        <v/>
      </c>
      <c r="BZ95" s="75" t="str">
        <f t="shared" si="279"/>
        <v/>
      </c>
      <c r="CA95" s="75" t="str">
        <f t="shared" si="279"/>
        <v/>
      </c>
      <c r="CB95" s="75" t="str">
        <f t="shared" si="279"/>
        <v/>
      </c>
      <c r="CC95" s="75" t="str">
        <f t="shared" si="279"/>
        <v/>
      </c>
      <c r="CD95" s="75" t="str">
        <f t="shared" si="279"/>
        <v/>
      </c>
      <c r="CE95" s="75" t="str">
        <f t="shared" si="279"/>
        <v/>
      </c>
      <c r="CF95" s="70" t="str">
        <f t="shared" si="246"/>
        <v/>
      </c>
      <c r="CG95" s="107"/>
      <c r="CH95" s="107"/>
      <c r="CI95" s="107"/>
      <c r="CJ95" s="107"/>
      <c r="CK95" s="107"/>
      <c r="CL95" s="107"/>
      <c r="CM95" s="107"/>
      <c r="CN95" s="107"/>
      <c r="CO95" s="107"/>
      <c r="CP95" s="107"/>
      <c r="CQ95" s="107"/>
      <c r="CR95" s="107"/>
      <c r="CS95" s="107"/>
      <c r="CT95" s="107"/>
      <c r="CV95" s="65" t="str">
        <f t="shared" si="214"/>
        <v/>
      </c>
      <c r="CW95" s="66" t="str">
        <f t="shared" si="260"/>
        <v/>
      </c>
      <c r="CX95" s="66" t="str">
        <f t="shared" si="261"/>
        <v/>
      </c>
      <c r="CY95" s="66" t="str">
        <f t="shared" si="262"/>
        <v/>
      </c>
    </row>
    <row r="96" spans="13:103" s="38" customFormat="1" ht="15" customHeight="1" x14ac:dyDescent="0.2">
      <c r="M96" s="82" t="str">
        <f t="shared" si="215"/>
        <v/>
      </c>
      <c r="N96" s="75" t="str">
        <f t="shared" ref="N96:Y96" si="280">IF(OR(N42="",N15="",$M96=""),"",N15*N42)</f>
        <v/>
      </c>
      <c r="O96" s="75" t="str">
        <f t="shared" si="280"/>
        <v/>
      </c>
      <c r="P96" s="75" t="str">
        <f t="shared" si="280"/>
        <v/>
      </c>
      <c r="Q96" s="75" t="str">
        <f t="shared" si="280"/>
        <v/>
      </c>
      <c r="R96" s="75" t="str">
        <f t="shared" si="280"/>
        <v/>
      </c>
      <c r="S96" s="75" t="str">
        <f t="shared" si="280"/>
        <v/>
      </c>
      <c r="T96" s="75" t="str">
        <f t="shared" si="280"/>
        <v/>
      </c>
      <c r="U96" s="75" t="str">
        <f t="shared" si="280"/>
        <v/>
      </c>
      <c r="V96" s="75" t="str">
        <f t="shared" si="280"/>
        <v/>
      </c>
      <c r="W96" s="75" t="str">
        <f t="shared" si="280"/>
        <v/>
      </c>
      <c r="X96" s="75" t="str">
        <f t="shared" si="280"/>
        <v/>
      </c>
      <c r="Y96" s="75" t="str">
        <f t="shared" si="280"/>
        <v/>
      </c>
      <c r="Z96" s="70" t="str">
        <f t="shared" si="216"/>
        <v/>
      </c>
      <c r="AA96" s="107"/>
      <c r="AB96" s="107"/>
      <c r="AC96" s="107"/>
      <c r="AD96" s="107"/>
      <c r="AE96" s="107"/>
      <c r="AF96" s="107"/>
      <c r="AG96" s="107"/>
      <c r="AH96" s="107"/>
      <c r="AI96" s="107"/>
      <c r="AJ96" s="107"/>
      <c r="AK96" s="107"/>
      <c r="AL96" s="107"/>
      <c r="AM96" s="107"/>
      <c r="AN96" s="107"/>
      <c r="AP96" s="65" t="str">
        <f t="shared" si="208"/>
        <v/>
      </c>
      <c r="AQ96" s="75" t="str">
        <f t="shared" ref="AQ96:BB96" si="281">IF($AP96="","",AQ15*AQ42)</f>
        <v/>
      </c>
      <c r="AR96" s="75" t="str">
        <f t="shared" si="281"/>
        <v/>
      </c>
      <c r="AS96" s="75" t="str">
        <f t="shared" si="281"/>
        <v/>
      </c>
      <c r="AT96" s="75" t="str">
        <f t="shared" si="281"/>
        <v/>
      </c>
      <c r="AU96" s="75" t="str">
        <f t="shared" si="281"/>
        <v/>
      </c>
      <c r="AV96" s="75" t="str">
        <f t="shared" si="281"/>
        <v/>
      </c>
      <c r="AW96" s="75" t="str">
        <f t="shared" si="281"/>
        <v/>
      </c>
      <c r="AX96" s="75" t="str">
        <f t="shared" si="281"/>
        <v/>
      </c>
      <c r="AY96" s="75" t="str">
        <f t="shared" si="281"/>
        <v/>
      </c>
      <c r="AZ96" s="75" t="str">
        <f t="shared" si="281"/>
        <v/>
      </c>
      <c r="BA96" s="75" t="str">
        <f t="shared" si="281"/>
        <v/>
      </c>
      <c r="BB96" s="75" t="str">
        <f t="shared" si="281"/>
        <v/>
      </c>
      <c r="BC96" s="70" t="str">
        <f t="shared" si="231"/>
        <v/>
      </c>
      <c r="BD96" s="107"/>
      <c r="BE96" s="107"/>
      <c r="BF96" s="107"/>
      <c r="BG96" s="107"/>
      <c r="BH96" s="107"/>
      <c r="BI96" s="107"/>
      <c r="BJ96" s="107"/>
      <c r="BK96" s="107"/>
      <c r="BL96" s="107"/>
      <c r="BM96" s="107"/>
      <c r="BN96" s="107"/>
      <c r="BO96" s="107"/>
      <c r="BP96" s="107"/>
      <c r="BQ96" s="107"/>
      <c r="BS96" s="65" t="str">
        <f t="shared" si="211"/>
        <v/>
      </c>
      <c r="BT96" s="75" t="str">
        <f t="shared" ref="BT96:CE96" si="282">IF($AP96="","",BT15*BT42)</f>
        <v/>
      </c>
      <c r="BU96" s="75" t="str">
        <f t="shared" si="282"/>
        <v/>
      </c>
      <c r="BV96" s="75" t="str">
        <f t="shared" si="282"/>
        <v/>
      </c>
      <c r="BW96" s="75" t="str">
        <f t="shared" si="282"/>
        <v/>
      </c>
      <c r="BX96" s="75" t="str">
        <f t="shared" si="282"/>
        <v/>
      </c>
      <c r="BY96" s="75" t="str">
        <f t="shared" si="282"/>
        <v/>
      </c>
      <c r="BZ96" s="75" t="str">
        <f t="shared" si="282"/>
        <v/>
      </c>
      <c r="CA96" s="75" t="str">
        <f t="shared" si="282"/>
        <v/>
      </c>
      <c r="CB96" s="75" t="str">
        <f t="shared" si="282"/>
        <v/>
      </c>
      <c r="CC96" s="75" t="str">
        <f t="shared" si="282"/>
        <v/>
      </c>
      <c r="CD96" s="75" t="str">
        <f t="shared" si="282"/>
        <v/>
      </c>
      <c r="CE96" s="75" t="str">
        <f t="shared" si="282"/>
        <v/>
      </c>
      <c r="CF96" s="70" t="str">
        <f t="shared" si="246"/>
        <v/>
      </c>
      <c r="CG96" s="107"/>
      <c r="CH96" s="107"/>
      <c r="CI96" s="107"/>
      <c r="CJ96" s="107"/>
      <c r="CK96" s="107"/>
      <c r="CL96" s="107"/>
      <c r="CM96" s="107"/>
      <c r="CN96" s="107"/>
      <c r="CO96" s="107"/>
      <c r="CP96" s="107"/>
      <c r="CQ96" s="107"/>
      <c r="CR96" s="107"/>
      <c r="CS96" s="107"/>
      <c r="CT96" s="107"/>
      <c r="CV96" s="65" t="str">
        <f t="shared" si="214"/>
        <v/>
      </c>
      <c r="CW96" s="66" t="str">
        <f t="shared" si="260"/>
        <v/>
      </c>
      <c r="CX96" s="66" t="str">
        <f t="shared" si="261"/>
        <v/>
      </c>
      <c r="CY96" s="66" t="str">
        <f t="shared" si="262"/>
        <v/>
      </c>
    </row>
    <row r="97" spans="13:103" s="38" customFormat="1" ht="15" customHeight="1" x14ac:dyDescent="0.2">
      <c r="M97" s="82" t="str">
        <f t="shared" si="215"/>
        <v/>
      </c>
      <c r="N97" s="75" t="str">
        <f t="shared" ref="N97:Y97" si="283">IF(OR(N43="",N16="",$M97=""),"",N16*N43)</f>
        <v/>
      </c>
      <c r="O97" s="75" t="str">
        <f t="shared" si="283"/>
        <v/>
      </c>
      <c r="P97" s="75" t="str">
        <f t="shared" si="283"/>
        <v/>
      </c>
      <c r="Q97" s="75" t="str">
        <f t="shared" si="283"/>
        <v/>
      </c>
      <c r="R97" s="75" t="str">
        <f t="shared" si="283"/>
        <v/>
      </c>
      <c r="S97" s="75" t="str">
        <f t="shared" si="283"/>
        <v/>
      </c>
      <c r="T97" s="75" t="str">
        <f t="shared" si="283"/>
        <v/>
      </c>
      <c r="U97" s="75" t="str">
        <f t="shared" si="283"/>
        <v/>
      </c>
      <c r="V97" s="75" t="str">
        <f t="shared" si="283"/>
        <v/>
      </c>
      <c r="W97" s="75" t="str">
        <f t="shared" si="283"/>
        <v/>
      </c>
      <c r="X97" s="75" t="str">
        <f t="shared" si="283"/>
        <v/>
      </c>
      <c r="Y97" s="75" t="str">
        <f t="shared" si="283"/>
        <v/>
      </c>
      <c r="Z97" s="70" t="str">
        <f t="shared" si="216"/>
        <v/>
      </c>
      <c r="AA97" s="107"/>
      <c r="AB97" s="107"/>
      <c r="AC97" s="107"/>
      <c r="AD97" s="107"/>
      <c r="AE97" s="107"/>
      <c r="AF97" s="107"/>
      <c r="AG97" s="107"/>
      <c r="AH97" s="107"/>
      <c r="AI97" s="107"/>
      <c r="AJ97" s="107"/>
      <c r="AK97" s="107"/>
      <c r="AL97" s="107"/>
      <c r="AM97" s="107"/>
      <c r="AN97" s="107"/>
      <c r="AP97" s="65" t="str">
        <f t="shared" si="208"/>
        <v/>
      </c>
      <c r="AQ97" s="75" t="str">
        <f t="shared" ref="AQ97:BB97" si="284">IF($AP97="","",AQ16*AQ43)</f>
        <v/>
      </c>
      <c r="AR97" s="75" t="str">
        <f t="shared" si="284"/>
        <v/>
      </c>
      <c r="AS97" s="75" t="str">
        <f t="shared" si="284"/>
        <v/>
      </c>
      <c r="AT97" s="75" t="str">
        <f t="shared" si="284"/>
        <v/>
      </c>
      <c r="AU97" s="75" t="str">
        <f t="shared" si="284"/>
        <v/>
      </c>
      <c r="AV97" s="75" t="str">
        <f t="shared" si="284"/>
        <v/>
      </c>
      <c r="AW97" s="75" t="str">
        <f t="shared" si="284"/>
        <v/>
      </c>
      <c r="AX97" s="75" t="str">
        <f t="shared" si="284"/>
        <v/>
      </c>
      <c r="AY97" s="75" t="str">
        <f t="shared" si="284"/>
        <v/>
      </c>
      <c r="AZ97" s="75" t="str">
        <f t="shared" si="284"/>
        <v/>
      </c>
      <c r="BA97" s="75" t="str">
        <f t="shared" si="284"/>
        <v/>
      </c>
      <c r="BB97" s="75" t="str">
        <f t="shared" si="284"/>
        <v/>
      </c>
      <c r="BC97" s="70" t="str">
        <f t="shared" si="231"/>
        <v/>
      </c>
      <c r="BD97" s="107"/>
      <c r="BE97" s="107"/>
      <c r="BF97" s="107"/>
      <c r="BG97" s="107"/>
      <c r="BH97" s="107"/>
      <c r="BI97" s="107"/>
      <c r="BJ97" s="107"/>
      <c r="BK97" s="107"/>
      <c r="BL97" s="107"/>
      <c r="BM97" s="107"/>
      <c r="BN97" s="107"/>
      <c r="BO97" s="107"/>
      <c r="BP97" s="107"/>
      <c r="BQ97" s="107"/>
      <c r="BS97" s="65" t="str">
        <f t="shared" si="211"/>
        <v/>
      </c>
      <c r="BT97" s="75" t="str">
        <f t="shared" ref="BT97:CE97" si="285">IF($AP97="","",BT16*BT43)</f>
        <v/>
      </c>
      <c r="BU97" s="75" t="str">
        <f t="shared" si="285"/>
        <v/>
      </c>
      <c r="BV97" s="75" t="str">
        <f t="shared" si="285"/>
        <v/>
      </c>
      <c r="BW97" s="75" t="str">
        <f t="shared" si="285"/>
        <v/>
      </c>
      <c r="BX97" s="75" t="str">
        <f t="shared" si="285"/>
        <v/>
      </c>
      <c r="BY97" s="75" t="str">
        <f t="shared" si="285"/>
        <v/>
      </c>
      <c r="BZ97" s="75" t="str">
        <f t="shared" si="285"/>
        <v/>
      </c>
      <c r="CA97" s="75" t="str">
        <f t="shared" si="285"/>
        <v/>
      </c>
      <c r="CB97" s="75" t="str">
        <f t="shared" si="285"/>
        <v/>
      </c>
      <c r="CC97" s="75" t="str">
        <f t="shared" si="285"/>
        <v/>
      </c>
      <c r="CD97" s="75" t="str">
        <f t="shared" si="285"/>
        <v/>
      </c>
      <c r="CE97" s="75" t="str">
        <f t="shared" si="285"/>
        <v/>
      </c>
      <c r="CF97" s="70" t="str">
        <f t="shared" si="246"/>
        <v/>
      </c>
      <c r="CG97" s="107"/>
      <c r="CH97" s="107"/>
      <c r="CI97" s="107"/>
      <c r="CJ97" s="107"/>
      <c r="CK97" s="107"/>
      <c r="CL97" s="107"/>
      <c r="CM97" s="107"/>
      <c r="CN97" s="107"/>
      <c r="CO97" s="107"/>
      <c r="CP97" s="107"/>
      <c r="CQ97" s="107"/>
      <c r="CR97" s="107"/>
      <c r="CS97" s="107"/>
      <c r="CT97" s="107"/>
      <c r="CV97" s="65" t="str">
        <f t="shared" si="214"/>
        <v/>
      </c>
      <c r="CW97" s="66" t="str">
        <f t="shared" si="260"/>
        <v/>
      </c>
      <c r="CX97" s="66" t="str">
        <f t="shared" si="261"/>
        <v/>
      </c>
      <c r="CY97" s="66" t="str">
        <f t="shared" si="262"/>
        <v/>
      </c>
    </row>
    <row r="98" spans="13:103" s="38" customFormat="1" ht="15" hidden="1" customHeight="1" x14ac:dyDescent="0.2">
      <c r="M98" s="82" t="str">
        <f t="shared" si="215"/>
        <v/>
      </c>
      <c r="N98" s="75" t="str">
        <f t="shared" ref="N98:Y98" si="286">IF(OR(N44="",N17="",$M98=""),"",N17*N44)</f>
        <v/>
      </c>
      <c r="O98" s="75" t="str">
        <f t="shared" si="286"/>
        <v/>
      </c>
      <c r="P98" s="75" t="str">
        <f t="shared" si="286"/>
        <v/>
      </c>
      <c r="Q98" s="75" t="str">
        <f t="shared" si="286"/>
        <v/>
      </c>
      <c r="R98" s="75" t="str">
        <f t="shared" si="286"/>
        <v/>
      </c>
      <c r="S98" s="75" t="str">
        <f t="shared" si="286"/>
        <v/>
      </c>
      <c r="T98" s="75" t="str">
        <f t="shared" si="286"/>
        <v/>
      </c>
      <c r="U98" s="75" t="str">
        <f t="shared" si="286"/>
        <v/>
      </c>
      <c r="V98" s="75" t="str">
        <f t="shared" si="286"/>
        <v/>
      </c>
      <c r="W98" s="75" t="str">
        <f t="shared" si="286"/>
        <v/>
      </c>
      <c r="X98" s="75" t="str">
        <f t="shared" si="286"/>
        <v/>
      </c>
      <c r="Y98" s="75" t="str">
        <f t="shared" si="286"/>
        <v/>
      </c>
      <c r="Z98" s="70" t="str">
        <f t="shared" si="216"/>
        <v/>
      </c>
      <c r="AA98" s="107"/>
      <c r="AB98" s="107"/>
      <c r="AC98" s="107"/>
      <c r="AD98" s="107"/>
      <c r="AE98" s="107"/>
      <c r="AF98" s="107"/>
      <c r="AG98" s="107"/>
      <c r="AH98" s="107"/>
      <c r="AI98" s="107"/>
      <c r="AJ98" s="107"/>
      <c r="AK98" s="107"/>
      <c r="AL98" s="107"/>
      <c r="AM98" s="107"/>
      <c r="AN98" s="107"/>
      <c r="AP98" s="65" t="str">
        <f t="shared" si="208"/>
        <v/>
      </c>
      <c r="AQ98" s="75" t="str">
        <f t="shared" ref="AQ98:BB98" si="287">IF($AP98="","",AQ17*AQ44)</f>
        <v/>
      </c>
      <c r="AR98" s="75" t="str">
        <f t="shared" si="287"/>
        <v/>
      </c>
      <c r="AS98" s="75" t="str">
        <f t="shared" si="287"/>
        <v/>
      </c>
      <c r="AT98" s="75" t="str">
        <f t="shared" si="287"/>
        <v/>
      </c>
      <c r="AU98" s="75" t="str">
        <f t="shared" si="287"/>
        <v/>
      </c>
      <c r="AV98" s="75" t="str">
        <f t="shared" si="287"/>
        <v/>
      </c>
      <c r="AW98" s="75" t="str">
        <f t="shared" si="287"/>
        <v/>
      </c>
      <c r="AX98" s="75" t="str">
        <f t="shared" si="287"/>
        <v/>
      </c>
      <c r="AY98" s="75" t="str">
        <f t="shared" si="287"/>
        <v/>
      </c>
      <c r="AZ98" s="75" t="str">
        <f t="shared" si="287"/>
        <v/>
      </c>
      <c r="BA98" s="75" t="str">
        <f t="shared" si="287"/>
        <v/>
      </c>
      <c r="BB98" s="75" t="str">
        <f t="shared" si="287"/>
        <v/>
      </c>
      <c r="BC98" s="70" t="str">
        <f t="shared" si="231"/>
        <v/>
      </c>
      <c r="BD98" s="107"/>
      <c r="BE98" s="107"/>
      <c r="BF98" s="107"/>
      <c r="BG98" s="107"/>
      <c r="BH98" s="107"/>
      <c r="BI98" s="107"/>
      <c r="BJ98" s="107"/>
      <c r="BK98" s="107"/>
      <c r="BL98" s="107"/>
      <c r="BM98" s="107"/>
      <c r="BN98" s="107"/>
      <c r="BO98" s="107"/>
      <c r="BP98" s="107"/>
      <c r="BQ98" s="107"/>
      <c r="BS98" s="65" t="str">
        <f t="shared" si="211"/>
        <v/>
      </c>
      <c r="BT98" s="75" t="str">
        <f t="shared" ref="BT98:CE98" si="288">IF($AP98="","",BT17*BT44)</f>
        <v/>
      </c>
      <c r="BU98" s="75" t="str">
        <f t="shared" si="288"/>
        <v/>
      </c>
      <c r="BV98" s="75" t="str">
        <f t="shared" si="288"/>
        <v/>
      </c>
      <c r="BW98" s="75" t="str">
        <f t="shared" si="288"/>
        <v/>
      </c>
      <c r="BX98" s="75" t="str">
        <f t="shared" si="288"/>
        <v/>
      </c>
      <c r="BY98" s="75" t="str">
        <f t="shared" si="288"/>
        <v/>
      </c>
      <c r="BZ98" s="75" t="str">
        <f t="shared" si="288"/>
        <v/>
      </c>
      <c r="CA98" s="75" t="str">
        <f t="shared" si="288"/>
        <v/>
      </c>
      <c r="CB98" s="75" t="str">
        <f t="shared" si="288"/>
        <v/>
      </c>
      <c r="CC98" s="75" t="str">
        <f t="shared" si="288"/>
        <v/>
      </c>
      <c r="CD98" s="75" t="str">
        <f t="shared" si="288"/>
        <v/>
      </c>
      <c r="CE98" s="75" t="str">
        <f t="shared" si="288"/>
        <v/>
      </c>
      <c r="CF98" s="70" t="str">
        <f t="shared" si="246"/>
        <v/>
      </c>
      <c r="CG98" s="107"/>
      <c r="CH98" s="107"/>
      <c r="CI98" s="107"/>
      <c r="CJ98" s="107"/>
      <c r="CK98" s="107"/>
      <c r="CL98" s="107"/>
      <c r="CM98" s="107"/>
      <c r="CN98" s="107"/>
      <c r="CO98" s="107"/>
      <c r="CP98" s="107"/>
      <c r="CQ98" s="107"/>
      <c r="CR98" s="107"/>
      <c r="CS98" s="107"/>
      <c r="CT98" s="107"/>
      <c r="CV98" s="65" t="str">
        <f t="shared" si="214"/>
        <v/>
      </c>
      <c r="CW98" s="66" t="str">
        <f t="shared" si="260"/>
        <v/>
      </c>
      <c r="CX98" s="66" t="str">
        <f t="shared" si="261"/>
        <v/>
      </c>
      <c r="CY98" s="66" t="str">
        <f t="shared" si="262"/>
        <v/>
      </c>
    </row>
    <row r="99" spans="13:103" s="38" customFormat="1" ht="15" hidden="1" customHeight="1" x14ac:dyDescent="0.2">
      <c r="M99" s="82" t="str">
        <f t="shared" si="215"/>
        <v/>
      </c>
      <c r="N99" s="75" t="str">
        <f t="shared" ref="N99:Y99" si="289">IF(OR(N45="",N18="",$M99=""),"",N18*N45)</f>
        <v/>
      </c>
      <c r="O99" s="75" t="str">
        <f t="shared" si="289"/>
        <v/>
      </c>
      <c r="P99" s="75" t="str">
        <f t="shared" si="289"/>
        <v/>
      </c>
      <c r="Q99" s="75" t="str">
        <f t="shared" si="289"/>
        <v/>
      </c>
      <c r="R99" s="75" t="str">
        <f t="shared" si="289"/>
        <v/>
      </c>
      <c r="S99" s="75" t="str">
        <f t="shared" si="289"/>
        <v/>
      </c>
      <c r="T99" s="75" t="str">
        <f t="shared" si="289"/>
        <v/>
      </c>
      <c r="U99" s="75" t="str">
        <f t="shared" si="289"/>
        <v/>
      </c>
      <c r="V99" s="75" t="str">
        <f t="shared" si="289"/>
        <v/>
      </c>
      <c r="W99" s="75" t="str">
        <f t="shared" si="289"/>
        <v/>
      </c>
      <c r="X99" s="75" t="str">
        <f t="shared" si="289"/>
        <v/>
      </c>
      <c r="Y99" s="75" t="str">
        <f t="shared" si="289"/>
        <v/>
      </c>
      <c r="Z99" s="70" t="str">
        <f t="shared" si="216"/>
        <v/>
      </c>
      <c r="AA99" s="107"/>
      <c r="AB99" s="107"/>
      <c r="AC99" s="107"/>
      <c r="AD99" s="107"/>
      <c r="AE99" s="107"/>
      <c r="AF99" s="107"/>
      <c r="AG99" s="107"/>
      <c r="AH99" s="107"/>
      <c r="AI99" s="107"/>
      <c r="AJ99" s="107"/>
      <c r="AK99" s="107"/>
      <c r="AL99" s="107"/>
      <c r="AM99" s="107"/>
      <c r="AN99" s="107"/>
      <c r="AP99" s="65" t="str">
        <f t="shared" si="208"/>
        <v/>
      </c>
      <c r="AQ99" s="75" t="str">
        <f t="shared" ref="AQ99:BB99" si="290">IF($AP99="","",AQ18*AQ45)</f>
        <v/>
      </c>
      <c r="AR99" s="75" t="str">
        <f t="shared" si="290"/>
        <v/>
      </c>
      <c r="AS99" s="75" t="str">
        <f t="shared" si="290"/>
        <v/>
      </c>
      <c r="AT99" s="75" t="str">
        <f t="shared" si="290"/>
        <v/>
      </c>
      <c r="AU99" s="75" t="str">
        <f t="shared" si="290"/>
        <v/>
      </c>
      <c r="AV99" s="75" t="str">
        <f t="shared" si="290"/>
        <v/>
      </c>
      <c r="AW99" s="75" t="str">
        <f t="shared" si="290"/>
        <v/>
      </c>
      <c r="AX99" s="75" t="str">
        <f t="shared" si="290"/>
        <v/>
      </c>
      <c r="AY99" s="75" t="str">
        <f t="shared" si="290"/>
        <v/>
      </c>
      <c r="AZ99" s="75" t="str">
        <f t="shared" si="290"/>
        <v/>
      </c>
      <c r="BA99" s="75" t="str">
        <f t="shared" si="290"/>
        <v/>
      </c>
      <c r="BB99" s="75" t="str">
        <f t="shared" si="290"/>
        <v/>
      </c>
      <c r="BC99" s="70" t="str">
        <f t="shared" si="231"/>
        <v/>
      </c>
      <c r="BD99" s="107"/>
      <c r="BE99" s="107"/>
      <c r="BF99" s="107"/>
      <c r="BG99" s="107"/>
      <c r="BH99" s="107"/>
      <c r="BI99" s="107"/>
      <c r="BJ99" s="107"/>
      <c r="BK99" s="107"/>
      <c r="BL99" s="107"/>
      <c r="BM99" s="107"/>
      <c r="BN99" s="107"/>
      <c r="BO99" s="107"/>
      <c r="BP99" s="107"/>
      <c r="BQ99" s="107"/>
      <c r="BS99" s="65" t="str">
        <f t="shared" si="211"/>
        <v/>
      </c>
      <c r="BT99" s="75" t="str">
        <f t="shared" ref="BT99:CE99" si="291">IF($AP99="","",BT18*BT45)</f>
        <v/>
      </c>
      <c r="BU99" s="75" t="str">
        <f t="shared" si="291"/>
        <v/>
      </c>
      <c r="BV99" s="75" t="str">
        <f t="shared" si="291"/>
        <v/>
      </c>
      <c r="BW99" s="75" t="str">
        <f t="shared" si="291"/>
        <v/>
      </c>
      <c r="BX99" s="75" t="str">
        <f t="shared" si="291"/>
        <v/>
      </c>
      <c r="BY99" s="75" t="str">
        <f t="shared" si="291"/>
        <v/>
      </c>
      <c r="BZ99" s="75" t="str">
        <f t="shared" si="291"/>
        <v/>
      </c>
      <c r="CA99" s="75" t="str">
        <f t="shared" si="291"/>
        <v/>
      </c>
      <c r="CB99" s="75" t="str">
        <f t="shared" si="291"/>
        <v/>
      </c>
      <c r="CC99" s="75" t="str">
        <f t="shared" si="291"/>
        <v/>
      </c>
      <c r="CD99" s="75" t="str">
        <f t="shared" si="291"/>
        <v/>
      </c>
      <c r="CE99" s="75" t="str">
        <f t="shared" si="291"/>
        <v/>
      </c>
      <c r="CF99" s="70" t="str">
        <f t="shared" si="246"/>
        <v/>
      </c>
      <c r="CG99" s="107"/>
      <c r="CH99" s="107"/>
      <c r="CI99" s="107"/>
      <c r="CJ99" s="107"/>
      <c r="CK99" s="107"/>
      <c r="CL99" s="107"/>
      <c r="CM99" s="107"/>
      <c r="CN99" s="107"/>
      <c r="CO99" s="107"/>
      <c r="CP99" s="107"/>
      <c r="CQ99" s="107"/>
      <c r="CR99" s="107"/>
      <c r="CS99" s="107"/>
      <c r="CT99" s="107"/>
      <c r="CV99" s="65" t="str">
        <f t="shared" si="214"/>
        <v/>
      </c>
      <c r="CW99" s="66" t="str">
        <f t="shared" si="260"/>
        <v/>
      </c>
      <c r="CX99" s="66" t="str">
        <f t="shared" si="261"/>
        <v/>
      </c>
      <c r="CY99" s="66" t="str">
        <f t="shared" si="262"/>
        <v/>
      </c>
    </row>
    <row r="100" spans="13:103" s="38" customFormat="1" ht="15" hidden="1" customHeight="1" x14ac:dyDescent="0.2">
      <c r="M100" s="82" t="str">
        <f t="shared" si="215"/>
        <v/>
      </c>
      <c r="N100" s="75" t="str">
        <f t="shared" ref="N100:Y100" si="292">IF(OR(N46="",N19="",$M100=""),"",N19*N46)</f>
        <v/>
      </c>
      <c r="O100" s="75" t="str">
        <f t="shared" si="292"/>
        <v/>
      </c>
      <c r="P100" s="75" t="str">
        <f t="shared" si="292"/>
        <v/>
      </c>
      <c r="Q100" s="75" t="str">
        <f t="shared" si="292"/>
        <v/>
      </c>
      <c r="R100" s="75" t="str">
        <f t="shared" si="292"/>
        <v/>
      </c>
      <c r="S100" s="75" t="str">
        <f t="shared" si="292"/>
        <v/>
      </c>
      <c r="T100" s="75" t="str">
        <f t="shared" si="292"/>
        <v/>
      </c>
      <c r="U100" s="75" t="str">
        <f t="shared" si="292"/>
        <v/>
      </c>
      <c r="V100" s="75" t="str">
        <f t="shared" si="292"/>
        <v/>
      </c>
      <c r="W100" s="75" t="str">
        <f t="shared" si="292"/>
        <v/>
      </c>
      <c r="X100" s="75" t="str">
        <f t="shared" si="292"/>
        <v/>
      </c>
      <c r="Y100" s="75" t="str">
        <f t="shared" si="292"/>
        <v/>
      </c>
      <c r="Z100" s="70" t="str">
        <f t="shared" si="216"/>
        <v/>
      </c>
      <c r="AA100" s="107"/>
      <c r="AB100" s="107"/>
      <c r="AC100" s="107"/>
      <c r="AD100" s="107"/>
      <c r="AE100" s="107"/>
      <c r="AF100" s="107"/>
      <c r="AG100" s="107"/>
      <c r="AH100" s="107"/>
      <c r="AI100" s="107"/>
      <c r="AJ100" s="107"/>
      <c r="AK100" s="107"/>
      <c r="AL100" s="107"/>
      <c r="AM100" s="107"/>
      <c r="AN100" s="107"/>
      <c r="AP100" s="65" t="str">
        <f t="shared" si="208"/>
        <v/>
      </c>
      <c r="AQ100" s="75" t="str">
        <f t="shared" ref="AQ100:BB100" si="293">IF($AP100="","",AQ19*AQ46)</f>
        <v/>
      </c>
      <c r="AR100" s="75" t="str">
        <f t="shared" si="293"/>
        <v/>
      </c>
      <c r="AS100" s="75" t="str">
        <f t="shared" si="293"/>
        <v/>
      </c>
      <c r="AT100" s="75" t="str">
        <f t="shared" si="293"/>
        <v/>
      </c>
      <c r="AU100" s="75" t="str">
        <f t="shared" si="293"/>
        <v/>
      </c>
      <c r="AV100" s="75" t="str">
        <f t="shared" si="293"/>
        <v/>
      </c>
      <c r="AW100" s="75" t="str">
        <f t="shared" si="293"/>
        <v/>
      </c>
      <c r="AX100" s="75" t="str">
        <f t="shared" si="293"/>
        <v/>
      </c>
      <c r="AY100" s="75" t="str">
        <f t="shared" si="293"/>
        <v/>
      </c>
      <c r="AZ100" s="75" t="str">
        <f t="shared" si="293"/>
        <v/>
      </c>
      <c r="BA100" s="75" t="str">
        <f t="shared" si="293"/>
        <v/>
      </c>
      <c r="BB100" s="75" t="str">
        <f t="shared" si="293"/>
        <v/>
      </c>
      <c r="BC100" s="70" t="str">
        <f t="shared" si="231"/>
        <v/>
      </c>
      <c r="BD100" s="107"/>
      <c r="BE100" s="107"/>
      <c r="BF100" s="107"/>
      <c r="BG100" s="107"/>
      <c r="BH100" s="107"/>
      <c r="BI100" s="107"/>
      <c r="BJ100" s="107"/>
      <c r="BK100" s="107"/>
      <c r="BL100" s="107"/>
      <c r="BM100" s="107"/>
      <c r="BN100" s="107"/>
      <c r="BO100" s="107"/>
      <c r="BP100" s="107"/>
      <c r="BQ100" s="107"/>
      <c r="BS100" s="65" t="str">
        <f t="shared" si="211"/>
        <v/>
      </c>
      <c r="BT100" s="75" t="str">
        <f t="shared" ref="BT100:CE100" si="294">IF($AP100="","",BT19*BT46)</f>
        <v/>
      </c>
      <c r="BU100" s="75" t="str">
        <f t="shared" si="294"/>
        <v/>
      </c>
      <c r="BV100" s="75" t="str">
        <f t="shared" si="294"/>
        <v/>
      </c>
      <c r="BW100" s="75" t="str">
        <f t="shared" si="294"/>
        <v/>
      </c>
      <c r="BX100" s="75" t="str">
        <f t="shared" si="294"/>
        <v/>
      </c>
      <c r="BY100" s="75" t="str">
        <f t="shared" si="294"/>
        <v/>
      </c>
      <c r="BZ100" s="75" t="str">
        <f t="shared" si="294"/>
        <v/>
      </c>
      <c r="CA100" s="75" t="str">
        <f t="shared" si="294"/>
        <v/>
      </c>
      <c r="CB100" s="75" t="str">
        <f t="shared" si="294"/>
        <v/>
      </c>
      <c r="CC100" s="75" t="str">
        <f t="shared" si="294"/>
        <v/>
      </c>
      <c r="CD100" s="75" t="str">
        <f t="shared" si="294"/>
        <v/>
      </c>
      <c r="CE100" s="75" t="str">
        <f t="shared" si="294"/>
        <v/>
      </c>
      <c r="CF100" s="70" t="str">
        <f t="shared" si="246"/>
        <v/>
      </c>
      <c r="CG100" s="107"/>
      <c r="CH100" s="107"/>
      <c r="CI100" s="107"/>
      <c r="CJ100" s="107"/>
      <c r="CK100" s="107"/>
      <c r="CL100" s="107"/>
      <c r="CM100" s="107"/>
      <c r="CN100" s="107"/>
      <c r="CO100" s="107"/>
      <c r="CP100" s="107"/>
      <c r="CQ100" s="107"/>
      <c r="CR100" s="107"/>
      <c r="CS100" s="107"/>
      <c r="CT100" s="107"/>
      <c r="CV100" s="65" t="str">
        <f t="shared" si="214"/>
        <v/>
      </c>
      <c r="CW100" s="66" t="str">
        <f t="shared" si="260"/>
        <v/>
      </c>
      <c r="CX100" s="66" t="str">
        <f t="shared" si="261"/>
        <v/>
      </c>
      <c r="CY100" s="66" t="str">
        <f t="shared" si="262"/>
        <v/>
      </c>
    </row>
    <row r="101" spans="13:103" s="38" customFormat="1" ht="15" hidden="1" customHeight="1" x14ac:dyDescent="0.2">
      <c r="M101" s="82" t="str">
        <f t="shared" si="215"/>
        <v/>
      </c>
      <c r="N101" s="75" t="str">
        <f t="shared" ref="N101:Y101" si="295">IF(OR(N47="",N20="",$M101=""),"",N20*N47)</f>
        <v/>
      </c>
      <c r="O101" s="75" t="str">
        <f t="shared" si="295"/>
        <v/>
      </c>
      <c r="P101" s="75" t="str">
        <f t="shared" si="295"/>
        <v/>
      </c>
      <c r="Q101" s="75" t="str">
        <f t="shared" si="295"/>
        <v/>
      </c>
      <c r="R101" s="75" t="str">
        <f t="shared" si="295"/>
        <v/>
      </c>
      <c r="S101" s="75" t="str">
        <f t="shared" si="295"/>
        <v/>
      </c>
      <c r="T101" s="75" t="str">
        <f t="shared" si="295"/>
        <v/>
      </c>
      <c r="U101" s="75" t="str">
        <f t="shared" si="295"/>
        <v/>
      </c>
      <c r="V101" s="75" t="str">
        <f t="shared" si="295"/>
        <v/>
      </c>
      <c r="W101" s="75" t="str">
        <f t="shared" si="295"/>
        <v/>
      </c>
      <c r="X101" s="75" t="str">
        <f t="shared" si="295"/>
        <v/>
      </c>
      <c r="Y101" s="75" t="str">
        <f t="shared" si="295"/>
        <v/>
      </c>
      <c r="Z101" s="70" t="str">
        <f t="shared" si="216"/>
        <v/>
      </c>
      <c r="AA101" s="107"/>
      <c r="AB101" s="107"/>
      <c r="AC101" s="107"/>
      <c r="AD101" s="107"/>
      <c r="AE101" s="107"/>
      <c r="AF101" s="107"/>
      <c r="AG101" s="107"/>
      <c r="AH101" s="107"/>
      <c r="AI101" s="107"/>
      <c r="AJ101" s="107"/>
      <c r="AK101" s="107"/>
      <c r="AL101" s="107"/>
      <c r="AM101" s="107"/>
      <c r="AN101" s="107"/>
      <c r="AP101" s="65" t="str">
        <f t="shared" si="208"/>
        <v/>
      </c>
      <c r="AQ101" s="75" t="str">
        <f t="shared" ref="AQ101:BB101" si="296">IF($AP101="","",AQ20*AQ47)</f>
        <v/>
      </c>
      <c r="AR101" s="75" t="str">
        <f t="shared" si="296"/>
        <v/>
      </c>
      <c r="AS101" s="75" t="str">
        <f t="shared" si="296"/>
        <v/>
      </c>
      <c r="AT101" s="75" t="str">
        <f t="shared" si="296"/>
        <v/>
      </c>
      <c r="AU101" s="75" t="str">
        <f t="shared" si="296"/>
        <v/>
      </c>
      <c r="AV101" s="75" t="str">
        <f t="shared" si="296"/>
        <v/>
      </c>
      <c r="AW101" s="75" t="str">
        <f t="shared" si="296"/>
        <v/>
      </c>
      <c r="AX101" s="75" t="str">
        <f t="shared" si="296"/>
        <v/>
      </c>
      <c r="AY101" s="75" t="str">
        <f t="shared" si="296"/>
        <v/>
      </c>
      <c r="AZ101" s="75" t="str">
        <f t="shared" si="296"/>
        <v/>
      </c>
      <c r="BA101" s="75" t="str">
        <f t="shared" si="296"/>
        <v/>
      </c>
      <c r="BB101" s="75" t="str">
        <f t="shared" si="296"/>
        <v/>
      </c>
      <c r="BC101" s="70" t="str">
        <f t="shared" si="231"/>
        <v/>
      </c>
      <c r="BD101" s="107"/>
      <c r="BE101" s="107"/>
      <c r="BF101" s="107"/>
      <c r="BG101" s="107"/>
      <c r="BH101" s="107"/>
      <c r="BI101" s="107"/>
      <c r="BJ101" s="107"/>
      <c r="BK101" s="107"/>
      <c r="BL101" s="107"/>
      <c r="BM101" s="107"/>
      <c r="BN101" s="107"/>
      <c r="BO101" s="107"/>
      <c r="BP101" s="107"/>
      <c r="BQ101" s="107"/>
      <c r="BS101" s="65" t="str">
        <f t="shared" si="211"/>
        <v/>
      </c>
      <c r="BT101" s="75" t="str">
        <f t="shared" ref="BT101:CE101" si="297">IF($AP101="","",BT20*BT47)</f>
        <v/>
      </c>
      <c r="BU101" s="75" t="str">
        <f t="shared" si="297"/>
        <v/>
      </c>
      <c r="BV101" s="75" t="str">
        <f t="shared" si="297"/>
        <v/>
      </c>
      <c r="BW101" s="75" t="str">
        <f t="shared" si="297"/>
        <v/>
      </c>
      <c r="BX101" s="75" t="str">
        <f t="shared" si="297"/>
        <v/>
      </c>
      <c r="BY101" s="75" t="str">
        <f t="shared" si="297"/>
        <v/>
      </c>
      <c r="BZ101" s="75" t="str">
        <f t="shared" si="297"/>
        <v/>
      </c>
      <c r="CA101" s="75" t="str">
        <f t="shared" si="297"/>
        <v/>
      </c>
      <c r="CB101" s="75" t="str">
        <f t="shared" si="297"/>
        <v/>
      </c>
      <c r="CC101" s="75" t="str">
        <f t="shared" si="297"/>
        <v/>
      </c>
      <c r="CD101" s="75" t="str">
        <f t="shared" si="297"/>
        <v/>
      </c>
      <c r="CE101" s="75" t="str">
        <f t="shared" si="297"/>
        <v/>
      </c>
      <c r="CF101" s="70" t="str">
        <f t="shared" si="246"/>
        <v/>
      </c>
      <c r="CG101" s="107"/>
      <c r="CH101" s="107"/>
      <c r="CI101" s="107"/>
      <c r="CJ101" s="107"/>
      <c r="CK101" s="107"/>
      <c r="CL101" s="107"/>
      <c r="CM101" s="107"/>
      <c r="CN101" s="107"/>
      <c r="CO101" s="107"/>
      <c r="CP101" s="107"/>
      <c r="CQ101" s="107"/>
      <c r="CR101" s="107"/>
      <c r="CS101" s="107"/>
      <c r="CT101" s="107"/>
      <c r="CV101" s="65" t="str">
        <f t="shared" si="214"/>
        <v/>
      </c>
      <c r="CW101" s="66" t="str">
        <f t="shared" si="260"/>
        <v/>
      </c>
      <c r="CX101" s="66" t="str">
        <f t="shared" si="261"/>
        <v/>
      </c>
      <c r="CY101" s="66" t="str">
        <f t="shared" si="262"/>
        <v/>
      </c>
    </row>
    <row r="102" spans="13:103" s="38" customFormat="1" ht="15" hidden="1" customHeight="1" x14ac:dyDescent="0.2">
      <c r="M102" s="82" t="str">
        <f t="shared" si="215"/>
        <v/>
      </c>
      <c r="N102" s="75" t="str">
        <f t="shared" ref="N102:Y102" si="298">IF(OR(N48="",N21="",$M102=""),"",N21*N48)</f>
        <v/>
      </c>
      <c r="O102" s="75" t="str">
        <f t="shared" si="298"/>
        <v/>
      </c>
      <c r="P102" s="75" t="str">
        <f t="shared" si="298"/>
        <v/>
      </c>
      <c r="Q102" s="75" t="str">
        <f t="shared" si="298"/>
        <v/>
      </c>
      <c r="R102" s="75" t="str">
        <f t="shared" si="298"/>
        <v/>
      </c>
      <c r="S102" s="75" t="str">
        <f t="shared" si="298"/>
        <v/>
      </c>
      <c r="T102" s="75" t="str">
        <f t="shared" si="298"/>
        <v/>
      </c>
      <c r="U102" s="75" t="str">
        <f t="shared" si="298"/>
        <v/>
      </c>
      <c r="V102" s="75" t="str">
        <f t="shared" si="298"/>
        <v/>
      </c>
      <c r="W102" s="75" t="str">
        <f t="shared" si="298"/>
        <v/>
      </c>
      <c r="X102" s="75" t="str">
        <f t="shared" si="298"/>
        <v/>
      </c>
      <c r="Y102" s="75" t="str">
        <f t="shared" si="298"/>
        <v/>
      </c>
      <c r="Z102" s="70" t="str">
        <f t="shared" si="216"/>
        <v/>
      </c>
      <c r="AA102" s="107"/>
      <c r="AB102" s="107"/>
      <c r="AC102" s="107"/>
      <c r="AD102" s="107"/>
      <c r="AE102" s="107"/>
      <c r="AF102" s="107"/>
      <c r="AG102" s="107"/>
      <c r="AH102" s="107"/>
      <c r="AI102" s="107"/>
      <c r="AJ102" s="107"/>
      <c r="AK102" s="107"/>
      <c r="AL102" s="107"/>
      <c r="AM102" s="107"/>
      <c r="AN102" s="107"/>
      <c r="AP102" s="65" t="str">
        <f t="shared" si="208"/>
        <v/>
      </c>
      <c r="AQ102" s="75" t="str">
        <f t="shared" ref="AQ102:BB102" si="299">IF($AP102="","",AQ21*AQ48)</f>
        <v/>
      </c>
      <c r="AR102" s="75" t="str">
        <f t="shared" si="299"/>
        <v/>
      </c>
      <c r="AS102" s="75" t="str">
        <f t="shared" si="299"/>
        <v/>
      </c>
      <c r="AT102" s="75" t="str">
        <f t="shared" si="299"/>
        <v/>
      </c>
      <c r="AU102" s="75" t="str">
        <f t="shared" si="299"/>
        <v/>
      </c>
      <c r="AV102" s="75" t="str">
        <f t="shared" si="299"/>
        <v/>
      </c>
      <c r="AW102" s="75" t="str">
        <f t="shared" si="299"/>
        <v/>
      </c>
      <c r="AX102" s="75" t="str">
        <f t="shared" si="299"/>
        <v/>
      </c>
      <c r="AY102" s="75" t="str">
        <f t="shared" si="299"/>
        <v/>
      </c>
      <c r="AZ102" s="75" t="str">
        <f t="shared" si="299"/>
        <v/>
      </c>
      <c r="BA102" s="75" t="str">
        <f t="shared" si="299"/>
        <v/>
      </c>
      <c r="BB102" s="75" t="str">
        <f t="shared" si="299"/>
        <v/>
      </c>
      <c r="BC102" s="70" t="str">
        <f t="shared" si="231"/>
        <v/>
      </c>
      <c r="BD102" s="107"/>
      <c r="BE102" s="107"/>
      <c r="BF102" s="107"/>
      <c r="BG102" s="107"/>
      <c r="BH102" s="107"/>
      <c r="BI102" s="107"/>
      <c r="BJ102" s="107"/>
      <c r="BK102" s="107"/>
      <c r="BL102" s="107"/>
      <c r="BM102" s="107"/>
      <c r="BN102" s="107"/>
      <c r="BO102" s="107"/>
      <c r="BP102" s="107"/>
      <c r="BQ102" s="107"/>
      <c r="BS102" s="65" t="str">
        <f t="shared" si="211"/>
        <v/>
      </c>
      <c r="BT102" s="75" t="str">
        <f t="shared" ref="BT102:CE102" si="300">IF($AP102="","",BT21*BT48)</f>
        <v/>
      </c>
      <c r="BU102" s="75" t="str">
        <f t="shared" si="300"/>
        <v/>
      </c>
      <c r="BV102" s="75" t="str">
        <f t="shared" si="300"/>
        <v/>
      </c>
      <c r="BW102" s="75" t="str">
        <f t="shared" si="300"/>
        <v/>
      </c>
      <c r="BX102" s="75" t="str">
        <f t="shared" si="300"/>
        <v/>
      </c>
      <c r="BY102" s="75" t="str">
        <f t="shared" si="300"/>
        <v/>
      </c>
      <c r="BZ102" s="75" t="str">
        <f t="shared" si="300"/>
        <v/>
      </c>
      <c r="CA102" s="75" t="str">
        <f t="shared" si="300"/>
        <v/>
      </c>
      <c r="CB102" s="75" t="str">
        <f t="shared" si="300"/>
        <v/>
      </c>
      <c r="CC102" s="75" t="str">
        <f t="shared" si="300"/>
        <v/>
      </c>
      <c r="CD102" s="75" t="str">
        <f t="shared" si="300"/>
        <v/>
      </c>
      <c r="CE102" s="75" t="str">
        <f t="shared" si="300"/>
        <v/>
      </c>
      <c r="CF102" s="70" t="str">
        <f t="shared" si="246"/>
        <v/>
      </c>
      <c r="CG102" s="107"/>
      <c r="CH102" s="107"/>
      <c r="CI102" s="107"/>
      <c r="CJ102" s="107"/>
      <c r="CK102" s="107"/>
      <c r="CL102" s="107"/>
      <c r="CM102" s="107"/>
      <c r="CN102" s="107"/>
      <c r="CO102" s="107"/>
      <c r="CP102" s="107"/>
      <c r="CQ102" s="107"/>
      <c r="CR102" s="107"/>
      <c r="CS102" s="107"/>
      <c r="CT102" s="107"/>
      <c r="CV102" s="65" t="str">
        <f t="shared" si="214"/>
        <v/>
      </c>
      <c r="CW102" s="66" t="str">
        <f t="shared" si="260"/>
        <v/>
      </c>
      <c r="CX102" s="66" t="str">
        <f t="shared" si="261"/>
        <v/>
      </c>
      <c r="CY102" s="66" t="str">
        <f t="shared" si="262"/>
        <v/>
      </c>
    </row>
    <row r="103" spans="13:103" s="38" customFormat="1" ht="15" hidden="1" customHeight="1" x14ac:dyDescent="0.2">
      <c r="M103" s="82" t="str">
        <f t="shared" si="215"/>
        <v/>
      </c>
      <c r="N103" s="75" t="str">
        <f t="shared" ref="N103:Y103" si="301">IF(OR(N49="",N22="",$M103=""),"",N22*N49)</f>
        <v/>
      </c>
      <c r="O103" s="75" t="str">
        <f t="shared" si="301"/>
        <v/>
      </c>
      <c r="P103" s="75" t="str">
        <f t="shared" si="301"/>
        <v/>
      </c>
      <c r="Q103" s="75" t="str">
        <f t="shared" si="301"/>
        <v/>
      </c>
      <c r="R103" s="75" t="str">
        <f t="shared" si="301"/>
        <v/>
      </c>
      <c r="S103" s="75" t="str">
        <f t="shared" si="301"/>
        <v/>
      </c>
      <c r="T103" s="75" t="str">
        <f t="shared" si="301"/>
        <v/>
      </c>
      <c r="U103" s="75" t="str">
        <f t="shared" si="301"/>
        <v/>
      </c>
      <c r="V103" s="75" t="str">
        <f t="shared" si="301"/>
        <v/>
      </c>
      <c r="W103" s="75" t="str">
        <f t="shared" si="301"/>
        <v/>
      </c>
      <c r="X103" s="75" t="str">
        <f t="shared" si="301"/>
        <v/>
      </c>
      <c r="Y103" s="75" t="str">
        <f t="shared" si="301"/>
        <v/>
      </c>
      <c r="Z103" s="70" t="str">
        <f t="shared" si="216"/>
        <v/>
      </c>
      <c r="AA103" s="107"/>
      <c r="AB103" s="107"/>
      <c r="AC103" s="107"/>
      <c r="AD103" s="107"/>
      <c r="AE103" s="107"/>
      <c r="AF103" s="107"/>
      <c r="AG103" s="107"/>
      <c r="AH103" s="107"/>
      <c r="AI103" s="107"/>
      <c r="AJ103" s="107"/>
      <c r="AK103" s="107"/>
      <c r="AL103" s="107"/>
      <c r="AM103" s="107"/>
      <c r="AN103" s="107"/>
      <c r="AP103" s="65" t="str">
        <f t="shared" si="208"/>
        <v/>
      </c>
      <c r="AQ103" s="75" t="str">
        <f t="shared" ref="AQ103:BB103" si="302">IF($AP103="","",AQ22*AQ49)</f>
        <v/>
      </c>
      <c r="AR103" s="75" t="str">
        <f t="shared" si="302"/>
        <v/>
      </c>
      <c r="AS103" s="75" t="str">
        <f t="shared" si="302"/>
        <v/>
      </c>
      <c r="AT103" s="75" t="str">
        <f t="shared" si="302"/>
        <v/>
      </c>
      <c r="AU103" s="75" t="str">
        <f t="shared" si="302"/>
        <v/>
      </c>
      <c r="AV103" s="75" t="str">
        <f t="shared" si="302"/>
        <v/>
      </c>
      <c r="AW103" s="75" t="str">
        <f t="shared" si="302"/>
        <v/>
      </c>
      <c r="AX103" s="75" t="str">
        <f t="shared" si="302"/>
        <v/>
      </c>
      <c r="AY103" s="75" t="str">
        <f t="shared" si="302"/>
        <v/>
      </c>
      <c r="AZ103" s="75" t="str">
        <f t="shared" si="302"/>
        <v/>
      </c>
      <c r="BA103" s="75" t="str">
        <f t="shared" si="302"/>
        <v/>
      </c>
      <c r="BB103" s="75" t="str">
        <f t="shared" si="302"/>
        <v/>
      </c>
      <c r="BC103" s="70" t="str">
        <f t="shared" si="231"/>
        <v/>
      </c>
      <c r="BD103" s="107"/>
      <c r="BE103" s="107"/>
      <c r="BF103" s="107"/>
      <c r="BG103" s="107"/>
      <c r="BH103" s="107"/>
      <c r="BI103" s="107"/>
      <c r="BJ103" s="107"/>
      <c r="BK103" s="107"/>
      <c r="BL103" s="107"/>
      <c r="BM103" s="107"/>
      <c r="BN103" s="107"/>
      <c r="BO103" s="107"/>
      <c r="BP103" s="107"/>
      <c r="BQ103" s="107"/>
      <c r="BS103" s="65" t="str">
        <f t="shared" si="211"/>
        <v/>
      </c>
      <c r="BT103" s="75" t="str">
        <f t="shared" ref="BT103:CE103" si="303">IF($AP103="","",BT22*BT49)</f>
        <v/>
      </c>
      <c r="BU103" s="75" t="str">
        <f t="shared" si="303"/>
        <v/>
      </c>
      <c r="BV103" s="75" t="str">
        <f t="shared" si="303"/>
        <v/>
      </c>
      <c r="BW103" s="75" t="str">
        <f t="shared" si="303"/>
        <v/>
      </c>
      <c r="BX103" s="75" t="str">
        <f t="shared" si="303"/>
        <v/>
      </c>
      <c r="BY103" s="75" t="str">
        <f t="shared" si="303"/>
        <v/>
      </c>
      <c r="BZ103" s="75" t="str">
        <f t="shared" si="303"/>
        <v/>
      </c>
      <c r="CA103" s="75" t="str">
        <f t="shared" si="303"/>
        <v/>
      </c>
      <c r="CB103" s="75" t="str">
        <f t="shared" si="303"/>
        <v/>
      </c>
      <c r="CC103" s="75" t="str">
        <f t="shared" si="303"/>
        <v/>
      </c>
      <c r="CD103" s="75" t="str">
        <f t="shared" si="303"/>
        <v/>
      </c>
      <c r="CE103" s="75" t="str">
        <f t="shared" si="303"/>
        <v/>
      </c>
      <c r="CF103" s="70" t="str">
        <f t="shared" si="246"/>
        <v/>
      </c>
      <c r="CG103" s="107"/>
      <c r="CH103" s="107"/>
      <c r="CI103" s="107"/>
      <c r="CJ103" s="107"/>
      <c r="CK103" s="107"/>
      <c r="CL103" s="107"/>
      <c r="CM103" s="107"/>
      <c r="CN103" s="107"/>
      <c r="CO103" s="107"/>
      <c r="CP103" s="107"/>
      <c r="CQ103" s="107"/>
      <c r="CR103" s="107"/>
      <c r="CS103" s="107"/>
      <c r="CT103" s="107"/>
      <c r="CU103" s="40"/>
      <c r="CV103" s="65" t="str">
        <f t="shared" si="214"/>
        <v/>
      </c>
      <c r="CW103" s="66" t="str">
        <f t="shared" si="260"/>
        <v/>
      </c>
      <c r="CX103" s="66" t="str">
        <f t="shared" si="261"/>
        <v/>
      </c>
      <c r="CY103" s="66" t="str">
        <f t="shared" si="262"/>
        <v/>
      </c>
    </row>
    <row r="104" spans="13:103" s="38" customFormat="1" ht="15" hidden="1" customHeight="1" x14ac:dyDescent="0.2">
      <c r="M104" s="82" t="str">
        <f t="shared" si="215"/>
        <v/>
      </c>
      <c r="N104" s="75" t="str">
        <f t="shared" ref="N104:Y104" si="304">IF(OR(N50="",N23="",$M104=""),"",N23*N50)</f>
        <v/>
      </c>
      <c r="O104" s="75" t="str">
        <f t="shared" si="304"/>
        <v/>
      </c>
      <c r="P104" s="75" t="str">
        <f t="shared" si="304"/>
        <v/>
      </c>
      <c r="Q104" s="75" t="str">
        <f t="shared" si="304"/>
        <v/>
      </c>
      <c r="R104" s="75" t="str">
        <f t="shared" si="304"/>
        <v/>
      </c>
      <c r="S104" s="75" t="str">
        <f t="shared" si="304"/>
        <v/>
      </c>
      <c r="T104" s="75" t="str">
        <f t="shared" si="304"/>
        <v/>
      </c>
      <c r="U104" s="75" t="str">
        <f t="shared" si="304"/>
        <v/>
      </c>
      <c r="V104" s="75" t="str">
        <f t="shared" si="304"/>
        <v/>
      </c>
      <c r="W104" s="75" t="str">
        <f t="shared" si="304"/>
        <v/>
      </c>
      <c r="X104" s="75" t="str">
        <f t="shared" si="304"/>
        <v/>
      </c>
      <c r="Y104" s="75" t="str">
        <f t="shared" si="304"/>
        <v/>
      </c>
      <c r="Z104" s="70" t="str">
        <f t="shared" si="216"/>
        <v/>
      </c>
      <c r="AA104" s="107"/>
      <c r="AB104" s="107"/>
      <c r="AC104" s="107"/>
      <c r="AD104" s="107"/>
      <c r="AE104" s="107"/>
      <c r="AF104" s="107"/>
      <c r="AG104" s="107"/>
      <c r="AH104" s="107"/>
      <c r="AI104" s="107"/>
      <c r="AJ104" s="107"/>
      <c r="AK104" s="107"/>
      <c r="AL104" s="107"/>
      <c r="AM104" s="107"/>
      <c r="AN104" s="107"/>
      <c r="AP104" s="65" t="str">
        <f t="shared" si="208"/>
        <v/>
      </c>
      <c r="AQ104" s="75" t="str">
        <f t="shared" ref="AQ104:BB104" si="305">IF($AP104="","",AQ23*AQ50)</f>
        <v/>
      </c>
      <c r="AR104" s="75" t="str">
        <f t="shared" si="305"/>
        <v/>
      </c>
      <c r="AS104" s="75" t="str">
        <f t="shared" si="305"/>
        <v/>
      </c>
      <c r="AT104" s="75" t="str">
        <f t="shared" si="305"/>
        <v/>
      </c>
      <c r="AU104" s="75" t="str">
        <f t="shared" si="305"/>
        <v/>
      </c>
      <c r="AV104" s="75" t="str">
        <f t="shared" si="305"/>
        <v/>
      </c>
      <c r="AW104" s="75" t="str">
        <f t="shared" si="305"/>
        <v/>
      </c>
      <c r="AX104" s="75" t="str">
        <f t="shared" si="305"/>
        <v/>
      </c>
      <c r="AY104" s="75" t="str">
        <f t="shared" si="305"/>
        <v/>
      </c>
      <c r="AZ104" s="75" t="str">
        <f t="shared" si="305"/>
        <v/>
      </c>
      <c r="BA104" s="75" t="str">
        <f t="shared" si="305"/>
        <v/>
      </c>
      <c r="BB104" s="75" t="str">
        <f t="shared" si="305"/>
        <v/>
      </c>
      <c r="BC104" s="70" t="str">
        <f t="shared" si="231"/>
        <v/>
      </c>
      <c r="BD104" s="107"/>
      <c r="BE104" s="107"/>
      <c r="BF104" s="107"/>
      <c r="BG104" s="107"/>
      <c r="BH104" s="107"/>
      <c r="BI104" s="107"/>
      <c r="BJ104" s="107"/>
      <c r="BK104" s="107"/>
      <c r="BL104" s="107"/>
      <c r="BM104" s="107"/>
      <c r="BN104" s="107"/>
      <c r="BO104" s="107"/>
      <c r="BP104" s="107"/>
      <c r="BQ104" s="107"/>
      <c r="BS104" s="65" t="str">
        <f t="shared" si="211"/>
        <v/>
      </c>
      <c r="BT104" s="75" t="str">
        <f t="shared" ref="BT104:CE104" si="306">IF($AP104="","",BT23*BT50)</f>
        <v/>
      </c>
      <c r="BU104" s="75" t="str">
        <f t="shared" si="306"/>
        <v/>
      </c>
      <c r="BV104" s="75" t="str">
        <f t="shared" si="306"/>
        <v/>
      </c>
      <c r="BW104" s="75" t="str">
        <f t="shared" si="306"/>
        <v/>
      </c>
      <c r="BX104" s="75" t="str">
        <f t="shared" si="306"/>
        <v/>
      </c>
      <c r="BY104" s="75" t="str">
        <f t="shared" si="306"/>
        <v/>
      </c>
      <c r="BZ104" s="75" t="str">
        <f t="shared" si="306"/>
        <v/>
      </c>
      <c r="CA104" s="75" t="str">
        <f t="shared" si="306"/>
        <v/>
      </c>
      <c r="CB104" s="75" t="str">
        <f t="shared" si="306"/>
        <v/>
      </c>
      <c r="CC104" s="75" t="str">
        <f t="shared" si="306"/>
        <v/>
      </c>
      <c r="CD104" s="75" t="str">
        <f t="shared" si="306"/>
        <v/>
      </c>
      <c r="CE104" s="75" t="str">
        <f t="shared" si="306"/>
        <v/>
      </c>
      <c r="CF104" s="70" t="str">
        <f t="shared" si="246"/>
        <v/>
      </c>
      <c r="CG104" s="107"/>
      <c r="CH104" s="107"/>
      <c r="CI104" s="107"/>
      <c r="CJ104" s="107"/>
      <c r="CK104" s="107"/>
      <c r="CL104" s="107"/>
      <c r="CM104" s="107"/>
      <c r="CN104" s="107"/>
      <c r="CO104" s="107"/>
      <c r="CP104" s="107"/>
      <c r="CQ104" s="107"/>
      <c r="CR104" s="107"/>
      <c r="CS104" s="107"/>
      <c r="CT104" s="107"/>
      <c r="CU104" s="40"/>
      <c r="CV104" s="65" t="str">
        <f t="shared" si="214"/>
        <v/>
      </c>
      <c r="CW104" s="66" t="str">
        <f t="shared" si="260"/>
        <v/>
      </c>
      <c r="CX104" s="66" t="str">
        <f t="shared" si="261"/>
        <v/>
      </c>
      <c r="CY104" s="66" t="str">
        <f t="shared" si="262"/>
        <v/>
      </c>
    </row>
    <row r="105" spans="13:103" s="38" customFormat="1" ht="15" hidden="1" customHeight="1" x14ac:dyDescent="0.2">
      <c r="M105" s="82" t="str">
        <f t="shared" si="215"/>
        <v/>
      </c>
      <c r="N105" s="75" t="str">
        <f t="shared" ref="N105:Y105" si="307">IF(OR(N51="",N24="",$M105=""),"",N24*N51)</f>
        <v/>
      </c>
      <c r="O105" s="75" t="str">
        <f t="shared" si="307"/>
        <v/>
      </c>
      <c r="P105" s="75" t="str">
        <f t="shared" si="307"/>
        <v/>
      </c>
      <c r="Q105" s="75" t="str">
        <f t="shared" si="307"/>
        <v/>
      </c>
      <c r="R105" s="75" t="str">
        <f t="shared" si="307"/>
        <v/>
      </c>
      <c r="S105" s="75" t="str">
        <f t="shared" si="307"/>
        <v/>
      </c>
      <c r="T105" s="75" t="str">
        <f t="shared" si="307"/>
        <v/>
      </c>
      <c r="U105" s="75" t="str">
        <f t="shared" si="307"/>
        <v/>
      </c>
      <c r="V105" s="75" t="str">
        <f t="shared" si="307"/>
        <v/>
      </c>
      <c r="W105" s="75" t="str">
        <f t="shared" si="307"/>
        <v/>
      </c>
      <c r="X105" s="75" t="str">
        <f t="shared" si="307"/>
        <v/>
      </c>
      <c r="Y105" s="75" t="str">
        <f t="shared" si="307"/>
        <v/>
      </c>
      <c r="Z105" s="70" t="str">
        <f t="shared" si="216"/>
        <v/>
      </c>
      <c r="AA105" s="107"/>
      <c r="AB105" s="107"/>
      <c r="AC105" s="107"/>
      <c r="AD105" s="107"/>
      <c r="AE105" s="107"/>
      <c r="AF105" s="107"/>
      <c r="AG105" s="107"/>
      <c r="AH105" s="107"/>
      <c r="AI105" s="107"/>
      <c r="AJ105" s="107"/>
      <c r="AK105" s="107"/>
      <c r="AL105" s="107"/>
      <c r="AM105" s="107"/>
      <c r="AN105" s="107"/>
      <c r="AP105" s="65" t="str">
        <f t="shared" si="208"/>
        <v/>
      </c>
      <c r="AQ105" s="75" t="str">
        <f t="shared" ref="AQ105:BB105" si="308">IF($AP105="","",AQ24*AQ51)</f>
        <v/>
      </c>
      <c r="AR105" s="75" t="str">
        <f t="shared" si="308"/>
        <v/>
      </c>
      <c r="AS105" s="75" t="str">
        <f t="shared" si="308"/>
        <v/>
      </c>
      <c r="AT105" s="75" t="str">
        <f t="shared" si="308"/>
        <v/>
      </c>
      <c r="AU105" s="75" t="str">
        <f t="shared" si="308"/>
        <v/>
      </c>
      <c r="AV105" s="75" t="str">
        <f t="shared" si="308"/>
        <v/>
      </c>
      <c r="AW105" s="75" t="str">
        <f t="shared" si="308"/>
        <v/>
      </c>
      <c r="AX105" s="75" t="str">
        <f t="shared" si="308"/>
        <v/>
      </c>
      <c r="AY105" s="75" t="str">
        <f t="shared" si="308"/>
        <v/>
      </c>
      <c r="AZ105" s="75" t="str">
        <f t="shared" si="308"/>
        <v/>
      </c>
      <c r="BA105" s="75" t="str">
        <f t="shared" si="308"/>
        <v/>
      </c>
      <c r="BB105" s="75" t="str">
        <f t="shared" si="308"/>
        <v/>
      </c>
      <c r="BC105" s="70" t="str">
        <f t="shared" si="231"/>
        <v/>
      </c>
      <c r="BD105" s="107"/>
      <c r="BE105" s="107"/>
      <c r="BF105" s="107"/>
      <c r="BG105" s="107"/>
      <c r="BH105" s="107"/>
      <c r="BI105" s="107"/>
      <c r="BJ105" s="107"/>
      <c r="BK105" s="107"/>
      <c r="BL105" s="107"/>
      <c r="BM105" s="107"/>
      <c r="BN105" s="107"/>
      <c r="BO105" s="107"/>
      <c r="BP105" s="107"/>
      <c r="BQ105" s="107"/>
      <c r="BS105" s="65" t="str">
        <f t="shared" si="211"/>
        <v/>
      </c>
      <c r="BT105" s="75" t="str">
        <f t="shared" ref="BT105:CE105" si="309">IF($AP105="","",BT24*BT51)</f>
        <v/>
      </c>
      <c r="BU105" s="75" t="str">
        <f t="shared" si="309"/>
        <v/>
      </c>
      <c r="BV105" s="75" t="str">
        <f t="shared" si="309"/>
        <v/>
      </c>
      <c r="BW105" s="75" t="str">
        <f t="shared" si="309"/>
        <v/>
      </c>
      <c r="BX105" s="75" t="str">
        <f t="shared" si="309"/>
        <v/>
      </c>
      <c r="BY105" s="75" t="str">
        <f t="shared" si="309"/>
        <v/>
      </c>
      <c r="BZ105" s="75" t="str">
        <f t="shared" si="309"/>
        <v/>
      </c>
      <c r="CA105" s="75" t="str">
        <f t="shared" si="309"/>
        <v/>
      </c>
      <c r="CB105" s="75" t="str">
        <f t="shared" si="309"/>
        <v/>
      </c>
      <c r="CC105" s="75" t="str">
        <f t="shared" si="309"/>
        <v/>
      </c>
      <c r="CD105" s="75" t="str">
        <f t="shared" si="309"/>
        <v/>
      </c>
      <c r="CE105" s="75" t="str">
        <f t="shared" si="309"/>
        <v/>
      </c>
      <c r="CF105" s="70" t="str">
        <f t="shared" si="246"/>
        <v/>
      </c>
      <c r="CG105" s="107"/>
      <c r="CH105" s="107"/>
      <c r="CI105" s="107"/>
      <c r="CJ105" s="107"/>
      <c r="CK105" s="107"/>
      <c r="CL105" s="107"/>
      <c r="CM105" s="107"/>
      <c r="CN105" s="107"/>
      <c r="CO105" s="107"/>
      <c r="CP105" s="107"/>
      <c r="CQ105" s="107"/>
      <c r="CR105" s="107"/>
      <c r="CS105" s="107"/>
      <c r="CT105" s="107"/>
      <c r="CU105" s="40"/>
      <c r="CV105" s="65" t="str">
        <f t="shared" si="214"/>
        <v/>
      </c>
      <c r="CW105" s="66" t="str">
        <f t="shared" si="260"/>
        <v/>
      </c>
      <c r="CX105" s="66" t="str">
        <f t="shared" si="261"/>
        <v/>
      </c>
      <c r="CY105" s="66" t="str">
        <f t="shared" si="262"/>
        <v/>
      </c>
    </row>
    <row r="106" spans="13:103" s="38" customFormat="1" ht="15" hidden="1" customHeight="1" x14ac:dyDescent="0.2">
      <c r="M106" s="82" t="str">
        <f t="shared" si="215"/>
        <v/>
      </c>
      <c r="N106" s="75" t="str">
        <f t="shared" ref="N106:Y106" si="310">IF(OR(N52="",N25="",$M106=""),"",N25*N52)</f>
        <v/>
      </c>
      <c r="O106" s="75" t="str">
        <f t="shared" si="310"/>
        <v/>
      </c>
      <c r="P106" s="75" t="str">
        <f t="shared" si="310"/>
        <v/>
      </c>
      <c r="Q106" s="75" t="str">
        <f t="shared" si="310"/>
        <v/>
      </c>
      <c r="R106" s="75" t="str">
        <f t="shared" si="310"/>
        <v/>
      </c>
      <c r="S106" s="75" t="str">
        <f t="shared" si="310"/>
        <v/>
      </c>
      <c r="T106" s="75" t="str">
        <f t="shared" si="310"/>
        <v/>
      </c>
      <c r="U106" s="75" t="str">
        <f t="shared" si="310"/>
        <v/>
      </c>
      <c r="V106" s="75" t="str">
        <f t="shared" si="310"/>
        <v/>
      </c>
      <c r="W106" s="75" t="str">
        <f t="shared" si="310"/>
        <v/>
      </c>
      <c r="X106" s="75" t="str">
        <f t="shared" si="310"/>
        <v/>
      </c>
      <c r="Y106" s="75" t="str">
        <f t="shared" si="310"/>
        <v/>
      </c>
      <c r="Z106" s="70" t="str">
        <f t="shared" si="216"/>
        <v/>
      </c>
      <c r="AA106" s="107"/>
      <c r="AB106" s="107"/>
      <c r="AC106" s="107"/>
      <c r="AD106" s="107"/>
      <c r="AE106" s="107"/>
      <c r="AF106" s="107"/>
      <c r="AG106" s="107"/>
      <c r="AH106" s="107"/>
      <c r="AI106" s="107"/>
      <c r="AJ106" s="107"/>
      <c r="AK106" s="107"/>
      <c r="AL106" s="107"/>
      <c r="AM106" s="107"/>
      <c r="AN106" s="107"/>
      <c r="AP106" s="65" t="str">
        <f t="shared" si="208"/>
        <v/>
      </c>
      <c r="AQ106" s="75" t="str">
        <f t="shared" ref="AQ106:BB106" si="311">IF($AP106="","",AQ25*AQ52)</f>
        <v/>
      </c>
      <c r="AR106" s="75" t="str">
        <f t="shared" si="311"/>
        <v/>
      </c>
      <c r="AS106" s="75" t="str">
        <f t="shared" si="311"/>
        <v/>
      </c>
      <c r="AT106" s="75" t="str">
        <f t="shared" si="311"/>
        <v/>
      </c>
      <c r="AU106" s="75" t="str">
        <f t="shared" si="311"/>
        <v/>
      </c>
      <c r="AV106" s="75" t="str">
        <f t="shared" si="311"/>
        <v/>
      </c>
      <c r="AW106" s="75" t="str">
        <f t="shared" si="311"/>
        <v/>
      </c>
      <c r="AX106" s="75" t="str">
        <f t="shared" si="311"/>
        <v/>
      </c>
      <c r="AY106" s="75" t="str">
        <f t="shared" si="311"/>
        <v/>
      </c>
      <c r="AZ106" s="75" t="str">
        <f t="shared" si="311"/>
        <v/>
      </c>
      <c r="BA106" s="75" t="str">
        <f t="shared" si="311"/>
        <v/>
      </c>
      <c r="BB106" s="75" t="str">
        <f t="shared" si="311"/>
        <v/>
      </c>
      <c r="BC106" s="70" t="str">
        <f t="shared" si="231"/>
        <v/>
      </c>
      <c r="BD106" s="107"/>
      <c r="BE106" s="107"/>
      <c r="BF106" s="107"/>
      <c r="BG106" s="107"/>
      <c r="BH106" s="107"/>
      <c r="BI106" s="107"/>
      <c r="BJ106" s="107"/>
      <c r="BK106" s="107"/>
      <c r="BL106" s="107"/>
      <c r="BM106" s="107"/>
      <c r="BN106" s="107"/>
      <c r="BO106" s="107"/>
      <c r="BP106" s="107"/>
      <c r="BQ106" s="107"/>
      <c r="BS106" s="65" t="str">
        <f t="shared" si="211"/>
        <v/>
      </c>
      <c r="BT106" s="75" t="str">
        <f t="shared" ref="BT106:CE106" si="312">IF($AP106="","",BT25*BT52)</f>
        <v/>
      </c>
      <c r="BU106" s="75" t="str">
        <f t="shared" si="312"/>
        <v/>
      </c>
      <c r="BV106" s="75" t="str">
        <f t="shared" si="312"/>
        <v/>
      </c>
      <c r="BW106" s="75" t="str">
        <f t="shared" si="312"/>
        <v/>
      </c>
      <c r="BX106" s="75" t="str">
        <f t="shared" si="312"/>
        <v/>
      </c>
      <c r="BY106" s="75" t="str">
        <f t="shared" si="312"/>
        <v/>
      </c>
      <c r="BZ106" s="75" t="str">
        <f t="shared" si="312"/>
        <v/>
      </c>
      <c r="CA106" s="75" t="str">
        <f t="shared" si="312"/>
        <v/>
      </c>
      <c r="CB106" s="75" t="str">
        <f t="shared" si="312"/>
        <v/>
      </c>
      <c r="CC106" s="75" t="str">
        <f t="shared" si="312"/>
        <v/>
      </c>
      <c r="CD106" s="75" t="str">
        <f t="shared" si="312"/>
        <v/>
      </c>
      <c r="CE106" s="75" t="str">
        <f t="shared" si="312"/>
        <v/>
      </c>
      <c r="CF106" s="70" t="str">
        <f t="shared" si="246"/>
        <v/>
      </c>
      <c r="CG106" s="107"/>
      <c r="CH106" s="107"/>
      <c r="CI106" s="107"/>
      <c r="CJ106" s="107"/>
      <c r="CK106" s="107"/>
      <c r="CL106" s="107"/>
      <c r="CM106" s="107"/>
      <c r="CN106" s="107"/>
      <c r="CO106" s="107"/>
      <c r="CP106" s="107"/>
      <c r="CQ106" s="107"/>
      <c r="CR106" s="107"/>
      <c r="CS106" s="107"/>
      <c r="CT106" s="107"/>
      <c r="CU106" s="40"/>
      <c r="CV106" s="65" t="str">
        <f t="shared" si="214"/>
        <v/>
      </c>
      <c r="CW106" s="66" t="str">
        <f t="shared" si="260"/>
        <v/>
      </c>
      <c r="CX106" s="66" t="str">
        <f t="shared" si="261"/>
        <v/>
      </c>
      <c r="CY106" s="66" t="str">
        <f t="shared" si="262"/>
        <v/>
      </c>
    </row>
    <row r="107" spans="13:103" s="38" customFormat="1" ht="15" hidden="1" customHeight="1" x14ac:dyDescent="0.2">
      <c r="M107" s="82" t="str">
        <f t="shared" si="215"/>
        <v/>
      </c>
      <c r="N107" s="75" t="str">
        <f t="shared" ref="N107:Y107" si="313">IF(OR(N53="",N26="",$M107=""),"",N26*N53)</f>
        <v/>
      </c>
      <c r="O107" s="75" t="str">
        <f t="shared" si="313"/>
        <v/>
      </c>
      <c r="P107" s="75" t="str">
        <f t="shared" si="313"/>
        <v/>
      </c>
      <c r="Q107" s="75" t="str">
        <f t="shared" si="313"/>
        <v/>
      </c>
      <c r="R107" s="75" t="str">
        <f t="shared" si="313"/>
        <v/>
      </c>
      <c r="S107" s="75" t="str">
        <f t="shared" si="313"/>
        <v/>
      </c>
      <c r="T107" s="75" t="str">
        <f t="shared" si="313"/>
        <v/>
      </c>
      <c r="U107" s="75" t="str">
        <f t="shared" si="313"/>
        <v/>
      </c>
      <c r="V107" s="75" t="str">
        <f t="shared" si="313"/>
        <v/>
      </c>
      <c r="W107" s="75" t="str">
        <f t="shared" si="313"/>
        <v/>
      </c>
      <c r="X107" s="75" t="str">
        <f t="shared" si="313"/>
        <v/>
      </c>
      <c r="Y107" s="75" t="str">
        <f t="shared" si="313"/>
        <v/>
      </c>
      <c r="Z107" s="70" t="str">
        <f t="shared" si="216"/>
        <v/>
      </c>
      <c r="AA107" s="107"/>
      <c r="AB107" s="107"/>
      <c r="AC107" s="107"/>
      <c r="AD107" s="107"/>
      <c r="AE107" s="107"/>
      <c r="AF107" s="107"/>
      <c r="AG107" s="107"/>
      <c r="AH107" s="107"/>
      <c r="AI107" s="107"/>
      <c r="AJ107" s="107"/>
      <c r="AK107" s="107"/>
      <c r="AL107" s="107"/>
      <c r="AM107" s="107"/>
      <c r="AN107" s="107"/>
      <c r="AP107" s="65" t="str">
        <f t="shared" si="208"/>
        <v/>
      </c>
      <c r="AQ107" s="75" t="str">
        <f t="shared" ref="AQ107:BB107" si="314">IF($AP107="","",AQ26*AQ53)</f>
        <v/>
      </c>
      <c r="AR107" s="75" t="str">
        <f t="shared" si="314"/>
        <v/>
      </c>
      <c r="AS107" s="75" t="str">
        <f t="shared" si="314"/>
        <v/>
      </c>
      <c r="AT107" s="75" t="str">
        <f t="shared" si="314"/>
        <v/>
      </c>
      <c r="AU107" s="75" t="str">
        <f t="shared" si="314"/>
        <v/>
      </c>
      <c r="AV107" s="75" t="str">
        <f t="shared" si="314"/>
        <v/>
      </c>
      <c r="AW107" s="75" t="str">
        <f t="shared" si="314"/>
        <v/>
      </c>
      <c r="AX107" s="75" t="str">
        <f t="shared" si="314"/>
        <v/>
      </c>
      <c r="AY107" s="75" t="str">
        <f t="shared" si="314"/>
        <v/>
      </c>
      <c r="AZ107" s="75" t="str">
        <f t="shared" si="314"/>
        <v/>
      </c>
      <c r="BA107" s="75" t="str">
        <f t="shared" si="314"/>
        <v/>
      </c>
      <c r="BB107" s="75" t="str">
        <f t="shared" si="314"/>
        <v/>
      </c>
      <c r="BC107" s="70" t="str">
        <f t="shared" si="231"/>
        <v/>
      </c>
      <c r="BD107" s="107"/>
      <c r="BE107" s="107"/>
      <c r="BF107" s="107"/>
      <c r="BG107" s="107"/>
      <c r="BH107" s="107"/>
      <c r="BI107" s="107"/>
      <c r="BJ107" s="107"/>
      <c r="BK107" s="107"/>
      <c r="BL107" s="107"/>
      <c r="BM107" s="107"/>
      <c r="BN107" s="107"/>
      <c r="BO107" s="107"/>
      <c r="BP107" s="107"/>
      <c r="BQ107" s="107"/>
      <c r="BS107" s="65" t="str">
        <f t="shared" si="211"/>
        <v/>
      </c>
      <c r="BT107" s="75" t="str">
        <f t="shared" ref="BT107:CE107" si="315">IF($AP107="","",BT26*BT53)</f>
        <v/>
      </c>
      <c r="BU107" s="75" t="str">
        <f t="shared" si="315"/>
        <v/>
      </c>
      <c r="BV107" s="75" t="str">
        <f t="shared" si="315"/>
        <v/>
      </c>
      <c r="BW107" s="75" t="str">
        <f t="shared" si="315"/>
        <v/>
      </c>
      <c r="BX107" s="75" t="str">
        <f t="shared" si="315"/>
        <v/>
      </c>
      <c r="BY107" s="75" t="str">
        <f t="shared" si="315"/>
        <v/>
      </c>
      <c r="BZ107" s="75" t="str">
        <f t="shared" si="315"/>
        <v/>
      </c>
      <c r="CA107" s="75" t="str">
        <f t="shared" si="315"/>
        <v/>
      </c>
      <c r="CB107" s="75" t="str">
        <f t="shared" si="315"/>
        <v/>
      </c>
      <c r="CC107" s="75" t="str">
        <f t="shared" si="315"/>
        <v/>
      </c>
      <c r="CD107" s="75" t="str">
        <f t="shared" si="315"/>
        <v/>
      </c>
      <c r="CE107" s="75" t="str">
        <f t="shared" si="315"/>
        <v/>
      </c>
      <c r="CF107" s="70" t="str">
        <f t="shared" si="246"/>
        <v/>
      </c>
      <c r="CG107" s="107"/>
      <c r="CH107" s="107"/>
      <c r="CI107" s="107"/>
      <c r="CJ107" s="107"/>
      <c r="CK107" s="107"/>
      <c r="CL107" s="107"/>
      <c r="CM107" s="107"/>
      <c r="CN107" s="107"/>
      <c r="CO107" s="107"/>
      <c r="CP107" s="107"/>
      <c r="CQ107" s="107"/>
      <c r="CR107" s="107"/>
      <c r="CS107" s="107"/>
      <c r="CT107" s="107"/>
      <c r="CU107" s="40"/>
      <c r="CV107" s="65" t="str">
        <f t="shared" si="214"/>
        <v/>
      </c>
      <c r="CW107" s="66" t="str">
        <f t="shared" si="260"/>
        <v/>
      </c>
      <c r="CX107" s="66" t="str">
        <f t="shared" si="261"/>
        <v/>
      </c>
      <c r="CY107" s="66" t="str">
        <f t="shared" si="262"/>
        <v/>
      </c>
    </row>
    <row r="108" spans="13:103" s="38" customFormat="1" ht="15" hidden="1" customHeight="1" x14ac:dyDescent="0.2">
      <c r="M108" s="82" t="str">
        <f t="shared" si="215"/>
        <v/>
      </c>
      <c r="N108" s="75" t="str">
        <f t="shared" ref="N108:Y108" si="316">IF(OR(N54="",N27="",$M108=""),"",N27*N54)</f>
        <v/>
      </c>
      <c r="O108" s="75" t="str">
        <f t="shared" si="316"/>
        <v/>
      </c>
      <c r="P108" s="75" t="str">
        <f t="shared" si="316"/>
        <v/>
      </c>
      <c r="Q108" s="75" t="str">
        <f t="shared" si="316"/>
        <v/>
      </c>
      <c r="R108" s="75" t="str">
        <f t="shared" si="316"/>
        <v/>
      </c>
      <c r="S108" s="75" t="str">
        <f t="shared" si="316"/>
        <v/>
      </c>
      <c r="T108" s="75" t="str">
        <f t="shared" si="316"/>
        <v/>
      </c>
      <c r="U108" s="75" t="str">
        <f t="shared" si="316"/>
        <v/>
      </c>
      <c r="V108" s="75" t="str">
        <f t="shared" si="316"/>
        <v/>
      </c>
      <c r="W108" s="75" t="str">
        <f t="shared" si="316"/>
        <v/>
      </c>
      <c r="X108" s="75" t="str">
        <f t="shared" si="316"/>
        <v/>
      </c>
      <c r="Y108" s="75" t="str">
        <f t="shared" si="316"/>
        <v/>
      </c>
      <c r="Z108" s="70" t="str">
        <f t="shared" si="216"/>
        <v/>
      </c>
      <c r="AA108" s="107"/>
      <c r="AB108" s="107"/>
      <c r="AC108" s="107"/>
      <c r="AD108" s="107"/>
      <c r="AE108" s="107"/>
      <c r="AF108" s="107"/>
      <c r="AG108" s="107"/>
      <c r="AH108" s="107"/>
      <c r="AI108" s="107"/>
      <c r="AJ108" s="107"/>
      <c r="AK108" s="107"/>
      <c r="AL108" s="107"/>
      <c r="AM108" s="107"/>
      <c r="AN108" s="107"/>
      <c r="AP108" s="65" t="str">
        <f t="shared" si="208"/>
        <v/>
      </c>
      <c r="AQ108" s="75" t="str">
        <f t="shared" ref="AQ108:BB108" si="317">IF($AP108="","",AQ27*AQ54)</f>
        <v/>
      </c>
      <c r="AR108" s="75" t="str">
        <f t="shared" si="317"/>
        <v/>
      </c>
      <c r="AS108" s="75" t="str">
        <f t="shared" si="317"/>
        <v/>
      </c>
      <c r="AT108" s="75" t="str">
        <f t="shared" si="317"/>
        <v/>
      </c>
      <c r="AU108" s="75" t="str">
        <f t="shared" si="317"/>
        <v/>
      </c>
      <c r="AV108" s="75" t="str">
        <f t="shared" si="317"/>
        <v/>
      </c>
      <c r="AW108" s="75" t="str">
        <f t="shared" si="317"/>
        <v/>
      </c>
      <c r="AX108" s="75" t="str">
        <f t="shared" si="317"/>
        <v/>
      </c>
      <c r="AY108" s="75" t="str">
        <f t="shared" si="317"/>
        <v/>
      </c>
      <c r="AZ108" s="75" t="str">
        <f t="shared" si="317"/>
        <v/>
      </c>
      <c r="BA108" s="75" t="str">
        <f t="shared" si="317"/>
        <v/>
      </c>
      <c r="BB108" s="75" t="str">
        <f t="shared" si="317"/>
        <v/>
      </c>
      <c r="BC108" s="70" t="str">
        <f t="shared" si="231"/>
        <v/>
      </c>
      <c r="BD108" s="107"/>
      <c r="BE108" s="107"/>
      <c r="BF108" s="107"/>
      <c r="BG108" s="107"/>
      <c r="BH108" s="107"/>
      <c r="BI108" s="107"/>
      <c r="BJ108" s="107"/>
      <c r="BK108" s="107"/>
      <c r="BL108" s="107"/>
      <c r="BM108" s="107"/>
      <c r="BN108" s="107"/>
      <c r="BO108" s="107"/>
      <c r="BP108" s="107"/>
      <c r="BQ108" s="107"/>
      <c r="BS108" s="65" t="str">
        <f t="shared" si="211"/>
        <v/>
      </c>
      <c r="BT108" s="75" t="str">
        <f t="shared" ref="BT108:CE108" si="318">IF($AP108="","",BT27*BT54)</f>
        <v/>
      </c>
      <c r="BU108" s="75" t="str">
        <f t="shared" si="318"/>
        <v/>
      </c>
      <c r="BV108" s="75" t="str">
        <f t="shared" si="318"/>
        <v/>
      </c>
      <c r="BW108" s="75" t="str">
        <f t="shared" si="318"/>
        <v/>
      </c>
      <c r="BX108" s="75" t="str">
        <f t="shared" si="318"/>
        <v/>
      </c>
      <c r="BY108" s="75" t="str">
        <f t="shared" si="318"/>
        <v/>
      </c>
      <c r="BZ108" s="75" t="str">
        <f t="shared" si="318"/>
        <v/>
      </c>
      <c r="CA108" s="75" t="str">
        <f t="shared" si="318"/>
        <v/>
      </c>
      <c r="CB108" s="75" t="str">
        <f t="shared" si="318"/>
        <v/>
      </c>
      <c r="CC108" s="75" t="str">
        <f t="shared" si="318"/>
        <v/>
      </c>
      <c r="CD108" s="75" t="str">
        <f t="shared" si="318"/>
        <v/>
      </c>
      <c r="CE108" s="75" t="str">
        <f t="shared" si="318"/>
        <v/>
      </c>
      <c r="CF108" s="70" t="str">
        <f t="shared" si="246"/>
        <v/>
      </c>
      <c r="CG108" s="107"/>
      <c r="CH108" s="107"/>
      <c r="CI108" s="107"/>
      <c r="CJ108" s="107"/>
      <c r="CK108" s="107"/>
      <c r="CL108" s="107"/>
      <c r="CM108" s="107"/>
      <c r="CN108" s="107"/>
      <c r="CO108" s="107"/>
      <c r="CP108" s="107"/>
      <c r="CQ108" s="107"/>
      <c r="CR108" s="107"/>
      <c r="CS108" s="107"/>
      <c r="CT108" s="107"/>
      <c r="CU108" s="40"/>
      <c r="CV108" s="65" t="str">
        <f t="shared" si="214"/>
        <v/>
      </c>
      <c r="CW108" s="66" t="str">
        <f t="shared" si="260"/>
        <v/>
      </c>
      <c r="CX108" s="66" t="str">
        <f t="shared" si="261"/>
        <v/>
      </c>
      <c r="CY108" s="66" t="str">
        <f t="shared" si="262"/>
        <v/>
      </c>
    </row>
    <row r="109" spans="13:103" s="38" customFormat="1" ht="15" hidden="1" customHeight="1" x14ac:dyDescent="0.2">
      <c r="M109" s="82" t="str">
        <f t="shared" si="215"/>
        <v/>
      </c>
      <c r="N109" s="75" t="str">
        <f t="shared" ref="N109:Y109" si="319">IF(OR(N55="",N28="",$M109=""),"",N28*N55)</f>
        <v/>
      </c>
      <c r="O109" s="75" t="str">
        <f t="shared" si="319"/>
        <v/>
      </c>
      <c r="P109" s="75" t="str">
        <f t="shared" si="319"/>
        <v/>
      </c>
      <c r="Q109" s="75" t="str">
        <f t="shared" si="319"/>
        <v/>
      </c>
      <c r="R109" s="75" t="str">
        <f t="shared" si="319"/>
        <v/>
      </c>
      <c r="S109" s="75" t="str">
        <f t="shared" si="319"/>
        <v/>
      </c>
      <c r="T109" s="75" t="str">
        <f t="shared" si="319"/>
        <v/>
      </c>
      <c r="U109" s="75" t="str">
        <f t="shared" si="319"/>
        <v/>
      </c>
      <c r="V109" s="75" t="str">
        <f t="shared" si="319"/>
        <v/>
      </c>
      <c r="W109" s="75" t="str">
        <f t="shared" si="319"/>
        <v/>
      </c>
      <c r="X109" s="75" t="str">
        <f t="shared" si="319"/>
        <v/>
      </c>
      <c r="Y109" s="75" t="str">
        <f t="shared" si="319"/>
        <v/>
      </c>
      <c r="Z109" s="70" t="str">
        <f t="shared" si="216"/>
        <v/>
      </c>
      <c r="AA109" s="107"/>
      <c r="AB109" s="107"/>
      <c r="AC109" s="107"/>
      <c r="AD109" s="107"/>
      <c r="AE109" s="107"/>
      <c r="AF109" s="107"/>
      <c r="AG109" s="107"/>
      <c r="AH109" s="107"/>
      <c r="AI109" s="107"/>
      <c r="AJ109" s="107"/>
      <c r="AK109" s="107"/>
      <c r="AL109" s="107"/>
      <c r="AM109" s="107"/>
      <c r="AN109" s="107"/>
      <c r="AP109" s="65" t="str">
        <f t="shared" si="208"/>
        <v/>
      </c>
      <c r="AQ109" s="75" t="str">
        <f t="shared" ref="AQ109:BB109" si="320">IF($AP109="","",AQ28*AQ55)</f>
        <v/>
      </c>
      <c r="AR109" s="75" t="str">
        <f t="shared" si="320"/>
        <v/>
      </c>
      <c r="AS109" s="75" t="str">
        <f t="shared" si="320"/>
        <v/>
      </c>
      <c r="AT109" s="75" t="str">
        <f t="shared" si="320"/>
        <v/>
      </c>
      <c r="AU109" s="75" t="str">
        <f t="shared" si="320"/>
        <v/>
      </c>
      <c r="AV109" s="75" t="str">
        <f t="shared" si="320"/>
        <v/>
      </c>
      <c r="AW109" s="75" t="str">
        <f t="shared" si="320"/>
        <v/>
      </c>
      <c r="AX109" s="75" t="str">
        <f t="shared" si="320"/>
        <v/>
      </c>
      <c r="AY109" s="75" t="str">
        <f t="shared" si="320"/>
        <v/>
      </c>
      <c r="AZ109" s="75" t="str">
        <f t="shared" si="320"/>
        <v/>
      </c>
      <c r="BA109" s="75" t="str">
        <f t="shared" si="320"/>
        <v/>
      </c>
      <c r="BB109" s="75" t="str">
        <f t="shared" si="320"/>
        <v/>
      </c>
      <c r="BC109" s="70" t="str">
        <f t="shared" si="231"/>
        <v/>
      </c>
      <c r="BD109" s="107"/>
      <c r="BE109" s="107"/>
      <c r="BF109" s="107"/>
      <c r="BG109" s="107"/>
      <c r="BH109" s="107"/>
      <c r="BI109" s="107"/>
      <c r="BJ109" s="107"/>
      <c r="BK109" s="107"/>
      <c r="BL109" s="107"/>
      <c r="BM109" s="107"/>
      <c r="BN109" s="107"/>
      <c r="BO109" s="107"/>
      <c r="BP109" s="107"/>
      <c r="BQ109" s="107"/>
      <c r="BS109" s="65" t="str">
        <f t="shared" si="211"/>
        <v/>
      </c>
      <c r="BT109" s="75" t="str">
        <f t="shared" ref="BT109:CE109" si="321">IF($AP109="","",BT28*BT55)</f>
        <v/>
      </c>
      <c r="BU109" s="75" t="str">
        <f t="shared" si="321"/>
        <v/>
      </c>
      <c r="BV109" s="75" t="str">
        <f t="shared" si="321"/>
        <v/>
      </c>
      <c r="BW109" s="75" t="str">
        <f t="shared" si="321"/>
        <v/>
      </c>
      <c r="BX109" s="75" t="str">
        <f t="shared" si="321"/>
        <v/>
      </c>
      <c r="BY109" s="75" t="str">
        <f t="shared" si="321"/>
        <v/>
      </c>
      <c r="BZ109" s="75" t="str">
        <f t="shared" si="321"/>
        <v/>
      </c>
      <c r="CA109" s="75" t="str">
        <f t="shared" si="321"/>
        <v/>
      </c>
      <c r="CB109" s="75" t="str">
        <f t="shared" si="321"/>
        <v/>
      </c>
      <c r="CC109" s="75" t="str">
        <f t="shared" si="321"/>
        <v/>
      </c>
      <c r="CD109" s="75" t="str">
        <f t="shared" si="321"/>
        <v/>
      </c>
      <c r="CE109" s="75" t="str">
        <f t="shared" si="321"/>
        <v/>
      </c>
      <c r="CF109" s="70" t="str">
        <f t="shared" si="246"/>
        <v/>
      </c>
      <c r="CG109" s="107"/>
      <c r="CH109" s="107"/>
      <c r="CI109" s="107"/>
      <c r="CJ109" s="107"/>
      <c r="CK109" s="107"/>
      <c r="CL109" s="107"/>
      <c r="CM109" s="107"/>
      <c r="CN109" s="107"/>
      <c r="CO109" s="107"/>
      <c r="CP109" s="107"/>
      <c r="CQ109" s="107"/>
      <c r="CR109" s="107"/>
      <c r="CS109" s="107"/>
      <c r="CT109" s="107"/>
      <c r="CU109" s="40"/>
      <c r="CV109" s="65" t="str">
        <f t="shared" si="214"/>
        <v/>
      </c>
      <c r="CW109" s="66" t="str">
        <f t="shared" si="260"/>
        <v/>
      </c>
      <c r="CX109" s="66" t="str">
        <f t="shared" si="261"/>
        <v/>
      </c>
      <c r="CY109" s="66" t="str">
        <f t="shared" si="262"/>
        <v/>
      </c>
    </row>
    <row r="110" spans="13:103" s="38" customFormat="1" ht="15" hidden="1" customHeight="1" x14ac:dyDescent="0.2">
      <c r="M110" s="82" t="str">
        <f t="shared" si="215"/>
        <v/>
      </c>
      <c r="N110" s="75" t="str">
        <f t="shared" ref="N110:Y110" si="322">IF(OR(N56="",N29="",$M110=""),"",N29*N56)</f>
        <v/>
      </c>
      <c r="O110" s="75" t="str">
        <f t="shared" si="322"/>
        <v/>
      </c>
      <c r="P110" s="75" t="str">
        <f t="shared" si="322"/>
        <v/>
      </c>
      <c r="Q110" s="75" t="str">
        <f t="shared" si="322"/>
        <v/>
      </c>
      <c r="R110" s="75" t="str">
        <f t="shared" si="322"/>
        <v/>
      </c>
      <c r="S110" s="75" t="str">
        <f t="shared" si="322"/>
        <v/>
      </c>
      <c r="T110" s="75" t="str">
        <f t="shared" si="322"/>
        <v/>
      </c>
      <c r="U110" s="75" t="str">
        <f t="shared" si="322"/>
        <v/>
      </c>
      <c r="V110" s="75" t="str">
        <f t="shared" si="322"/>
        <v/>
      </c>
      <c r="W110" s="75" t="str">
        <f t="shared" si="322"/>
        <v/>
      </c>
      <c r="X110" s="75" t="str">
        <f t="shared" si="322"/>
        <v/>
      </c>
      <c r="Y110" s="75" t="str">
        <f t="shared" si="322"/>
        <v/>
      </c>
      <c r="Z110" s="70" t="str">
        <f t="shared" si="216"/>
        <v/>
      </c>
      <c r="AA110" s="107"/>
      <c r="AB110" s="107"/>
      <c r="AC110" s="107"/>
      <c r="AD110" s="107"/>
      <c r="AE110" s="107"/>
      <c r="AF110" s="107"/>
      <c r="AG110" s="107"/>
      <c r="AH110" s="107"/>
      <c r="AI110" s="107"/>
      <c r="AJ110" s="107"/>
      <c r="AK110" s="107"/>
      <c r="AL110" s="107"/>
      <c r="AM110" s="107"/>
      <c r="AN110" s="107"/>
      <c r="AP110" s="65" t="str">
        <f t="shared" si="208"/>
        <v/>
      </c>
      <c r="AQ110" s="75" t="str">
        <f t="shared" ref="AQ110:BB110" si="323">IF($AP110="","",AQ29*AQ56)</f>
        <v/>
      </c>
      <c r="AR110" s="75" t="str">
        <f t="shared" si="323"/>
        <v/>
      </c>
      <c r="AS110" s="75" t="str">
        <f t="shared" si="323"/>
        <v/>
      </c>
      <c r="AT110" s="75" t="str">
        <f t="shared" si="323"/>
        <v/>
      </c>
      <c r="AU110" s="75" t="str">
        <f t="shared" si="323"/>
        <v/>
      </c>
      <c r="AV110" s="75" t="str">
        <f t="shared" si="323"/>
        <v/>
      </c>
      <c r="AW110" s="75" t="str">
        <f t="shared" si="323"/>
        <v/>
      </c>
      <c r="AX110" s="75" t="str">
        <f t="shared" si="323"/>
        <v/>
      </c>
      <c r="AY110" s="75" t="str">
        <f t="shared" si="323"/>
        <v/>
      </c>
      <c r="AZ110" s="75" t="str">
        <f t="shared" si="323"/>
        <v/>
      </c>
      <c r="BA110" s="75" t="str">
        <f t="shared" si="323"/>
        <v/>
      </c>
      <c r="BB110" s="75" t="str">
        <f t="shared" si="323"/>
        <v/>
      </c>
      <c r="BC110" s="70" t="str">
        <f t="shared" si="231"/>
        <v/>
      </c>
      <c r="BD110" s="107"/>
      <c r="BE110" s="107"/>
      <c r="BF110" s="107"/>
      <c r="BG110" s="107"/>
      <c r="BH110" s="107"/>
      <c r="BI110" s="107"/>
      <c r="BJ110" s="107"/>
      <c r="BK110" s="107"/>
      <c r="BL110" s="107"/>
      <c r="BM110" s="107"/>
      <c r="BN110" s="107"/>
      <c r="BO110" s="107"/>
      <c r="BP110" s="107"/>
      <c r="BQ110" s="107"/>
      <c r="BS110" s="65" t="str">
        <f t="shared" si="211"/>
        <v/>
      </c>
      <c r="BT110" s="75" t="str">
        <f t="shared" ref="BT110:CE110" si="324">IF($AP110="","",BT29*BT56)</f>
        <v/>
      </c>
      <c r="BU110" s="75" t="str">
        <f t="shared" si="324"/>
        <v/>
      </c>
      <c r="BV110" s="75" t="str">
        <f t="shared" si="324"/>
        <v/>
      </c>
      <c r="BW110" s="75" t="str">
        <f t="shared" si="324"/>
        <v/>
      </c>
      <c r="BX110" s="75" t="str">
        <f t="shared" si="324"/>
        <v/>
      </c>
      <c r="BY110" s="75" t="str">
        <f t="shared" si="324"/>
        <v/>
      </c>
      <c r="BZ110" s="75" t="str">
        <f t="shared" si="324"/>
        <v/>
      </c>
      <c r="CA110" s="75" t="str">
        <f t="shared" si="324"/>
        <v/>
      </c>
      <c r="CB110" s="75" t="str">
        <f t="shared" si="324"/>
        <v/>
      </c>
      <c r="CC110" s="75" t="str">
        <f t="shared" si="324"/>
        <v/>
      </c>
      <c r="CD110" s="75" t="str">
        <f t="shared" si="324"/>
        <v/>
      </c>
      <c r="CE110" s="75" t="str">
        <f t="shared" si="324"/>
        <v/>
      </c>
      <c r="CF110" s="70" t="str">
        <f t="shared" si="246"/>
        <v/>
      </c>
      <c r="CG110" s="107"/>
      <c r="CH110" s="107"/>
      <c r="CI110" s="107"/>
      <c r="CJ110" s="107"/>
      <c r="CK110" s="107"/>
      <c r="CL110" s="107"/>
      <c r="CM110" s="107"/>
      <c r="CN110" s="107"/>
      <c r="CO110" s="107"/>
      <c r="CP110" s="107"/>
      <c r="CQ110" s="107"/>
      <c r="CR110" s="107"/>
      <c r="CS110" s="107"/>
      <c r="CT110" s="107"/>
      <c r="CU110" s="40"/>
      <c r="CV110" s="65" t="str">
        <f t="shared" si="214"/>
        <v/>
      </c>
      <c r="CW110" s="66" t="str">
        <f t="shared" si="260"/>
        <v/>
      </c>
      <c r="CX110" s="66" t="str">
        <f t="shared" si="261"/>
        <v/>
      </c>
      <c r="CY110" s="66" t="str">
        <f t="shared" si="262"/>
        <v/>
      </c>
    </row>
    <row r="111" spans="13:103" s="38" customFormat="1" ht="15" hidden="1" customHeight="1" x14ac:dyDescent="0.2">
      <c r="M111" s="82" t="str">
        <f t="shared" si="215"/>
        <v/>
      </c>
      <c r="N111" s="75" t="str">
        <f t="shared" ref="N111:Y111" si="325">IF(OR(N57="",N30="",$M111=""),"",N30*N57)</f>
        <v/>
      </c>
      <c r="O111" s="75" t="str">
        <f t="shared" si="325"/>
        <v/>
      </c>
      <c r="P111" s="75" t="str">
        <f t="shared" si="325"/>
        <v/>
      </c>
      <c r="Q111" s="75" t="str">
        <f t="shared" si="325"/>
        <v/>
      </c>
      <c r="R111" s="75" t="str">
        <f t="shared" si="325"/>
        <v/>
      </c>
      <c r="S111" s="75" t="str">
        <f t="shared" si="325"/>
        <v/>
      </c>
      <c r="T111" s="75" t="str">
        <f t="shared" si="325"/>
        <v/>
      </c>
      <c r="U111" s="75" t="str">
        <f t="shared" si="325"/>
        <v/>
      </c>
      <c r="V111" s="75" t="str">
        <f t="shared" si="325"/>
        <v/>
      </c>
      <c r="W111" s="75" t="str">
        <f t="shared" si="325"/>
        <v/>
      </c>
      <c r="X111" s="75" t="str">
        <f t="shared" si="325"/>
        <v/>
      </c>
      <c r="Y111" s="75" t="str">
        <f t="shared" si="325"/>
        <v/>
      </c>
      <c r="Z111" s="70" t="str">
        <f t="shared" si="216"/>
        <v/>
      </c>
      <c r="AA111" s="107"/>
      <c r="AB111" s="107"/>
      <c r="AC111" s="107"/>
      <c r="AD111" s="107"/>
      <c r="AE111" s="107"/>
      <c r="AF111" s="107"/>
      <c r="AG111" s="107"/>
      <c r="AH111" s="107"/>
      <c r="AI111" s="107"/>
      <c r="AJ111" s="107"/>
      <c r="AK111" s="107"/>
      <c r="AL111" s="107"/>
      <c r="AM111" s="107"/>
      <c r="AN111" s="107"/>
      <c r="AP111" s="65" t="str">
        <f t="shared" si="208"/>
        <v/>
      </c>
      <c r="AQ111" s="75" t="str">
        <f t="shared" ref="AQ111:BB111" si="326">IF($AP111="","",AQ30*AQ57)</f>
        <v/>
      </c>
      <c r="AR111" s="75" t="str">
        <f t="shared" si="326"/>
        <v/>
      </c>
      <c r="AS111" s="75" t="str">
        <f t="shared" si="326"/>
        <v/>
      </c>
      <c r="AT111" s="75" t="str">
        <f t="shared" si="326"/>
        <v/>
      </c>
      <c r="AU111" s="75" t="str">
        <f t="shared" si="326"/>
        <v/>
      </c>
      <c r="AV111" s="75" t="str">
        <f t="shared" si="326"/>
        <v/>
      </c>
      <c r="AW111" s="75" t="str">
        <f t="shared" si="326"/>
        <v/>
      </c>
      <c r="AX111" s="75" t="str">
        <f t="shared" si="326"/>
        <v/>
      </c>
      <c r="AY111" s="75" t="str">
        <f t="shared" si="326"/>
        <v/>
      </c>
      <c r="AZ111" s="75" t="str">
        <f t="shared" si="326"/>
        <v/>
      </c>
      <c r="BA111" s="75" t="str">
        <f t="shared" si="326"/>
        <v/>
      </c>
      <c r="BB111" s="75" t="str">
        <f t="shared" si="326"/>
        <v/>
      </c>
      <c r="BC111" s="70" t="str">
        <f t="shared" si="231"/>
        <v/>
      </c>
      <c r="BD111" s="107"/>
      <c r="BE111" s="107"/>
      <c r="BF111" s="107"/>
      <c r="BG111" s="107"/>
      <c r="BH111" s="107"/>
      <c r="BI111" s="107"/>
      <c r="BJ111" s="107"/>
      <c r="BK111" s="107"/>
      <c r="BL111" s="107"/>
      <c r="BM111" s="107"/>
      <c r="BN111" s="107"/>
      <c r="BO111" s="107"/>
      <c r="BP111" s="107"/>
      <c r="BQ111" s="107"/>
      <c r="BS111" s="65" t="str">
        <f t="shared" si="211"/>
        <v/>
      </c>
      <c r="BT111" s="75" t="str">
        <f t="shared" ref="BT111:CE111" si="327">IF($AP111="","",BT30*BT57)</f>
        <v/>
      </c>
      <c r="BU111" s="75" t="str">
        <f t="shared" si="327"/>
        <v/>
      </c>
      <c r="BV111" s="75" t="str">
        <f t="shared" si="327"/>
        <v/>
      </c>
      <c r="BW111" s="75" t="str">
        <f t="shared" si="327"/>
        <v/>
      </c>
      <c r="BX111" s="75" t="str">
        <f t="shared" si="327"/>
        <v/>
      </c>
      <c r="BY111" s="75" t="str">
        <f t="shared" si="327"/>
        <v/>
      </c>
      <c r="BZ111" s="75" t="str">
        <f t="shared" si="327"/>
        <v/>
      </c>
      <c r="CA111" s="75" t="str">
        <f t="shared" si="327"/>
        <v/>
      </c>
      <c r="CB111" s="75" t="str">
        <f t="shared" si="327"/>
        <v/>
      </c>
      <c r="CC111" s="75" t="str">
        <f t="shared" si="327"/>
        <v/>
      </c>
      <c r="CD111" s="75" t="str">
        <f t="shared" si="327"/>
        <v/>
      </c>
      <c r="CE111" s="75" t="str">
        <f t="shared" si="327"/>
        <v/>
      </c>
      <c r="CF111" s="70" t="str">
        <f t="shared" si="246"/>
        <v/>
      </c>
      <c r="CG111" s="107"/>
      <c r="CH111" s="107"/>
      <c r="CI111" s="107"/>
      <c r="CJ111" s="107"/>
      <c r="CK111" s="107"/>
      <c r="CL111" s="107"/>
      <c r="CM111" s="107"/>
      <c r="CN111" s="107"/>
      <c r="CO111" s="107"/>
      <c r="CP111" s="107"/>
      <c r="CQ111" s="107"/>
      <c r="CR111" s="107"/>
      <c r="CS111" s="107"/>
      <c r="CT111" s="107"/>
      <c r="CU111" s="40"/>
      <c r="CV111" s="65" t="str">
        <f t="shared" si="214"/>
        <v/>
      </c>
      <c r="CW111" s="66" t="str">
        <f t="shared" si="260"/>
        <v/>
      </c>
      <c r="CX111" s="66" t="str">
        <f t="shared" si="261"/>
        <v/>
      </c>
      <c r="CY111" s="66" t="str">
        <f t="shared" si="262"/>
        <v/>
      </c>
    </row>
    <row r="112" spans="13:103" s="38" customFormat="1" ht="15" hidden="1" customHeight="1" x14ac:dyDescent="0.2">
      <c r="M112" s="65"/>
      <c r="N112" s="75" t="str">
        <f t="shared" ref="N112:Y112" si="328">IF(OR(N58="",N31="",$M112=""),"",N31*N58)</f>
        <v/>
      </c>
      <c r="O112" s="75" t="str">
        <f t="shared" si="328"/>
        <v/>
      </c>
      <c r="P112" s="75" t="str">
        <f t="shared" si="328"/>
        <v/>
      </c>
      <c r="Q112" s="75" t="str">
        <f t="shared" si="328"/>
        <v/>
      </c>
      <c r="R112" s="75" t="str">
        <f t="shared" si="328"/>
        <v/>
      </c>
      <c r="S112" s="75" t="str">
        <f t="shared" si="328"/>
        <v/>
      </c>
      <c r="T112" s="75" t="str">
        <f t="shared" si="328"/>
        <v/>
      </c>
      <c r="U112" s="75" t="str">
        <f t="shared" si="328"/>
        <v/>
      </c>
      <c r="V112" s="75" t="str">
        <f t="shared" si="328"/>
        <v/>
      </c>
      <c r="W112" s="75" t="str">
        <f t="shared" si="328"/>
        <v/>
      </c>
      <c r="X112" s="75" t="str">
        <f t="shared" si="328"/>
        <v/>
      </c>
      <c r="Y112" s="75" t="str">
        <f t="shared" si="328"/>
        <v/>
      </c>
      <c r="Z112" s="70" t="str">
        <f t="shared" si="216"/>
        <v/>
      </c>
      <c r="AA112" s="107"/>
      <c r="AB112" s="107"/>
      <c r="AC112" s="107"/>
      <c r="AD112" s="107"/>
      <c r="AE112" s="107"/>
      <c r="AF112" s="107"/>
      <c r="AG112" s="107"/>
      <c r="AH112" s="107"/>
      <c r="AI112" s="107"/>
      <c r="AJ112" s="107"/>
      <c r="AK112" s="107"/>
      <c r="AL112" s="107"/>
      <c r="AM112" s="107"/>
      <c r="AN112" s="107"/>
      <c r="AP112" s="65" t="str">
        <f t="shared" si="208"/>
        <v/>
      </c>
      <c r="AQ112" s="75" t="str">
        <f t="shared" ref="AQ112:BB112" si="329">IF($AP112="","",AQ31*AQ58)</f>
        <v/>
      </c>
      <c r="AR112" s="75" t="str">
        <f t="shared" si="329"/>
        <v/>
      </c>
      <c r="AS112" s="75" t="str">
        <f t="shared" si="329"/>
        <v/>
      </c>
      <c r="AT112" s="75" t="str">
        <f t="shared" si="329"/>
        <v/>
      </c>
      <c r="AU112" s="75" t="str">
        <f t="shared" si="329"/>
        <v/>
      </c>
      <c r="AV112" s="75" t="str">
        <f t="shared" si="329"/>
        <v/>
      </c>
      <c r="AW112" s="75" t="str">
        <f t="shared" si="329"/>
        <v/>
      </c>
      <c r="AX112" s="75" t="str">
        <f t="shared" si="329"/>
        <v/>
      </c>
      <c r="AY112" s="75" t="str">
        <f t="shared" si="329"/>
        <v/>
      </c>
      <c r="AZ112" s="75" t="str">
        <f t="shared" si="329"/>
        <v/>
      </c>
      <c r="BA112" s="75" t="str">
        <f t="shared" si="329"/>
        <v/>
      </c>
      <c r="BB112" s="75" t="str">
        <f t="shared" si="329"/>
        <v/>
      </c>
      <c r="BC112" s="70" t="str">
        <f t="shared" si="231"/>
        <v/>
      </c>
      <c r="BD112" s="107"/>
      <c r="BE112" s="107"/>
      <c r="BF112" s="107"/>
      <c r="BG112" s="107"/>
      <c r="BH112" s="107"/>
      <c r="BI112" s="107"/>
      <c r="BJ112" s="107"/>
      <c r="BK112" s="107"/>
      <c r="BL112" s="107"/>
      <c r="BM112" s="107"/>
      <c r="BN112" s="107"/>
      <c r="BO112" s="107"/>
      <c r="BP112" s="107"/>
      <c r="BQ112" s="107"/>
      <c r="BS112" s="65" t="str">
        <f t="shared" si="211"/>
        <v/>
      </c>
      <c r="BT112" s="75" t="str">
        <f t="shared" ref="BT112:CE112" si="330">IF($AP112="","",BT31*BT58)</f>
        <v/>
      </c>
      <c r="BU112" s="75" t="str">
        <f t="shared" si="330"/>
        <v/>
      </c>
      <c r="BV112" s="75" t="str">
        <f t="shared" si="330"/>
        <v/>
      </c>
      <c r="BW112" s="75" t="str">
        <f t="shared" si="330"/>
        <v/>
      </c>
      <c r="BX112" s="75" t="str">
        <f t="shared" si="330"/>
        <v/>
      </c>
      <c r="BY112" s="75" t="str">
        <f t="shared" si="330"/>
        <v/>
      </c>
      <c r="BZ112" s="75" t="str">
        <f t="shared" si="330"/>
        <v/>
      </c>
      <c r="CA112" s="75" t="str">
        <f t="shared" si="330"/>
        <v/>
      </c>
      <c r="CB112" s="75" t="str">
        <f t="shared" si="330"/>
        <v/>
      </c>
      <c r="CC112" s="75" t="str">
        <f t="shared" si="330"/>
        <v/>
      </c>
      <c r="CD112" s="75" t="str">
        <f t="shared" si="330"/>
        <v/>
      </c>
      <c r="CE112" s="75" t="str">
        <f t="shared" si="330"/>
        <v/>
      </c>
      <c r="CF112" s="70" t="str">
        <f t="shared" si="246"/>
        <v/>
      </c>
      <c r="CG112" s="107"/>
      <c r="CH112" s="107"/>
      <c r="CI112" s="107"/>
      <c r="CJ112" s="107"/>
      <c r="CK112" s="107"/>
      <c r="CL112" s="107"/>
      <c r="CM112" s="107"/>
      <c r="CN112" s="107"/>
      <c r="CO112" s="107"/>
      <c r="CP112" s="107"/>
      <c r="CQ112" s="107"/>
      <c r="CR112" s="107"/>
      <c r="CS112" s="107"/>
      <c r="CT112" s="107"/>
      <c r="CU112" s="40"/>
      <c r="CV112" s="65" t="str">
        <f t="shared" si="214"/>
        <v/>
      </c>
      <c r="CW112" s="66" t="str">
        <f t="shared" si="260"/>
        <v/>
      </c>
      <c r="CX112" s="66" t="str">
        <f t="shared" si="261"/>
        <v/>
      </c>
      <c r="CY112" s="66" t="str">
        <f t="shared" si="262"/>
        <v/>
      </c>
    </row>
    <row r="113" spans="13:103" s="38" customFormat="1" ht="15" customHeight="1" x14ac:dyDescent="0.2">
      <c r="M113" s="62" t="s">
        <v>30</v>
      </c>
      <c r="N113" s="63">
        <f t="shared" ref="N113:Y113" si="331">SUM(N88:N90)</f>
        <v>39978.5</v>
      </c>
      <c r="O113" s="63">
        <f t="shared" si="331"/>
        <v>35482.75</v>
      </c>
      <c r="P113" s="63">
        <f t="shared" si="331"/>
        <v>38482</v>
      </c>
      <c r="Q113" s="63">
        <f t="shared" si="331"/>
        <v>45228.75</v>
      </c>
      <c r="R113" s="63">
        <f t="shared" si="331"/>
        <v>47228.5</v>
      </c>
      <c r="S113" s="63">
        <f t="shared" si="331"/>
        <v>52975.75</v>
      </c>
      <c r="T113" s="63">
        <f t="shared" si="331"/>
        <v>52975.75</v>
      </c>
      <c r="U113" s="63">
        <f t="shared" si="331"/>
        <v>54723.5</v>
      </c>
      <c r="V113" s="63">
        <f t="shared" si="331"/>
        <v>58970.75</v>
      </c>
      <c r="W113" s="63">
        <f t="shared" si="331"/>
        <v>64466</v>
      </c>
      <c r="X113" s="63">
        <f t="shared" si="331"/>
        <v>72960.5</v>
      </c>
      <c r="Y113" s="63">
        <f t="shared" si="331"/>
        <v>72960.5</v>
      </c>
      <c r="Z113" s="63">
        <f>SUM(Z87:Z90)</f>
        <v>636433.25</v>
      </c>
      <c r="AA113" s="108"/>
      <c r="AB113" s="108"/>
      <c r="AC113" s="108"/>
      <c r="AD113" s="108"/>
      <c r="AE113" s="108"/>
      <c r="AF113" s="108"/>
      <c r="AG113" s="108"/>
      <c r="AH113" s="108"/>
      <c r="AI113" s="108"/>
      <c r="AJ113" s="108"/>
      <c r="AK113" s="108"/>
      <c r="AL113" s="108"/>
      <c r="AM113" s="108"/>
      <c r="AN113" s="108"/>
      <c r="AP113" s="63" t="s">
        <v>30</v>
      </c>
      <c r="AQ113" s="63">
        <f>SUM(AQ88:AQ112)</f>
        <v>32849.076923076922</v>
      </c>
      <c r="AR113" s="63">
        <f t="shared" ref="AR113:BB113" si="332">SUM(AR88:AR112)</f>
        <v>30482.46</v>
      </c>
      <c r="AS113" s="63">
        <f t="shared" si="332"/>
        <v>42023.395833333336</v>
      </c>
      <c r="AT113" s="63">
        <f t="shared" si="332"/>
        <v>52101.416666666672</v>
      </c>
      <c r="AU113" s="63">
        <f t="shared" si="332"/>
        <v>52227.75</v>
      </c>
      <c r="AV113" s="63">
        <f t="shared" si="332"/>
        <v>61393.68633540372</v>
      </c>
      <c r="AW113" s="63">
        <f t="shared" si="332"/>
        <v>57419.75</v>
      </c>
      <c r="AX113" s="63">
        <f t="shared" si="332"/>
        <v>56361.366666666669</v>
      </c>
      <c r="AY113" s="63">
        <f t="shared" si="332"/>
        <v>64511.631111111106</v>
      </c>
      <c r="AZ113" s="63">
        <f t="shared" si="332"/>
        <v>71860.182692307688</v>
      </c>
      <c r="BA113" s="63">
        <f t="shared" si="332"/>
        <v>82436.740740740745</v>
      </c>
      <c r="BB113" s="63">
        <f t="shared" si="332"/>
        <v>73746.196428571435</v>
      </c>
      <c r="BC113" s="63">
        <f>SUM(BC88:BC112)</f>
        <v>677413.6533978784</v>
      </c>
      <c r="BD113" s="108"/>
      <c r="BE113" s="108"/>
      <c r="BF113" s="108"/>
      <c r="BG113" s="108"/>
      <c r="BH113" s="108"/>
      <c r="BI113" s="108"/>
      <c r="BJ113" s="108"/>
      <c r="BK113" s="108"/>
      <c r="BL113" s="108"/>
      <c r="BM113" s="108"/>
      <c r="BN113" s="108"/>
      <c r="BO113" s="108"/>
      <c r="BP113" s="108"/>
      <c r="BQ113" s="108"/>
      <c r="BS113" s="63" t="s">
        <v>30</v>
      </c>
      <c r="BT113" s="63">
        <f>SUM(BT88:BT112)</f>
        <v>31789.047555892383</v>
      </c>
      <c r="BU113" s="63">
        <f t="shared" ref="BU113:CE113" si="333">SUM(BU88:BU112)</f>
        <v>27665.7318974359</v>
      </c>
      <c r="BV113" s="63">
        <f t="shared" si="333"/>
        <v>45341.796130952382</v>
      </c>
      <c r="BW113" s="63">
        <f t="shared" si="333"/>
        <v>59208.53125</v>
      </c>
      <c r="BX113" s="63">
        <f t="shared" si="333"/>
        <v>57336.058760683765</v>
      </c>
      <c r="BY113" s="63">
        <f t="shared" si="333"/>
        <v>69604.068633540373</v>
      </c>
      <c r="BZ113" s="63">
        <f t="shared" si="333"/>
        <v>62065.810606060608</v>
      </c>
      <c r="CA113" s="63">
        <f t="shared" si="333"/>
        <v>58322.01116071429</v>
      </c>
      <c r="CB113" s="63">
        <f t="shared" si="333"/>
        <v>69702.121525600829</v>
      </c>
      <c r="CC113" s="63">
        <f t="shared" si="333"/>
        <v>79923.29903846154</v>
      </c>
      <c r="CD113" s="63">
        <f t="shared" si="333"/>
        <v>92273.912037037036</v>
      </c>
      <c r="CE113" s="63">
        <f t="shared" si="333"/>
        <v>75002.257703081224</v>
      </c>
      <c r="CF113" s="63">
        <f>SUM(CF88:CF112)</f>
        <v>728234.64629946044</v>
      </c>
      <c r="CG113" s="108"/>
      <c r="CH113" s="108"/>
      <c r="CI113" s="108"/>
      <c r="CJ113" s="108"/>
      <c r="CK113" s="108"/>
      <c r="CL113" s="108"/>
      <c r="CM113" s="108"/>
      <c r="CN113" s="108"/>
      <c r="CO113" s="108"/>
      <c r="CP113" s="108"/>
      <c r="CQ113" s="108"/>
      <c r="CR113" s="108"/>
      <c r="CS113" s="108"/>
      <c r="CT113" s="108"/>
      <c r="CV113" s="63" t="s">
        <v>21</v>
      </c>
      <c r="CW113" s="63">
        <f>BC113-Z113</f>
        <v>40980.403397878399</v>
      </c>
      <c r="CX113" s="63">
        <f t="shared" ref="CX113" si="334">CF113-BC113</f>
        <v>50820.992901582038</v>
      </c>
      <c r="CY113" s="63">
        <f>CF113-BC113</f>
        <v>50820.992901582038</v>
      </c>
    </row>
    <row r="114" spans="13:103" s="38" customFormat="1" ht="9.6" customHeight="1" x14ac:dyDescent="0.2">
      <c r="Z114" s="40"/>
      <c r="AA114" s="103"/>
      <c r="AB114" s="103"/>
      <c r="AC114" s="103"/>
      <c r="AD114" s="103"/>
      <c r="AE114" s="103"/>
      <c r="AF114" s="103"/>
      <c r="AG114" s="103"/>
      <c r="AH114" s="103"/>
      <c r="AI114" s="103"/>
      <c r="AJ114" s="103"/>
      <c r="AK114" s="103"/>
      <c r="AL114" s="103"/>
      <c r="AM114" s="103"/>
      <c r="AN114" s="103"/>
      <c r="BC114" s="40"/>
      <c r="BD114" s="103"/>
      <c r="BE114" s="103"/>
      <c r="BF114" s="103"/>
      <c r="BG114" s="103"/>
      <c r="BH114" s="103"/>
      <c r="BI114" s="103"/>
      <c r="BJ114" s="103"/>
      <c r="BK114" s="103"/>
      <c r="BL114" s="103"/>
      <c r="BM114" s="103"/>
      <c r="BN114" s="103"/>
      <c r="BO114" s="103"/>
      <c r="BP114" s="103"/>
      <c r="BQ114" s="103"/>
      <c r="CF114" s="40"/>
      <c r="CG114" s="103"/>
      <c r="CH114" s="103"/>
      <c r="CI114" s="103"/>
      <c r="CJ114" s="103"/>
      <c r="CK114" s="103"/>
      <c r="CL114" s="103"/>
      <c r="CM114" s="103"/>
      <c r="CN114" s="103"/>
      <c r="CO114" s="103"/>
      <c r="CP114" s="103"/>
      <c r="CQ114" s="103"/>
      <c r="CR114" s="103"/>
      <c r="CS114" s="103"/>
      <c r="CT114" s="103"/>
      <c r="CW114" s="40"/>
      <c r="CX114" s="40"/>
      <c r="CY114" s="40"/>
    </row>
    <row r="115" spans="13:103" s="31" customFormat="1" ht="15" customHeight="1" x14ac:dyDescent="0.2">
      <c r="M115" s="41" t="s">
        <v>28</v>
      </c>
      <c r="N115" s="38"/>
      <c r="O115" s="38"/>
      <c r="P115" s="38"/>
      <c r="Q115" s="38"/>
      <c r="R115" s="38"/>
      <c r="S115" s="38"/>
      <c r="T115" s="38"/>
      <c r="U115" s="38"/>
      <c r="V115" s="38"/>
      <c r="W115" s="38"/>
      <c r="X115" s="38"/>
      <c r="Y115" s="38"/>
      <c r="Z115" s="42" t="s">
        <v>29</v>
      </c>
      <c r="AA115" s="104"/>
      <c r="AB115" s="104"/>
      <c r="AC115" s="104"/>
      <c r="AD115" s="104"/>
      <c r="AE115" s="104"/>
      <c r="AF115" s="104"/>
      <c r="AG115" s="104"/>
      <c r="AH115" s="104"/>
      <c r="AI115" s="104"/>
      <c r="AJ115" s="104"/>
      <c r="AK115" s="104"/>
      <c r="AL115" s="104"/>
      <c r="AM115" s="104"/>
      <c r="AN115" s="104"/>
      <c r="AP115" s="41" t="s">
        <v>28</v>
      </c>
      <c r="AQ115" s="38"/>
      <c r="AR115" s="38"/>
      <c r="AS115" s="38"/>
      <c r="AT115" s="38"/>
      <c r="AU115" s="38"/>
      <c r="AV115" s="38"/>
      <c r="AW115" s="38"/>
      <c r="AX115" s="38"/>
      <c r="AY115" s="38"/>
      <c r="AZ115" s="38"/>
      <c r="BA115" s="38"/>
      <c r="BB115" s="38"/>
      <c r="BC115" s="42" t="s">
        <v>29</v>
      </c>
      <c r="BD115" s="104"/>
      <c r="BE115" s="104"/>
      <c r="BF115" s="104"/>
      <c r="BG115" s="104"/>
      <c r="BH115" s="104"/>
      <c r="BI115" s="104"/>
      <c r="BJ115" s="104"/>
      <c r="BK115" s="104"/>
      <c r="BL115" s="104"/>
      <c r="BM115" s="104"/>
      <c r="BN115" s="104"/>
      <c r="BO115" s="104"/>
      <c r="BP115" s="104"/>
      <c r="BQ115" s="104"/>
      <c r="BS115" s="41" t="s">
        <v>28</v>
      </c>
      <c r="BT115" s="38"/>
      <c r="BU115" s="38"/>
      <c r="BV115" s="38"/>
      <c r="BW115" s="38"/>
      <c r="BX115" s="38"/>
      <c r="BY115" s="38"/>
      <c r="BZ115" s="38"/>
      <c r="CA115" s="38"/>
      <c r="CB115" s="38"/>
      <c r="CC115" s="38"/>
      <c r="CD115" s="38"/>
      <c r="CE115" s="38"/>
      <c r="CF115" s="42" t="s">
        <v>29</v>
      </c>
      <c r="CG115" s="104"/>
      <c r="CH115" s="104"/>
      <c r="CI115" s="104"/>
      <c r="CJ115" s="104"/>
      <c r="CK115" s="104"/>
      <c r="CL115" s="104"/>
      <c r="CM115" s="104"/>
      <c r="CN115" s="104"/>
      <c r="CO115" s="104"/>
      <c r="CP115" s="104"/>
      <c r="CQ115" s="104"/>
      <c r="CR115" s="104"/>
      <c r="CS115" s="104"/>
      <c r="CT115" s="104"/>
      <c r="CV115" s="41" t="s">
        <v>28</v>
      </c>
      <c r="CW115" s="40" t="s">
        <v>22</v>
      </c>
      <c r="CX115" s="40" t="s">
        <v>22</v>
      </c>
      <c r="CY115" s="40" t="s">
        <v>22</v>
      </c>
    </row>
    <row r="116" spans="13:103" s="31" customFormat="1" ht="15" customHeight="1" x14ac:dyDescent="0.2">
      <c r="M116" s="82" t="str">
        <f>IF(M7=0,"",M7)</f>
        <v>Product 1</v>
      </c>
      <c r="N116" s="131">
        <v>4.5</v>
      </c>
      <c r="O116" s="131">
        <v>4.5</v>
      </c>
      <c r="P116" s="131">
        <v>4.5</v>
      </c>
      <c r="Q116" s="131">
        <v>4.5</v>
      </c>
      <c r="R116" s="131">
        <v>4.5</v>
      </c>
      <c r="S116" s="131">
        <v>4.5</v>
      </c>
      <c r="T116" s="131">
        <v>4.5</v>
      </c>
      <c r="U116" s="131">
        <v>4.5</v>
      </c>
      <c r="V116" s="131">
        <v>4.5</v>
      </c>
      <c r="W116" s="131">
        <v>4</v>
      </c>
      <c r="X116" s="131">
        <v>4</v>
      </c>
      <c r="Y116" s="131">
        <v>4</v>
      </c>
      <c r="Z116" s="57">
        <f t="shared" ref="Z116:Z140" si="335">IFERROR(IF($M116="","",AVERAGE(N116:Y116)),"")</f>
        <v>4.375</v>
      </c>
      <c r="AA116" s="105"/>
      <c r="AB116" s="105"/>
      <c r="AC116" s="105"/>
      <c r="AD116" s="105"/>
      <c r="AE116" s="105"/>
      <c r="AF116" s="105"/>
      <c r="AG116" s="105"/>
      <c r="AH116" s="105"/>
      <c r="AI116" s="105"/>
      <c r="AJ116" s="105"/>
      <c r="AK116" s="105"/>
      <c r="AL116" s="105"/>
      <c r="AM116" s="105"/>
      <c r="AN116" s="105"/>
      <c r="AP116" s="65" t="str">
        <f t="shared" ref="AP116:AP140" si="336">IF(M7=0,"",M7)</f>
        <v>Product 1</v>
      </c>
      <c r="AQ116" s="131">
        <v>4</v>
      </c>
      <c r="AR116" s="131">
        <v>4</v>
      </c>
      <c r="AS116" s="131">
        <v>4.5</v>
      </c>
      <c r="AT116" s="131">
        <v>4.5</v>
      </c>
      <c r="AU116" s="131">
        <v>4.5</v>
      </c>
      <c r="AV116" s="131">
        <v>4</v>
      </c>
      <c r="AW116" s="131">
        <v>4</v>
      </c>
      <c r="AX116" s="131">
        <v>4</v>
      </c>
      <c r="AY116" s="131">
        <v>4</v>
      </c>
      <c r="AZ116" s="131">
        <v>4</v>
      </c>
      <c r="BA116" s="131">
        <v>3.75</v>
      </c>
      <c r="BB116" s="131">
        <v>3.75</v>
      </c>
      <c r="BC116" s="57">
        <f>IFERROR(IF($M116="","",AVERAGE(AQ116:BB116)),"")</f>
        <v>4.083333333333333</v>
      </c>
      <c r="BD116" s="105"/>
      <c r="BE116" s="105"/>
      <c r="BF116" s="105"/>
      <c r="BG116" s="105"/>
      <c r="BH116" s="105"/>
      <c r="BI116" s="105"/>
      <c r="BJ116" s="105"/>
      <c r="BK116" s="105"/>
      <c r="BL116" s="105"/>
      <c r="BM116" s="105"/>
      <c r="BN116" s="105"/>
      <c r="BO116" s="105"/>
      <c r="BP116" s="105"/>
      <c r="BQ116" s="105"/>
      <c r="BS116" s="65" t="str">
        <f t="shared" ref="BS116:BS140" si="337">IF(M7=0,"",M7)</f>
        <v>Product 1</v>
      </c>
      <c r="BT116" s="131">
        <v>3.75</v>
      </c>
      <c r="BU116" s="131">
        <v>3.75</v>
      </c>
      <c r="BV116" s="131">
        <v>4</v>
      </c>
      <c r="BW116" s="131">
        <v>4</v>
      </c>
      <c r="BX116" s="131">
        <v>4</v>
      </c>
      <c r="BY116" s="131">
        <v>3.75</v>
      </c>
      <c r="BZ116" s="131">
        <v>3.75</v>
      </c>
      <c r="CA116" s="131">
        <v>3.75</v>
      </c>
      <c r="CB116" s="131">
        <v>3.75</v>
      </c>
      <c r="CC116" s="131">
        <v>3.5</v>
      </c>
      <c r="CD116" s="131">
        <v>3.5</v>
      </c>
      <c r="CE116" s="131">
        <v>3.5</v>
      </c>
      <c r="CF116" s="57">
        <f t="shared" ref="CF116:CF140" si="338">IFERROR(IF($M116="","",AVERAGE(BT116:CE116)),"")</f>
        <v>3.75</v>
      </c>
      <c r="CG116" s="105"/>
      <c r="CH116" s="105"/>
      <c r="CI116" s="105"/>
      <c r="CJ116" s="105"/>
      <c r="CK116" s="105"/>
      <c r="CL116" s="105"/>
      <c r="CM116" s="105"/>
      <c r="CN116" s="105"/>
      <c r="CO116" s="105"/>
      <c r="CP116" s="105"/>
      <c r="CQ116" s="105"/>
      <c r="CR116" s="105"/>
      <c r="CS116" s="105"/>
      <c r="CT116" s="105"/>
      <c r="CV116" s="65" t="str">
        <f t="shared" ref="CV116:CV140" si="339">IF(M7=0,"",M7)</f>
        <v>Product 1</v>
      </c>
      <c r="CW116" s="67">
        <f t="shared" ref="CW116:CW131" si="340">IFERROR(IF(CV116="","",BC116-Z116),"")</f>
        <v>-0.29166666666666696</v>
      </c>
      <c r="CX116" s="67">
        <f>IFERROR(IF(CV116="","",CF116-Z116),"")</f>
        <v>-0.625</v>
      </c>
      <c r="CY116" s="67">
        <f>IFERROR(IF(CV116="","",CF116-BC116),"")</f>
        <v>-0.33333333333333304</v>
      </c>
    </row>
    <row r="117" spans="13:103" s="31" customFormat="1" ht="15" customHeight="1" x14ac:dyDescent="0.2">
      <c r="M117" s="82" t="str">
        <f t="shared" ref="M117:M140" si="341">IF(M8=0,"",M8)</f>
        <v>Product 2</v>
      </c>
      <c r="N117" s="131">
        <v>3.1</v>
      </c>
      <c r="O117" s="131">
        <v>3.1</v>
      </c>
      <c r="P117" s="131">
        <v>3.1</v>
      </c>
      <c r="Q117" s="131">
        <v>3.1</v>
      </c>
      <c r="R117" s="131">
        <v>3.1</v>
      </c>
      <c r="S117" s="131">
        <v>3.1</v>
      </c>
      <c r="T117" s="131">
        <v>3.1</v>
      </c>
      <c r="U117" s="131">
        <v>3.1</v>
      </c>
      <c r="V117" s="131">
        <v>3.1</v>
      </c>
      <c r="W117" s="131">
        <v>3.1</v>
      </c>
      <c r="X117" s="131">
        <v>3.1</v>
      </c>
      <c r="Y117" s="131">
        <v>3.1</v>
      </c>
      <c r="Z117" s="57">
        <f t="shared" si="335"/>
        <v>3.100000000000001</v>
      </c>
      <c r="AA117" s="105"/>
      <c r="AB117" s="105"/>
      <c r="AC117" s="105"/>
      <c r="AD117" s="105"/>
      <c r="AE117" s="105"/>
      <c r="AF117" s="105"/>
      <c r="AG117" s="105"/>
      <c r="AH117" s="105"/>
      <c r="AI117" s="105"/>
      <c r="AJ117" s="105"/>
      <c r="AK117" s="105"/>
      <c r="AL117" s="105"/>
      <c r="AM117" s="105"/>
      <c r="AN117" s="105"/>
      <c r="AP117" s="65" t="str">
        <f t="shared" si="336"/>
        <v>Product 2</v>
      </c>
      <c r="AQ117" s="131">
        <v>3.1</v>
      </c>
      <c r="AR117" s="131">
        <v>3.1</v>
      </c>
      <c r="AS117" s="131">
        <v>3.1</v>
      </c>
      <c r="AT117" s="131">
        <v>3.1</v>
      </c>
      <c r="AU117" s="131">
        <v>3.1</v>
      </c>
      <c r="AV117" s="131">
        <v>3.1</v>
      </c>
      <c r="AW117" s="131">
        <v>3.1</v>
      </c>
      <c r="AX117" s="131">
        <v>3.1</v>
      </c>
      <c r="AY117" s="131">
        <v>3.1</v>
      </c>
      <c r="AZ117" s="131">
        <v>2.9</v>
      </c>
      <c r="BA117" s="131">
        <v>2.9</v>
      </c>
      <c r="BB117" s="131">
        <v>2.9</v>
      </c>
      <c r="BC117" s="57">
        <f t="shared" ref="BC117:BC140" si="342">IFERROR(IF($M117="","",AVERAGE(AQ117:BB117)),"")</f>
        <v>3.0500000000000003</v>
      </c>
      <c r="BD117" s="105"/>
      <c r="BE117" s="105"/>
      <c r="BF117" s="105"/>
      <c r="BG117" s="105"/>
      <c r="BH117" s="105"/>
      <c r="BI117" s="105"/>
      <c r="BJ117" s="105"/>
      <c r="BK117" s="105"/>
      <c r="BL117" s="105"/>
      <c r="BM117" s="105"/>
      <c r="BN117" s="105"/>
      <c r="BO117" s="105"/>
      <c r="BP117" s="105"/>
      <c r="BQ117" s="105"/>
      <c r="BS117" s="65" t="str">
        <f t="shared" si="337"/>
        <v>Product 2</v>
      </c>
      <c r="BT117" s="131">
        <v>2.9</v>
      </c>
      <c r="BU117" s="131">
        <v>3.1</v>
      </c>
      <c r="BV117" s="131">
        <v>3.1</v>
      </c>
      <c r="BW117" s="131">
        <v>3.1</v>
      </c>
      <c r="BX117" s="131">
        <v>3.1</v>
      </c>
      <c r="BY117" s="131">
        <v>3.1</v>
      </c>
      <c r="BZ117" s="131">
        <v>3.1</v>
      </c>
      <c r="CA117" s="131">
        <v>3.1</v>
      </c>
      <c r="CB117" s="131">
        <v>2.9</v>
      </c>
      <c r="CC117" s="131">
        <v>2.9</v>
      </c>
      <c r="CD117" s="131">
        <v>2.85</v>
      </c>
      <c r="CE117" s="131">
        <v>2.85</v>
      </c>
      <c r="CF117" s="57">
        <f t="shared" si="338"/>
        <v>3.0083333333333333</v>
      </c>
      <c r="CG117" s="105"/>
      <c r="CH117" s="105"/>
      <c r="CI117" s="105"/>
      <c r="CJ117" s="105"/>
      <c r="CK117" s="105"/>
      <c r="CL117" s="105"/>
      <c r="CM117" s="105"/>
      <c r="CN117" s="105"/>
      <c r="CO117" s="105"/>
      <c r="CP117" s="105"/>
      <c r="CQ117" s="105"/>
      <c r="CR117" s="105"/>
      <c r="CS117" s="105"/>
      <c r="CT117" s="105"/>
      <c r="CV117" s="65" t="str">
        <f t="shared" si="339"/>
        <v>Product 2</v>
      </c>
      <c r="CW117" s="67">
        <f t="shared" si="340"/>
        <v>-5.0000000000000711E-2</v>
      </c>
      <c r="CX117" s="67">
        <f t="shared" ref="CX117:CX140" si="343">IFERROR(IF(CV117="","",CF117-Z117),"")</f>
        <v>-9.1666666666667673E-2</v>
      </c>
      <c r="CY117" s="67">
        <f t="shared" ref="CY117:CY140" si="344">IFERROR(IF(CV117="","",CF117-BC117),"")</f>
        <v>-4.1666666666666963E-2</v>
      </c>
    </row>
    <row r="118" spans="13:103" s="31" customFormat="1" ht="15" customHeight="1" x14ac:dyDescent="0.2">
      <c r="M118" s="82" t="str">
        <f t="shared" si="341"/>
        <v>Product 3</v>
      </c>
      <c r="N118" s="131">
        <v>1.55</v>
      </c>
      <c r="O118" s="131">
        <v>1.55</v>
      </c>
      <c r="P118" s="131">
        <v>1.55</v>
      </c>
      <c r="Q118" s="131">
        <v>1.55</v>
      </c>
      <c r="R118" s="131">
        <v>1.55</v>
      </c>
      <c r="S118" s="131">
        <v>1.55</v>
      </c>
      <c r="T118" s="131">
        <v>1.55</v>
      </c>
      <c r="U118" s="131">
        <v>1.55</v>
      </c>
      <c r="V118" s="131">
        <v>1.55</v>
      </c>
      <c r="W118" s="131">
        <v>1.55</v>
      </c>
      <c r="X118" s="131">
        <v>1.55</v>
      </c>
      <c r="Y118" s="131">
        <v>1.55</v>
      </c>
      <c r="Z118" s="57">
        <f t="shared" si="335"/>
        <v>1.5500000000000005</v>
      </c>
      <c r="AA118" s="105"/>
      <c r="AB118" s="105"/>
      <c r="AC118" s="105"/>
      <c r="AD118" s="105"/>
      <c r="AE118" s="105"/>
      <c r="AF118" s="105"/>
      <c r="AG118" s="105"/>
      <c r="AH118" s="105"/>
      <c r="AI118" s="105"/>
      <c r="AJ118" s="105"/>
      <c r="AK118" s="105"/>
      <c r="AL118" s="105"/>
      <c r="AM118" s="105"/>
      <c r="AN118" s="105"/>
      <c r="AP118" s="65" t="str">
        <f t="shared" si="336"/>
        <v>Product 3</v>
      </c>
      <c r="AQ118" s="131">
        <v>1.55</v>
      </c>
      <c r="AR118" s="131">
        <v>1.55</v>
      </c>
      <c r="AS118" s="131">
        <v>1.55</v>
      </c>
      <c r="AT118" s="131">
        <v>1.55</v>
      </c>
      <c r="AU118" s="131">
        <v>1.55</v>
      </c>
      <c r="AV118" s="131">
        <v>1.55</v>
      </c>
      <c r="AW118" s="131">
        <v>1.1000000000000001</v>
      </c>
      <c r="AX118" s="131">
        <v>1.55</v>
      </c>
      <c r="AY118" s="131">
        <v>1.55</v>
      </c>
      <c r="AZ118" s="131">
        <v>1.55</v>
      </c>
      <c r="BA118" s="131">
        <v>1.55</v>
      </c>
      <c r="BB118" s="131">
        <v>1.55</v>
      </c>
      <c r="BC118" s="57">
        <f t="shared" si="342"/>
        <v>1.5125000000000002</v>
      </c>
      <c r="BD118" s="105"/>
      <c r="BE118" s="105"/>
      <c r="BF118" s="105"/>
      <c r="BG118" s="105"/>
      <c r="BH118" s="105"/>
      <c r="BI118" s="105"/>
      <c r="BJ118" s="105"/>
      <c r="BK118" s="105"/>
      <c r="BL118" s="105"/>
      <c r="BM118" s="105"/>
      <c r="BN118" s="105"/>
      <c r="BO118" s="105"/>
      <c r="BP118" s="105"/>
      <c r="BQ118" s="105"/>
      <c r="BS118" s="65" t="str">
        <f t="shared" si="337"/>
        <v>Product 3</v>
      </c>
      <c r="BT118" s="131">
        <v>1.55</v>
      </c>
      <c r="BU118" s="131">
        <v>1.55</v>
      </c>
      <c r="BV118" s="131">
        <v>1.55</v>
      </c>
      <c r="BW118" s="131">
        <v>1.55</v>
      </c>
      <c r="BX118" s="131">
        <v>1.1000000000000001</v>
      </c>
      <c r="BY118" s="131">
        <v>1.1000000000000001</v>
      </c>
      <c r="BZ118" s="131">
        <v>1.1000000000000001</v>
      </c>
      <c r="CA118" s="131">
        <v>1.1000000000000001</v>
      </c>
      <c r="CB118" s="131">
        <v>1.1000000000000001</v>
      </c>
      <c r="CC118" s="131">
        <v>1.55</v>
      </c>
      <c r="CD118" s="131">
        <v>1.55</v>
      </c>
      <c r="CE118" s="131">
        <v>1.55</v>
      </c>
      <c r="CF118" s="57">
        <f t="shared" si="338"/>
        <v>1.3625</v>
      </c>
      <c r="CG118" s="105"/>
      <c r="CH118" s="105"/>
      <c r="CI118" s="105"/>
      <c r="CJ118" s="105"/>
      <c r="CK118" s="105"/>
      <c r="CL118" s="105"/>
      <c r="CM118" s="105"/>
      <c r="CN118" s="105"/>
      <c r="CO118" s="105"/>
      <c r="CP118" s="105"/>
      <c r="CQ118" s="105"/>
      <c r="CR118" s="105"/>
      <c r="CS118" s="105"/>
      <c r="CT118" s="105"/>
      <c r="CV118" s="65" t="str">
        <f t="shared" si="339"/>
        <v>Product 3</v>
      </c>
      <c r="CW118" s="67">
        <f t="shared" si="340"/>
        <v>-3.7500000000000311E-2</v>
      </c>
      <c r="CX118" s="67">
        <f t="shared" si="343"/>
        <v>-0.18750000000000044</v>
      </c>
      <c r="CY118" s="67">
        <f t="shared" si="344"/>
        <v>-0.15000000000000013</v>
      </c>
    </row>
    <row r="119" spans="13:103" s="31" customFormat="1" ht="15" customHeight="1" x14ac:dyDescent="0.2">
      <c r="M119" s="82" t="str">
        <f t="shared" si="341"/>
        <v/>
      </c>
      <c r="N119" s="131">
        <v>1.2</v>
      </c>
      <c r="O119" s="131"/>
      <c r="P119" s="131"/>
      <c r="Q119" s="131"/>
      <c r="R119" s="131"/>
      <c r="S119" s="131"/>
      <c r="T119" s="131"/>
      <c r="U119" s="131"/>
      <c r="V119" s="131"/>
      <c r="W119" s="131"/>
      <c r="X119" s="131"/>
      <c r="Y119" s="131"/>
      <c r="Z119" s="57" t="str">
        <f t="shared" si="335"/>
        <v/>
      </c>
      <c r="AA119" s="105"/>
      <c r="AB119" s="105"/>
      <c r="AC119" s="105"/>
      <c r="AD119" s="105"/>
      <c r="AE119" s="105"/>
      <c r="AF119" s="105"/>
      <c r="AG119" s="105"/>
      <c r="AH119" s="105"/>
      <c r="AI119" s="105"/>
      <c r="AJ119" s="105"/>
      <c r="AK119" s="105"/>
      <c r="AL119" s="105"/>
      <c r="AM119" s="105"/>
      <c r="AN119" s="105"/>
      <c r="AP119" s="65" t="str">
        <f t="shared" si="336"/>
        <v/>
      </c>
      <c r="AQ119" s="131"/>
      <c r="AR119" s="131"/>
      <c r="AS119" s="131"/>
      <c r="AT119" s="131"/>
      <c r="AU119" s="131"/>
      <c r="AV119" s="131"/>
      <c r="AW119" s="131"/>
      <c r="AX119" s="131"/>
      <c r="AY119" s="131"/>
      <c r="AZ119" s="131"/>
      <c r="BA119" s="131"/>
      <c r="BB119" s="131"/>
      <c r="BC119" s="57" t="str">
        <f t="shared" si="342"/>
        <v/>
      </c>
      <c r="BD119" s="105"/>
      <c r="BE119" s="105"/>
      <c r="BF119" s="105"/>
      <c r="BG119" s="105"/>
      <c r="BH119" s="105"/>
      <c r="BI119" s="105"/>
      <c r="BJ119" s="105"/>
      <c r="BK119" s="105"/>
      <c r="BL119" s="105"/>
      <c r="BM119" s="105"/>
      <c r="BN119" s="105"/>
      <c r="BO119" s="105"/>
      <c r="BP119" s="105"/>
      <c r="BQ119" s="105"/>
      <c r="BS119" s="65" t="str">
        <f t="shared" si="337"/>
        <v/>
      </c>
      <c r="BT119" s="131"/>
      <c r="BU119" s="131"/>
      <c r="BV119" s="131"/>
      <c r="BW119" s="131"/>
      <c r="BX119" s="131"/>
      <c r="BY119" s="131"/>
      <c r="BZ119" s="131"/>
      <c r="CA119" s="131"/>
      <c r="CB119" s="131"/>
      <c r="CC119" s="131"/>
      <c r="CD119" s="131"/>
      <c r="CE119" s="131"/>
      <c r="CF119" s="57" t="str">
        <f t="shared" si="338"/>
        <v/>
      </c>
      <c r="CG119" s="105"/>
      <c r="CH119" s="105"/>
      <c r="CI119" s="105"/>
      <c r="CJ119" s="105"/>
      <c r="CK119" s="105"/>
      <c r="CL119" s="105"/>
      <c r="CM119" s="105"/>
      <c r="CN119" s="105"/>
      <c r="CO119" s="105"/>
      <c r="CP119" s="105"/>
      <c r="CQ119" s="105"/>
      <c r="CR119" s="105"/>
      <c r="CS119" s="105"/>
      <c r="CT119" s="105"/>
      <c r="CV119" s="65" t="str">
        <f t="shared" si="339"/>
        <v/>
      </c>
      <c r="CW119" s="67" t="str">
        <f t="shared" si="340"/>
        <v/>
      </c>
      <c r="CX119" s="67" t="str">
        <f t="shared" si="343"/>
        <v/>
      </c>
      <c r="CY119" s="67" t="str">
        <f t="shared" si="344"/>
        <v/>
      </c>
    </row>
    <row r="120" spans="13:103" s="31" customFormat="1" ht="15" customHeight="1" x14ac:dyDescent="0.2">
      <c r="M120" s="82" t="str">
        <f t="shared" si="341"/>
        <v/>
      </c>
      <c r="N120" s="131"/>
      <c r="O120" s="131"/>
      <c r="P120" s="131"/>
      <c r="Q120" s="131"/>
      <c r="R120" s="131"/>
      <c r="S120" s="131"/>
      <c r="T120" s="131"/>
      <c r="U120" s="131"/>
      <c r="V120" s="131"/>
      <c r="W120" s="131"/>
      <c r="X120" s="131"/>
      <c r="Y120" s="131"/>
      <c r="Z120" s="57" t="str">
        <f t="shared" si="335"/>
        <v/>
      </c>
      <c r="AA120" s="105"/>
      <c r="AB120" s="105"/>
      <c r="AC120" s="105"/>
      <c r="AD120" s="105"/>
      <c r="AE120" s="105"/>
      <c r="AF120" s="105"/>
      <c r="AG120" s="105"/>
      <c r="AH120" s="105"/>
      <c r="AI120" s="105"/>
      <c r="AJ120" s="105"/>
      <c r="AK120" s="105"/>
      <c r="AL120" s="105"/>
      <c r="AM120" s="105"/>
      <c r="AN120" s="105"/>
      <c r="AP120" s="65" t="str">
        <f t="shared" si="336"/>
        <v/>
      </c>
      <c r="AQ120" s="131"/>
      <c r="AR120" s="131"/>
      <c r="AS120" s="131"/>
      <c r="AT120" s="131"/>
      <c r="AU120" s="131"/>
      <c r="AV120" s="131"/>
      <c r="AW120" s="131"/>
      <c r="AX120" s="131"/>
      <c r="AY120" s="131"/>
      <c r="AZ120" s="131"/>
      <c r="BA120" s="131"/>
      <c r="BB120" s="131"/>
      <c r="BC120" s="57" t="str">
        <f t="shared" si="342"/>
        <v/>
      </c>
      <c r="BD120" s="105"/>
      <c r="BE120" s="105"/>
      <c r="BF120" s="105"/>
      <c r="BG120" s="105"/>
      <c r="BH120" s="105"/>
      <c r="BI120" s="105"/>
      <c r="BJ120" s="105"/>
      <c r="BK120" s="105"/>
      <c r="BL120" s="105"/>
      <c r="BM120" s="105"/>
      <c r="BN120" s="105"/>
      <c r="BO120" s="105"/>
      <c r="BP120" s="105"/>
      <c r="BQ120" s="105"/>
      <c r="BS120" s="65" t="str">
        <f t="shared" si="337"/>
        <v/>
      </c>
      <c r="BT120" s="131"/>
      <c r="BU120" s="131"/>
      <c r="BV120" s="131"/>
      <c r="BW120" s="131"/>
      <c r="BX120" s="131"/>
      <c r="BY120" s="131"/>
      <c r="BZ120" s="131"/>
      <c r="CA120" s="131"/>
      <c r="CB120" s="131"/>
      <c r="CC120" s="131"/>
      <c r="CD120" s="131"/>
      <c r="CE120" s="131"/>
      <c r="CF120" s="57" t="str">
        <f t="shared" si="338"/>
        <v/>
      </c>
      <c r="CG120" s="105"/>
      <c r="CH120" s="105"/>
      <c r="CI120" s="105"/>
      <c r="CJ120" s="105"/>
      <c r="CK120" s="105"/>
      <c r="CL120" s="105"/>
      <c r="CM120" s="105"/>
      <c r="CN120" s="105"/>
      <c r="CO120" s="105"/>
      <c r="CP120" s="105"/>
      <c r="CQ120" s="105"/>
      <c r="CR120" s="105"/>
      <c r="CS120" s="105"/>
      <c r="CT120" s="105"/>
      <c r="CV120" s="65" t="str">
        <f t="shared" si="339"/>
        <v/>
      </c>
      <c r="CW120" s="67" t="str">
        <f t="shared" si="340"/>
        <v/>
      </c>
      <c r="CX120" s="67" t="str">
        <f t="shared" si="343"/>
        <v/>
      </c>
      <c r="CY120" s="67" t="str">
        <f t="shared" si="344"/>
        <v/>
      </c>
    </row>
    <row r="121" spans="13:103" s="31" customFormat="1" ht="15" customHeight="1" x14ac:dyDescent="0.2">
      <c r="M121" s="82" t="str">
        <f t="shared" si="341"/>
        <v/>
      </c>
      <c r="N121" s="131"/>
      <c r="O121" s="131"/>
      <c r="P121" s="131"/>
      <c r="Q121" s="131"/>
      <c r="R121" s="131"/>
      <c r="S121" s="131"/>
      <c r="T121" s="131"/>
      <c r="U121" s="131"/>
      <c r="V121" s="131"/>
      <c r="W121" s="131"/>
      <c r="X121" s="131"/>
      <c r="Y121" s="131"/>
      <c r="Z121" s="57" t="str">
        <f t="shared" si="335"/>
        <v/>
      </c>
      <c r="AA121" s="105"/>
      <c r="AB121" s="105"/>
      <c r="AC121" s="105"/>
      <c r="AD121" s="105"/>
      <c r="AE121" s="105"/>
      <c r="AF121" s="105"/>
      <c r="AG121" s="105"/>
      <c r="AH121" s="105"/>
      <c r="AI121" s="105"/>
      <c r="AJ121" s="105"/>
      <c r="AK121" s="105"/>
      <c r="AL121" s="105"/>
      <c r="AM121" s="105"/>
      <c r="AN121" s="105"/>
      <c r="AP121" s="65" t="str">
        <f t="shared" si="336"/>
        <v/>
      </c>
      <c r="AQ121" s="131"/>
      <c r="AR121" s="131"/>
      <c r="AS121" s="131"/>
      <c r="AT121" s="131"/>
      <c r="AU121" s="131"/>
      <c r="AV121" s="131"/>
      <c r="AW121" s="131"/>
      <c r="AX121" s="131"/>
      <c r="AY121" s="131"/>
      <c r="AZ121" s="131"/>
      <c r="BA121" s="131"/>
      <c r="BB121" s="131"/>
      <c r="BC121" s="57" t="str">
        <f t="shared" si="342"/>
        <v/>
      </c>
      <c r="BD121" s="105"/>
      <c r="BE121" s="105"/>
      <c r="BF121" s="105"/>
      <c r="BG121" s="105"/>
      <c r="BH121" s="105"/>
      <c r="BI121" s="105"/>
      <c r="BJ121" s="105"/>
      <c r="BK121" s="105"/>
      <c r="BL121" s="105"/>
      <c r="BM121" s="105"/>
      <c r="BN121" s="105"/>
      <c r="BO121" s="105"/>
      <c r="BP121" s="105"/>
      <c r="BQ121" s="105"/>
      <c r="BS121" s="65" t="str">
        <f t="shared" si="337"/>
        <v/>
      </c>
      <c r="BT121" s="131"/>
      <c r="BU121" s="131"/>
      <c r="BV121" s="131"/>
      <c r="BW121" s="131"/>
      <c r="BX121" s="131"/>
      <c r="BY121" s="131"/>
      <c r="BZ121" s="131"/>
      <c r="CA121" s="131"/>
      <c r="CB121" s="131"/>
      <c r="CC121" s="131"/>
      <c r="CD121" s="131"/>
      <c r="CE121" s="131"/>
      <c r="CF121" s="57" t="str">
        <f t="shared" si="338"/>
        <v/>
      </c>
      <c r="CG121" s="105"/>
      <c r="CH121" s="105"/>
      <c r="CI121" s="105"/>
      <c r="CJ121" s="105"/>
      <c r="CK121" s="105"/>
      <c r="CL121" s="105"/>
      <c r="CM121" s="105"/>
      <c r="CN121" s="105"/>
      <c r="CO121" s="105"/>
      <c r="CP121" s="105"/>
      <c r="CQ121" s="105"/>
      <c r="CR121" s="105"/>
      <c r="CS121" s="105"/>
      <c r="CT121" s="105"/>
      <c r="CV121" s="65" t="str">
        <f t="shared" si="339"/>
        <v/>
      </c>
      <c r="CW121" s="67" t="str">
        <f t="shared" si="340"/>
        <v/>
      </c>
      <c r="CX121" s="67" t="str">
        <f t="shared" si="343"/>
        <v/>
      </c>
      <c r="CY121" s="67" t="str">
        <f t="shared" si="344"/>
        <v/>
      </c>
    </row>
    <row r="122" spans="13:103" s="31" customFormat="1" ht="15" customHeight="1" x14ac:dyDescent="0.2">
      <c r="M122" s="82" t="str">
        <f t="shared" si="341"/>
        <v/>
      </c>
      <c r="N122" s="131"/>
      <c r="O122" s="131"/>
      <c r="P122" s="131"/>
      <c r="Q122" s="131"/>
      <c r="R122" s="131"/>
      <c r="S122" s="131"/>
      <c r="T122" s="131"/>
      <c r="U122" s="131"/>
      <c r="V122" s="131"/>
      <c r="W122" s="131"/>
      <c r="X122" s="131"/>
      <c r="Y122" s="131"/>
      <c r="Z122" s="57" t="str">
        <f t="shared" si="335"/>
        <v/>
      </c>
      <c r="AA122" s="105"/>
      <c r="AB122" s="105"/>
      <c r="AC122" s="105"/>
      <c r="AD122" s="105"/>
      <c r="AE122" s="105"/>
      <c r="AF122" s="105"/>
      <c r="AG122" s="105"/>
      <c r="AH122" s="105"/>
      <c r="AI122" s="105"/>
      <c r="AJ122" s="105"/>
      <c r="AK122" s="105"/>
      <c r="AL122" s="105"/>
      <c r="AM122" s="105"/>
      <c r="AN122" s="105"/>
      <c r="AP122" s="65" t="str">
        <f t="shared" si="336"/>
        <v/>
      </c>
      <c r="AQ122" s="131"/>
      <c r="AR122" s="131"/>
      <c r="AS122" s="131"/>
      <c r="AT122" s="131"/>
      <c r="AU122" s="131"/>
      <c r="AV122" s="131"/>
      <c r="AW122" s="131"/>
      <c r="AX122" s="131"/>
      <c r="AY122" s="131"/>
      <c r="AZ122" s="131"/>
      <c r="BA122" s="131"/>
      <c r="BB122" s="131"/>
      <c r="BC122" s="57" t="str">
        <f t="shared" si="342"/>
        <v/>
      </c>
      <c r="BD122" s="105"/>
      <c r="BE122" s="105"/>
      <c r="BF122" s="105"/>
      <c r="BG122" s="105"/>
      <c r="BH122" s="105"/>
      <c r="BI122" s="105"/>
      <c r="BJ122" s="105"/>
      <c r="BK122" s="105"/>
      <c r="BL122" s="105"/>
      <c r="BM122" s="105"/>
      <c r="BN122" s="105"/>
      <c r="BO122" s="105"/>
      <c r="BP122" s="105"/>
      <c r="BQ122" s="105"/>
      <c r="BS122" s="65" t="str">
        <f t="shared" si="337"/>
        <v/>
      </c>
      <c r="BT122" s="131"/>
      <c r="BU122" s="131"/>
      <c r="BV122" s="131"/>
      <c r="BW122" s="131"/>
      <c r="BX122" s="131"/>
      <c r="BY122" s="131"/>
      <c r="BZ122" s="131"/>
      <c r="CA122" s="131"/>
      <c r="CB122" s="131"/>
      <c r="CC122" s="131"/>
      <c r="CD122" s="131"/>
      <c r="CE122" s="131"/>
      <c r="CF122" s="57" t="str">
        <f t="shared" si="338"/>
        <v/>
      </c>
      <c r="CG122" s="105"/>
      <c r="CH122" s="105"/>
      <c r="CI122" s="105"/>
      <c r="CJ122" s="105"/>
      <c r="CK122" s="105"/>
      <c r="CL122" s="105"/>
      <c r="CM122" s="105"/>
      <c r="CN122" s="105"/>
      <c r="CO122" s="105"/>
      <c r="CP122" s="105"/>
      <c r="CQ122" s="105"/>
      <c r="CR122" s="105"/>
      <c r="CS122" s="105"/>
      <c r="CT122" s="105"/>
      <c r="CV122" s="65" t="str">
        <f t="shared" si="339"/>
        <v/>
      </c>
      <c r="CW122" s="67" t="str">
        <f t="shared" si="340"/>
        <v/>
      </c>
      <c r="CX122" s="67" t="str">
        <f t="shared" si="343"/>
        <v/>
      </c>
      <c r="CY122" s="67" t="str">
        <f t="shared" si="344"/>
        <v/>
      </c>
    </row>
    <row r="123" spans="13:103" s="31" customFormat="1" ht="15" customHeight="1" x14ac:dyDescent="0.2">
      <c r="M123" s="82" t="str">
        <f t="shared" si="341"/>
        <v/>
      </c>
      <c r="N123" s="131"/>
      <c r="O123" s="131"/>
      <c r="P123" s="131"/>
      <c r="Q123" s="131"/>
      <c r="R123" s="131"/>
      <c r="S123" s="131"/>
      <c r="T123" s="131"/>
      <c r="U123" s="131"/>
      <c r="V123" s="131"/>
      <c r="W123" s="131"/>
      <c r="X123" s="131"/>
      <c r="Y123" s="131"/>
      <c r="Z123" s="57" t="str">
        <f t="shared" si="335"/>
        <v/>
      </c>
      <c r="AA123" s="105"/>
      <c r="AB123" s="105"/>
      <c r="AC123" s="105"/>
      <c r="AD123" s="105"/>
      <c r="AE123" s="105"/>
      <c r="AF123" s="105"/>
      <c r="AG123" s="105"/>
      <c r="AH123" s="105"/>
      <c r="AI123" s="105"/>
      <c r="AJ123" s="105"/>
      <c r="AK123" s="105"/>
      <c r="AL123" s="105"/>
      <c r="AM123" s="105"/>
      <c r="AN123" s="105"/>
      <c r="AP123" s="65" t="str">
        <f t="shared" si="336"/>
        <v/>
      </c>
      <c r="AQ123" s="131"/>
      <c r="AR123" s="131"/>
      <c r="AS123" s="131"/>
      <c r="AT123" s="131"/>
      <c r="AU123" s="131"/>
      <c r="AV123" s="131"/>
      <c r="AW123" s="131"/>
      <c r="AX123" s="131"/>
      <c r="AY123" s="131"/>
      <c r="AZ123" s="131"/>
      <c r="BA123" s="131"/>
      <c r="BB123" s="131"/>
      <c r="BC123" s="57" t="str">
        <f t="shared" si="342"/>
        <v/>
      </c>
      <c r="BD123" s="105"/>
      <c r="BE123" s="105"/>
      <c r="BF123" s="105"/>
      <c r="BG123" s="105"/>
      <c r="BH123" s="105"/>
      <c r="BI123" s="105"/>
      <c r="BJ123" s="105"/>
      <c r="BK123" s="105"/>
      <c r="BL123" s="105"/>
      <c r="BM123" s="105"/>
      <c r="BN123" s="105"/>
      <c r="BO123" s="105"/>
      <c r="BP123" s="105"/>
      <c r="BQ123" s="105"/>
      <c r="BS123" s="65" t="str">
        <f t="shared" si="337"/>
        <v/>
      </c>
      <c r="BT123" s="131"/>
      <c r="BU123" s="131"/>
      <c r="BV123" s="131"/>
      <c r="BW123" s="131"/>
      <c r="BX123" s="131"/>
      <c r="BY123" s="131"/>
      <c r="BZ123" s="131"/>
      <c r="CA123" s="131"/>
      <c r="CB123" s="131"/>
      <c r="CC123" s="131"/>
      <c r="CD123" s="131"/>
      <c r="CE123" s="131"/>
      <c r="CF123" s="57" t="str">
        <f t="shared" si="338"/>
        <v/>
      </c>
      <c r="CG123" s="105"/>
      <c r="CH123" s="105"/>
      <c r="CI123" s="105"/>
      <c r="CJ123" s="105"/>
      <c r="CK123" s="105"/>
      <c r="CL123" s="105"/>
      <c r="CM123" s="105"/>
      <c r="CN123" s="105"/>
      <c r="CO123" s="105"/>
      <c r="CP123" s="105"/>
      <c r="CQ123" s="105"/>
      <c r="CR123" s="105"/>
      <c r="CS123" s="105"/>
      <c r="CT123" s="105"/>
      <c r="CV123" s="65" t="str">
        <f t="shared" si="339"/>
        <v/>
      </c>
      <c r="CW123" s="67" t="str">
        <f t="shared" si="340"/>
        <v/>
      </c>
      <c r="CX123" s="67" t="str">
        <f t="shared" si="343"/>
        <v/>
      </c>
      <c r="CY123" s="67" t="str">
        <f t="shared" si="344"/>
        <v/>
      </c>
    </row>
    <row r="124" spans="13:103" s="31" customFormat="1" ht="15" customHeight="1" x14ac:dyDescent="0.2">
      <c r="M124" s="82" t="str">
        <f t="shared" si="341"/>
        <v/>
      </c>
      <c r="N124" s="131"/>
      <c r="O124" s="131"/>
      <c r="P124" s="131"/>
      <c r="Q124" s="131"/>
      <c r="R124" s="131"/>
      <c r="S124" s="131"/>
      <c r="T124" s="131"/>
      <c r="U124" s="131"/>
      <c r="V124" s="131"/>
      <c r="W124" s="131"/>
      <c r="X124" s="131"/>
      <c r="Y124" s="131"/>
      <c r="Z124" s="57" t="str">
        <f t="shared" si="335"/>
        <v/>
      </c>
      <c r="AA124" s="105"/>
      <c r="AB124" s="105"/>
      <c r="AC124" s="105"/>
      <c r="AD124" s="105"/>
      <c r="AE124" s="105"/>
      <c r="AF124" s="105"/>
      <c r="AG124" s="105"/>
      <c r="AH124" s="105"/>
      <c r="AI124" s="105"/>
      <c r="AJ124" s="105"/>
      <c r="AK124" s="105"/>
      <c r="AL124" s="105"/>
      <c r="AM124" s="105"/>
      <c r="AN124" s="105"/>
      <c r="AP124" s="65" t="str">
        <f t="shared" si="336"/>
        <v/>
      </c>
      <c r="AQ124" s="131"/>
      <c r="AR124" s="131"/>
      <c r="AS124" s="131"/>
      <c r="AT124" s="131"/>
      <c r="AU124" s="131"/>
      <c r="AV124" s="131"/>
      <c r="AW124" s="131"/>
      <c r="AX124" s="131"/>
      <c r="AY124" s="131"/>
      <c r="AZ124" s="131"/>
      <c r="BA124" s="131"/>
      <c r="BB124" s="131"/>
      <c r="BC124" s="57" t="str">
        <f t="shared" si="342"/>
        <v/>
      </c>
      <c r="BD124" s="105"/>
      <c r="BE124" s="105"/>
      <c r="BF124" s="105"/>
      <c r="BG124" s="105"/>
      <c r="BH124" s="105"/>
      <c r="BI124" s="105"/>
      <c r="BJ124" s="105"/>
      <c r="BK124" s="105"/>
      <c r="BL124" s="105"/>
      <c r="BM124" s="105"/>
      <c r="BN124" s="105"/>
      <c r="BO124" s="105"/>
      <c r="BP124" s="105"/>
      <c r="BQ124" s="105"/>
      <c r="BS124" s="65" t="str">
        <f t="shared" si="337"/>
        <v/>
      </c>
      <c r="BT124" s="131"/>
      <c r="BU124" s="131"/>
      <c r="BV124" s="131"/>
      <c r="BW124" s="131"/>
      <c r="BX124" s="131"/>
      <c r="BY124" s="131"/>
      <c r="BZ124" s="131"/>
      <c r="CA124" s="131"/>
      <c r="CB124" s="131"/>
      <c r="CC124" s="131"/>
      <c r="CD124" s="131"/>
      <c r="CE124" s="131"/>
      <c r="CF124" s="57" t="str">
        <f t="shared" si="338"/>
        <v/>
      </c>
      <c r="CG124" s="105"/>
      <c r="CH124" s="105"/>
      <c r="CI124" s="105"/>
      <c r="CJ124" s="105"/>
      <c r="CK124" s="105"/>
      <c r="CL124" s="105"/>
      <c r="CM124" s="105"/>
      <c r="CN124" s="105"/>
      <c r="CO124" s="105"/>
      <c r="CP124" s="105"/>
      <c r="CQ124" s="105"/>
      <c r="CR124" s="105"/>
      <c r="CS124" s="105"/>
      <c r="CT124" s="105"/>
      <c r="CV124" s="65" t="str">
        <f t="shared" si="339"/>
        <v/>
      </c>
      <c r="CW124" s="67" t="str">
        <f t="shared" si="340"/>
        <v/>
      </c>
      <c r="CX124" s="67" t="str">
        <f t="shared" si="343"/>
        <v/>
      </c>
      <c r="CY124" s="67" t="str">
        <f t="shared" si="344"/>
        <v/>
      </c>
    </row>
    <row r="125" spans="13:103" s="31" customFormat="1" ht="15" customHeight="1" x14ac:dyDescent="0.2">
      <c r="M125" s="82" t="str">
        <f t="shared" si="341"/>
        <v/>
      </c>
      <c r="N125" s="131"/>
      <c r="O125" s="131"/>
      <c r="P125" s="131"/>
      <c r="Q125" s="131"/>
      <c r="R125" s="131"/>
      <c r="S125" s="131"/>
      <c r="T125" s="131"/>
      <c r="U125" s="131"/>
      <c r="V125" s="131"/>
      <c r="W125" s="131"/>
      <c r="X125" s="131"/>
      <c r="Y125" s="131"/>
      <c r="Z125" s="57" t="str">
        <f t="shared" si="335"/>
        <v/>
      </c>
      <c r="AA125" s="105"/>
      <c r="AB125" s="105"/>
      <c r="AC125" s="105"/>
      <c r="AD125" s="105"/>
      <c r="AE125" s="105"/>
      <c r="AF125" s="105"/>
      <c r="AG125" s="105"/>
      <c r="AH125" s="105"/>
      <c r="AI125" s="105"/>
      <c r="AJ125" s="105"/>
      <c r="AK125" s="105"/>
      <c r="AL125" s="105"/>
      <c r="AM125" s="105"/>
      <c r="AN125" s="105"/>
      <c r="AP125" s="65" t="str">
        <f t="shared" si="336"/>
        <v/>
      </c>
      <c r="AQ125" s="131"/>
      <c r="AR125" s="131"/>
      <c r="AS125" s="131"/>
      <c r="AT125" s="131"/>
      <c r="AU125" s="131"/>
      <c r="AV125" s="131"/>
      <c r="AW125" s="131"/>
      <c r="AX125" s="131"/>
      <c r="AY125" s="131"/>
      <c r="AZ125" s="131"/>
      <c r="BA125" s="131"/>
      <c r="BB125" s="131"/>
      <c r="BC125" s="57" t="str">
        <f t="shared" si="342"/>
        <v/>
      </c>
      <c r="BD125" s="105"/>
      <c r="BE125" s="105"/>
      <c r="BF125" s="105"/>
      <c r="BG125" s="105"/>
      <c r="BH125" s="105"/>
      <c r="BI125" s="105"/>
      <c r="BJ125" s="105"/>
      <c r="BK125" s="105"/>
      <c r="BL125" s="105"/>
      <c r="BM125" s="105"/>
      <c r="BN125" s="105"/>
      <c r="BO125" s="105"/>
      <c r="BP125" s="105"/>
      <c r="BQ125" s="105"/>
      <c r="BS125" s="65" t="str">
        <f t="shared" si="337"/>
        <v/>
      </c>
      <c r="BT125" s="131"/>
      <c r="BU125" s="131"/>
      <c r="BV125" s="131"/>
      <c r="BW125" s="131"/>
      <c r="BX125" s="131"/>
      <c r="BY125" s="131"/>
      <c r="BZ125" s="131"/>
      <c r="CA125" s="131"/>
      <c r="CB125" s="131"/>
      <c r="CC125" s="131"/>
      <c r="CD125" s="131"/>
      <c r="CE125" s="131"/>
      <c r="CF125" s="57" t="str">
        <f t="shared" si="338"/>
        <v/>
      </c>
      <c r="CG125" s="105"/>
      <c r="CH125" s="105"/>
      <c r="CI125" s="105"/>
      <c r="CJ125" s="105"/>
      <c r="CK125" s="105"/>
      <c r="CL125" s="105"/>
      <c r="CM125" s="105"/>
      <c r="CN125" s="105"/>
      <c r="CO125" s="105"/>
      <c r="CP125" s="105"/>
      <c r="CQ125" s="105"/>
      <c r="CR125" s="105"/>
      <c r="CS125" s="105"/>
      <c r="CT125" s="105"/>
      <c r="CV125" s="65" t="str">
        <f t="shared" si="339"/>
        <v/>
      </c>
      <c r="CW125" s="67" t="str">
        <f t="shared" si="340"/>
        <v/>
      </c>
      <c r="CX125" s="67" t="str">
        <f t="shared" si="343"/>
        <v/>
      </c>
      <c r="CY125" s="67" t="str">
        <f t="shared" si="344"/>
        <v/>
      </c>
    </row>
    <row r="126" spans="13:103" s="38" customFormat="1" ht="15" hidden="1" customHeight="1" x14ac:dyDescent="0.2">
      <c r="M126" s="82" t="str">
        <f t="shared" si="341"/>
        <v/>
      </c>
      <c r="N126" s="130"/>
      <c r="O126" s="130"/>
      <c r="P126" s="130"/>
      <c r="Q126" s="130"/>
      <c r="R126" s="130"/>
      <c r="S126" s="130"/>
      <c r="T126" s="130"/>
      <c r="U126" s="130"/>
      <c r="V126" s="130"/>
      <c r="W126" s="130"/>
      <c r="X126" s="130"/>
      <c r="Y126" s="130"/>
      <c r="Z126" s="57" t="str">
        <f t="shared" si="335"/>
        <v/>
      </c>
      <c r="AA126" s="105"/>
      <c r="AB126" s="105"/>
      <c r="AC126" s="105"/>
      <c r="AD126" s="105"/>
      <c r="AE126" s="105"/>
      <c r="AF126" s="105"/>
      <c r="AG126" s="105"/>
      <c r="AH126" s="105"/>
      <c r="AI126" s="105"/>
      <c r="AJ126" s="105"/>
      <c r="AK126" s="105"/>
      <c r="AL126" s="105"/>
      <c r="AM126" s="105"/>
      <c r="AN126" s="105"/>
      <c r="AP126" s="65" t="str">
        <f t="shared" si="336"/>
        <v/>
      </c>
      <c r="AQ126" s="130"/>
      <c r="AR126" s="130"/>
      <c r="AS126" s="130"/>
      <c r="AT126" s="130"/>
      <c r="AU126" s="130"/>
      <c r="AV126" s="130"/>
      <c r="AW126" s="130"/>
      <c r="AX126" s="130"/>
      <c r="AY126" s="130"/>
      <c r="AZ126" s="130"/>
      <c r="BA126" s="130"/>
      <c r="BB126" s="130"/>
      <c r="BC126" s="57" t="str">
        <f t="shared" si="342"/>
        <v/>
      </c>
      <c r="BD126" s="105"/>
      <c r="BE126" s="105"/>
      <c r="BF126" s="105"/>
      <c r="BG126" s="105"/>
      <c r="BH126" s="105"/>
      <c r="BI126" s="105"/>
      <c r="BJ126" s="105"/>
      <c r="BK126" s="105"/>
      <c r="BL126" s="105"/>
      <c r="BM126" s="105"/>
      <c r="BN126" s="105"/>
      <c r="BO126" s="105"/>
      <c r="BP126" s="105"/>
      <c r="BQ126" s="105"/>
      <c r="BS126" s="65" t="str">
        <f t="shared" si="337"/>
        <v/>
      </c>
      <c r="BT126" s="130"/>
      <c r="BU126" s="130"/>
      <c r="BV126" s="130"/>
      <c r="BW126" s="130"/>
      <c r="BX126" s="130"/>
      <c r="BY126" s="130"/>
      <c r="BZ126" s="130"/>
      <c r="CA126" s="130"/>
      <c r="CB126" s="130"/>
      <c r="CC126" s="130"/>
      <c r="CD126" s="130"/>
      <c r="CE126" s="130"/>
      <c r="CF126" s="57" t="str">
        <f t="shared" si="338"/>
        <v/>
      </c>
      <c r="CG126" s="105"/>
      <c r="CH126" s="105"/>
      <c r="CI126" s="105"/>
      <c r="CJ126" s="105"/>
      <c r="CK126" s="105"/>
      <c r="CL126" s="105"/>
      <c r="CM126" s="105"/>
      <c r="CN126" s="105"/>
      <c r="CO126" s="105"/>
      <c r="CP126" s="105"/>
      <c r="CQ126" s="105"/>
      <c r="CR126" s="105"/>
      <c r="CS126" s="105"/>
      <c r="CT126" s="105"/>
      <c r="CU126" s="40"/>
      <c r="CV126" s="65" t="str">
        <f t="shared" si="339"/>
        <v/>
      </c>
      <c r="CW126" s="67" t="str">
        <f t="shared" si="340"/>
        <v/>
      </c>
      <c r="CX126" s="67" t="str">
        <f t="shared" si="343"/>
        <v/>
      </c>
      <c r="CY126" s="67" t="str">
        <f t="shared" si="344"/>
        <v/>
      </c>
    </row>
    <row r="127" spans="13:103" s="38" customFormat="1" ht="15" hidden="1" customHeight="1" x14ac:dyDescent="0.2">
      <c r="M127" s="82" t="str">
        <f t="shared" si="341"/>
        <v/>
      </c>
      <c r="N127" s="130"/>
      <c r="O127" s="130"/>
      <c r="P127" s="130"/>
      <c r="Q127" s="130"/>
      <c r="R127" s="130"/>
      <c r="S127" s="130"/>
      <c r="T127" s="130"/>
      <c r="U127" s="130"/>
      <c r="V127" s="130"/>
      <c r="W127" s="130"/>
      <c r="X127" s="130"/>
      <c r="Y127" s="130"/>
      <c r="Z127" s="57" t="str">
        <f t="shared" si="335"/>
        <v/>
      </c>
      <c r="AA127" s="105"/>
      <c r="AB127" s="105"/>
      <c r="AC127" s="105"/>
      <c r="AD127" s="105"/>
      <c r="AE127" s="105"/>
      <c r="AF127" s="105"/>
      <c r="AG127" s="105"/>
      <c r="AH127" s="105"/>
      <c r="AI127" s="105"/>
      <c r="AJ127" s="105"/>
      <c r="AK127" s="105"/>
      <c r="AL127" s="105"/>
      <c r="AM127" s="105"/>
      <c r="AN127" s="105"/>
      <c r="AP127" s="65" t="str">
        <f t="shared" si="336"/>
        <v/>
      </c>
      <c r="AQ127" s="130"/>
      <c r="AR127" s="130"/>
      <c r="AS127" s="130"/>
      <c r="AT127" s="130"/>
      <c r="AU127" s="130"/>
      <c r="AV127" s="130"/>
      <c r="AW127" s="130"/>
      <c r="AX127" s="130"/>
      <c r="AY127" s="130"/>
      <c r="AZ127" s="130"/>
      <c r="BA127" s="130"/>
      <c r="BB127" s="130"/>
      <c r="BC127" s="57" t="str">
        <f t="shared" si="342"/>
        <v/>
      </c>
      <c r="BD127" s="105"/>
      <c r="BE127" s="105"/>
      <c r="BF127" s="105"/>
      <c r="BG127" s="105"/>
      <c r="BH127" s="105"/>
      <c r="BI127" s="105"/>
      <c r="BJ127" s="105"/>
      <c r="BK127" s="105"/>
      <c r="BL127" s="105"/>
      <c r="BM127" s="105"/>
      <c r="BN127" s="105"/>
      <c r="BO127" s="105"/>
      <c r="BP127" s="105"/>
      <c r="BQ127" s="105"/>
      <c r="BS127" s="65" t="str">
        <f t="shared" si="337"/>
        <v/>
      </c>
      <c r="BT127" s="130"/>
      <c r="BU127" s="130"/>
      <c r="BV127" s="130"/>
      <c r="BW127" s="130"/>
      <c r="BX127" s="130"/>
      <c r="BY127" s="130"/>
      <c r="BZ127" s="130"/>
      <c r="CA127" s="130"/>
      <c r="CB127" s="130"/>
      <c r="CC127" s="130"/>
      <c r="CD127" s="130"/>
      <c r="CE127" s="130"/>
      <c r="CF127" s="57" t="str">
        <f t="shared" si="338"/>
        <v/>
      </c>
      <c r="CG127" s="105"/>
      <c r="CH127" s="105"/>
      <c r="CI127" s="105"/>
      <c r="CJ127" s="105"/>
      <c r="CK127" s="105"/>
      <c r="CL127" s="105"/>
      <c r="CM127" s="105"/>
      <c r="CN127" s="105"/>
      <c r="CO127" s="105"/>
      <c r="CP127" s="105"/>
      <c r="CQ127" s="105"/>
      <c r="CR127" s="105"/>
      <c r="CS127" s="105"/>
      <c r="CT127" s="105"/>
      <c r="CU127" s="40"/>
      <c r="CV127" s="65" t="str">
        <f t="shared" si="339"/>
        <v/>
      </c>
      <c r="CW127" s="67" t="str">
        <f t="shared" si="340"/>
        <v/>
      </c>
      <c r="CX127" s="67" t="str">
        <f t="shared" si="343"/>
        <v/>
      </c>
      <c r="CY127" s="67" t="str">
        <f t="shared" si="344"/>
        <v/>
      </c>
    </row>
    <row r="128" spans="13:103" s="38" customFormat="1" ht="15" hidden="1" customHeight="1" x14ac:dyDescent="0.2">
      <c r="M128" s="82" t="str">
        <f t="shared" si="341"/>
        <v/>
      </c>
      <c r="N128" s="130"/>
      <c r="O128" s="130"/>
      <c r="P128" s="130"/>
      <c r="Q128" s="130"/>
      <c r="R128" s="130"/>
      <c r="S128" s="130"/>
      <c r="T128" s="130"/>
      <c r="U128" s="130"/>
      <c r="V128" s="130"/>
      <c r="W128" s="130"/>
      <c r="X128" s="130"/>
      <c r="Y128" s="130"/>
      <c r="Z128" s="57" t="str">
        <f t="shared" si="335"/>
        <v/>
      </c>
      <c r="AA128" s="105"/>
      <c r="AB128" s="105"/>
      <c r="AC128" s="105"/>
      <c r="AD128" s="105"/>
      <c r="AE128" s="105"/>
      <c r="AF128" s="105"/>
      <c r="AG128" s="105"/>
      <c r="AH128" s="105"/>
      <c r="AI128" s="105"/>
      <c r="AJ128" s="105"/>
      <c r="AK128" s="105"/>
      <c r="AL128" s="105"/>
      <c r="AM128" s="105"/>
      <c r="AN128" s="105"/>
      <c r="AP128" s="65" t="str">
        <f t="shared" si="336"/>
        <v/>
      </c>
      <c r="AQ128" s="130"/>
      <c r="AR128" s="130"/>
      <c r="AS128" s="130"/>
      <c r="AT128" s="130"/>
      <c r="AU128" s="130"/>
      <c r="AV128" s="130"/>
      <c r="AW128" s="130"/>
      <c r="AX128" s="130"/>
      <c r="AY128" s="130"/>
      <c r="AZ128" s="130"/>
      <c r="BA128" s="130"/>
      <c r="BB128" s="130"/>
      <c r="BC128" s="57" t="str">
        <f t="shared" si="342"/>
        <v/>
      </c>
      <c r="BD128" s="105"/>
      <c r="BE128" s="105"/>
      <c r="BF128" s="105"/>
      <c r="BG128" s="105"/>
      <c r="BH128" s="105"/>
      <c r="BI128" s="105"/>
      <c r="BJ128" s="105"/>
      <c r="BK128" s="105"/>
      <c r="BL128" s="105"/>
      <c r="BM128" s="105"/>
      <c r="BN128" s="105"/>
      <c r="BO128" s="105"/>
      <c r="BP128" s="105"/>
      <c r="BQ128" s="105"/>
      <c r="BS128" s="65" t="str">
        <f t="shared" si="337"/>
        <v/>
      </c>
      <c r="BT128" s="130"/>
      <c r="BU128" s="130"/>
      <c r="BV128" s="130"/>
      <c r="BW128" s="130"/>
      <c r="BX128" s="130"/>
      <c r="BY128" s="130"/>
      <c r="BZ128" s="130"/>
      <c r="CA128" s="130"/>
      <c r="CB128" s="130"/>
      <c r="CC128" s="130"/>
      <c r="CD128" s="130"/>
      <c r="CE128" s="130"/>
      <c r="CF128" s="57" t="str">
        <f t="shared" si="338"/>
        <v/>
      </c>
      <c r="CG128" s="105"/>
      <c r="CH128" s="105"/>
      <c r="CI128" s="105"/>
      <c r="CJ128" s="105"/>
      <c r="CK128" s="105"/>
      <c r="CL128" s="105"/>
      <c r="CM128" s="105"/>
      <c r="CN128" s="105"/>
      <c r="CO128" s="105"/>
      <c r="CP128" s="105"/>
      <c r="CQ128" s="105"/>
      <c r="CR128" s="105"/>
      <c r="CS128" s="105"/>
      <c r="CT128" s="105"/>
      <c r="CU128" s="40"/>
      <c r="CV128" s="65" t="str">
        <f t="shared" si="339"/>
        <v/>
      </c>
      <c r="CW128" s="67" t="str">
        <f t="shared" si="340"/>
        <v/>
      </c>
      <c r="CX128" s="67" t="str">
        <f t="shared" si="343"/>
        <v/>
      </c>
      <c r="CY128" s="67" t="str">
        <f t="shared" si="344"/>
        <v/>
      </c>
    </row>
    <row r="129" spans="13:103" s="38" customFormat="1" ht="15" hidden="1" customHeight="1" x14ac:dyDescent="0.2">
      <c r="M129" s="82" t="str">
        <f t="shared" si="341"/>
        <v/>
      </c>
      <c r="N129" s="130"/>
      <c r="O129" s="130"/>
      <c r="P129" s="130"/>
      <c r="Q129" s="130"/>
      <c r="R129" s="130"/>
      <c r="S129" s="130"/>
      <c r="T129" s="130"/>
      <c r="U129" s="130"/>
      <c r="V129" s="130"/>
      <c r="W129" s="130"/>
      <c r="X129" s="130"/>
      <c r="Y129" s="130"/>
      <c r="Z129" s="57" t="str">
        <f t="shared" si="335"/>
        <v/>
      </c>
      <c r="AA129" s="105"/>
      <c r="AB129" s="105"/>
      <c r="AC129" s="105"/>
      <c r="AD129" s="105"/>
      <c r="AE129" s="105"/>
      <c r="AF129" s="105"/>
      <c r="AG129" s="105"/>
      <c r="AH129" s="105"/>
      <c r="AI129" s="105"/>
      <c r="AJ129" s="105"/>
      <c r="AK129" s="105"/>
      <c r="AL129" s="105"/>
      <c r="AM129" s="105"/>
      <c r="AN129" s="105"/>
      <c r="AP129" s="65" t="str">
        <f t="shared" si="336"/>
        <v/>
      </c>
      <c r="AQ129" s="130"/>
      <c r="AR129" s="130"/>
      <c r="AS129" s="130"/>
      <c r="AT129" s="130"/>
      <c r="AU129" s="130"/>
      <c r="AV129" s="130"/>
      <c r="AW129" s="130"/>
      <c r="AX129" s="130"/>
      <c r="AY129" s="130"/>
      <c r="AZ129" s="130"/>
      <c r="BA129" s="130"/>
      <c r="BB129" s="130"/>
      <c r="BC129" s="57" t="str">
        <f t="shared" si="342"/>
        <v/>
      </c>
      <c r="BD129" s="105"/>
      <c r="BE129" s="105"/>
      <c r="BF129" s="105"/>
      <c r="BG129" s="105"/>
      <c r="BH129" s="105"/>
      <c r="BI129" s="105"/>
      <c r="BJ129" s="105"/>
      <c r="BK129" s="105"/>
      <c r="BL129" s="105"/>
      <c r="BM129" s="105"/>
      <c r="BN129" s="105"/>
      <c r="BO129" s="105"/>
      <c r="BP129" s="105"/>
      <c r="BQ129" s="105"/>
      <c r="BS129" s="65" t="str">
        <f t="shared" si="337"/>
        <v/>
      </c>
      <c r="BT129" s="130"/>
      <c r="BU129" s="130"/>
      <c r="BV129" s="130"/>
      <c r="BW129" s="130"/>
      <c r="BX129" s="130"/>
      <c r="BY129" s="130"/>
      <c r="BZ129" s="130"/>
      <c r="CA129" s="130"/>
      <c r="CB129" s="130"/>
      <c r="CC129" s="130"/>
      <c r="CD129" s="130"/>
      <c r="CE129" s="130"/>
      <c r="CF129" s="57" t="str">
        <f t="shared" si="338"/>
        <v/>
      </c>
      <c r="CG129" s="105"/>
      <c r="CH129" s="105"/>
      <c r="CI129" s="105"/>
      <c r="CJ129" s="105"/>
      <c r="CK129" s="105"/>
      <c r="CL129" s="105"/>
      <c r="CM129" s="105"/>
      <c r="CN129" s="105"/>
      <c r="CO129" s="105"/>
      <c r="CP129" s="105"/>
      <c r="CQ129" s="105"/>
      <c r="CR129" s="105"/>
      <c r="CS129" s="105"/>
      <c r="CT129" s="105"/>
      <c r="CU129" s="40"/>
      <c r="CV129" s="65" t="str">
        <f t="shared" si="339"/>
        <v/>
      </c>
      <c r="CW129" s="67" t="str">
        <f t="shared" si="340"/>
        <v/>
      </c>
      <c r="CX129" s="67" t="str">
        <f t="shared" si="343"/>
        <v/>
      </c>
      <c r="CY129" s="67" t="str">
        <f t="shared" si="344"/>
        <v/>
      </c>
    </row>
    <row r="130" spans="13:103" s="38" customFormat="1" ht="15" hidden="1" customHeight="1" x14ac:dyDescent="0.2">
      <c r="M130" s="82" t="str">
        <f t="shared" si="341"/>
        <v/>
      </c>
      <c r="N130" s="130"/>
      <c r="O130" s="130"/>
      <c r="P130" s="130"/>
      <c r="Q130" s="130"/>
      <c r="R130" s="130"/>
      <c r="S130" s="130"/>
      <c r="T130" s="130"/>
      <c r="U130" s="130"/>
      <c r="V130" s="130"/>
      <c r="W130" s="130"/>
      <c r="X130" s="130"/>
      <c r="Y130" s="130"/>
      <c r="Z130" s="57" t="str">
        <f t="shared" si="335"/>
        <v/>
      </c>
      <c r="AA130" s="105"/>
      <c r="AB130" s="105"/>
      <c r="AC130" s="105"/>
      <c r="AD130" s="105"/>
      <c r="AE130" s="105"/>
      <c r="AF130" s="105"/>
      <c r="AG130" s="105"/>
      <c r="AH130" s="105"/>
      <c r="AI130" s="105"/>
      <c r="AJ130" s="105"/>
      <c r="AK130" s="105"/>
      <c r="AL130" s="105"/>
      <c r="AM130" s="105"/>
      <c r="AN130" s="105"/>
      <c r="AP130" s="65" t="str">
        <f t="shared" si="336"/>
        <v/>
      </c>
      <c r="AQ130" s="130"/>
      <c r="AR130" s="130"/>
      <c r="AS130" s="130"/>
      <c r="AT130" s="130"/>
      <c r="AU130" s="130"/>
      <c r="AV130" s="130"/>
      <c r="AW130" s="130"/>
      <c r="AX130" s="130"/>
      <c r="AY130" s="130"/>
      <c r="AZ130" s="130"/>
      <c r="BA130" s="130"/>
      <c r="BB130" s="130"/>
      <c r="BC130" s="57" t="str">
        <f t="shared" si="342"/>
        <v/>
      </c>
      <c r="BD130" s="105"/>
      <c r="BE130" s="105"/>
      <c r="BF130" s="105"/>
      <c r="BG130" s="105"/>
      <c r="BH130" s="105"/>
      <c r="BI130" s="105"/>
      <c r="BJ130" s="105"/>
      <c r="BK130" s="105"/>
      <c r="BL130" s="105"/>
      <c r="BM130" s="105"/>
      <c r="BN130" s="105"/>
      <c r="BO130" s="105"/>
      <c r="BP130" s="105"/>
      <c r="BQ130" s="105"/>
      <c r="BS130" s="65" t="str">
        <f t="shared" si="337"/>
        <v/>
      </c>
      <c r="BT130" s="130"/>
      <c r="BU130" s="130"/>
      <c r="BV130" s="130"/>
      <c r="BW130" s="130"/>
      <c r="BX130" s="130"/>
      <c r="BY130" s="130"/>
      <c r="BZ130" s="130"/>
      <c r="CA130" s="130"/>
      <c r="CB130" s="130"/>
      <c r="CC130" s="130"/>
      <c r="CD130" s="130"/>
      <c r="CE130" s="130"/>
      <c r="CF130" s="57" t="str">
        <f t="shared" si="338"/>
        <v/>
      </c>
      <c r="CG130" s="105"/>
      <c r="CH130" s="105"/>
      <c r="CI130" s="105"/>
      <c r="CJ130" s="105"/>
      <c r="CK130" s="105"/>
      <c r="CL130" s="105"/>
      <c r="CM130" s="105"/>
      <c r="CN130" s="105"/>
      <c r="CO130" s="105"/>
      <c r="CP130" s="105"/>
      <c r="CQ130" s="105"/>
      <c r="CR130" s="105"/>
      <c r="CS130" s="105"/>
      <c r="CT130" s="105"/>
      <c r="CU130" s="40"/>
      <c r="CV130" s="65" t="str">
        <f t="shared" si="339"/>
        <v/>
      </c>
      <c r="CW130" s="67" t="str">
        <f t="shared" si="340"/>
        <v/>
      </c>
      <c r="CX130" s="67" t="str">
        <f t="shared" si="343"/>
        <v/>
      </c>
      <c r="CY130" s="67" t="str">
        <f t="shared" si="344"/>
        <v/>
      </c>
    </row>
    <row r="131" spans="13:103" s="38" customFormat="1" ht="15" hidden="1" customHeight="1" x14ac:dyDescent="0.2">
      <c r="M131" s="82" t="str">
        <f t="shared" si="341"/>
        <v/>
      </c>
      <c r="N131" s="130"/>
      <c r="O131" s="130"/>
      <c r="P131" s="130"/>
      <c r="Q131" s="130"/>
      <c r="R131" s="130"/>
      <c r="S131" s="130"/>
      <c r="T131" s="130"/>
      <c r="U131" s="130"/>
      <c r="V131" s="130"/>
      <c r="W131" s="130"/>
      <c r="X131" s="130"/>
      <c r="Y131" s="130"/>
      <c r="Z131" s="57" t="str">
        <f t="shared" si="335"/>
        <v/>
      </c>
      <c r="AA131" s="105"/>
      <c r="AB131" s="105"/>
      <c r="AC131" s="105"/>
      <c r="AD131" s="105"/>
      <c r="AE131" s="105"/>
      <c r="AF131" s="105"/>
      <c r="AG131" s="105"/>
      <c r="AH131" s="105"/>
      <c r="AI131" s="105"/>
      <c r="AJ131" s="105"/>
      <c r="AK131" s="105"/>
      <c r="AL131" s="105"/>
      <c r="AM131" s="105"/>
      <c r="AN131" s="105"/>
      <c r="AP131" s="65" t="str">
        <f t="shared" si="336"/>
        <v/>
      </c>
      <c r="AQ131" s="130"/>
      <c r="AR131" s="130"/>
      <c r="AS131" s="130"/>
      <c r="AT131" s="130"/>
      <c r="AU131" s="130"/>
      <c r="AV131" s="130"/>
      <c r="AW131" s="130"/>
      <c r="AX131" s="130"/>
      <c r="AY131" s="130"/>
      <c r="AZ131" s="130"/>
      <c r="BA131" s="130"/>
      <c r="BB131" s="130"/>
      <c r="BC131" s="57" t="str">
        <f t="shared" si="342"/>
        <v/>
      </c>
      <c r="BD131" s="105"/>
      <c r="BE131" s="105"/>
      <c r="BF131" s="105"/>
      <c r="BG131" s="105"/>
      <c r="BH131" s="105"/>
      <c r="BI131" s="105"/>
      <c r="BJ131" s="105"/>
      <c r="BK131" s="105"/>
      <c r="BL131" s="105"/>
      <c r="BM131" s="105"/>
      <c r="BN131" s="105"/>
      <c r="BO131" s="105"/>
      <c r="BP131" s="105"/>
      <c r="BQ131" s="105"/>
      <c r="BS131" s="65" t="str">
        <f t="shared" si="337"/>
        <v/>
      </c>
      <c r="BT131" s="130"/>
      <c r="BU131" s="130"/>
      <c r="BV131" s="130"/>
      <c r="BW131" s="130"/>
      <c r="BX131" s="130"/>
      <c r="BY131" s="130"/>
      <c r="BZ131" s="130"/>
      <c r="CA131" s="130"/>
      <c r="CB131" s="130"/>
      <c r="CC131" s="130"/>
      <c r="CD131" s="130"/>
      <c r="CE131" s="130"/>
      <c r="CF131" s="57" t="str">
        <f t="shared" si="338"/>
        <v/>
      </c>
      <c r="CG131" s="105"/>
      <c r="CH131" s="105"/>
      <c r="CI131" s="105"/>
      <c r="CJ131" s="105"/>
      <c r="CK131" s="105"/>
      <c r="CL131" s="105"/>
      <c r="CM131" s="105"/>
      <c r="CN131" s="105"/>
      <c r="CO131" s="105"/>
      <c r="CP131" s="105"/>
      <c r="CQ131" s="105"/>
      <c r="CR131" s="105"/>
      <c r="CS131" s="105"/>
      <c r="CT131" s="105"/>
      <c r="CU131" s="40"/>
      <c r="CV131" s="65" t="str">
        <f t="shared" si="339"/>
        <v/>
      </c>
      <c r="CW131" s="67" t="str">
        <f t="shared" si="340"/>
        <v/>
      </c>
      <c r="CX131" s="67" t="str">
        <f t="shared" si="343"/>
        <v/>
      </c>
      <c r="CY131" s="67" t="str">
        <f t="shared" si="344"/>
        <v/>
      </c>
    </row>
    <row r="132" spans="13:103" s="38" customFormat="1" ht="15" hidden="1" customHeight="1" x14ac:dyDescent="0.2">
      <c r="M132" s="82" t="str">
        <f t="shared" si="341"/>
        <v/>
      </c>
      <c r="N132" s="130"/>
      <c r="O132" s="130"/>
      <c r="P132" s="130"/>
      <c r="Q132" s="130"/>
      <c r="R132" s="130"/>
      <c r="S132" s="130"/>
      <c r="T132" s="130"/>
      <c r="U132" s="130"/>
      <c r="V132" s="130"/>
      <c r="W132" s="130"/>
      <c r="X132" s="130"/>
      <c r="Y132" s="130"/>
      <c r="Z132" s="57" t="str">
        <f t="shared" si="335"/>
        <v/>
      </c>
      <c r="AA132" s="105"/>
      <c r="AB132" s="105"/>
      <c r="AC132" s="105"/>
      <c r="AD132" s="105"/>
      <c r="AE132" s="105"/>
      <c r="AF132" s="105"/>
      <c r="AG132" s="105"/>
      <c r="AH132" s="105"/>
      <c r="AI132" s="105"/>
      <c r="AJ132" s="105"/>
      <c r="AK132" s="105"/>
      <c r="AL132" s="105"/>
      <c r="AM132" s="105"/>
      <c r="AN132" s="105"/>
      <c r="AP132" s="65" t="str">
        <f t="shared" si="336"/>
        <v/>
      </c>
      <c r="AQ132" s="130"/>
      <c r="AR132" s="130"/>
      <c r="AS132" s="130"/>
      <c r="AT132" s="130"/>
      <c r="AU132" s="130"/>
      <c r="AV132" s="130"/>
      <c r="AW132" s="130"/>
      <c r="AX132" s="130"/>
      <c r="AY132" s="130"/>
      <c r="AZ132" s="130"/>
      <c r="BA132" s="130"/>
      <c r="BB132" s="130"/>
      <c r="BC132" s="57" t="str">
        <f t="shared" si="342"/>
        <v/>
      </c>
      <c r="BD132" s="105"/>
      <c r="BE132" s="105"/>
      <c r="BF132" s="105"/>
      <c r="BG132" s="105"/>
      <c r="BH132" s="105"/>
      <c r="BI132" s="105"/>
      <c r="BJ132" s="105"/>
      <c r="BK132" s="105"/>
      <c r="BL132" s="105"/>
      <c r="BM132" s="105"/>
      <c r="BN132" s="105"/>
      <c r="BO132" s="105"/>
      <c r="BP132" s="105"/>
      <c r="BQ132" s="105"/>
      <c r="BS132" s="65" t="str">
        <f t="shared" si="337"/>
        <v/>
      </c>
      <c r="BT132" s="130"/>
      <c r="BU132" s="130"/>
      <c r="BV132" s="130"/>
      <c r="BW132" s="130"/>
      <c r="BX132" s="130"/>
      <c r="BY132" s="130"/>
      <c r="BZ132" s="130"/>
      <c r="CA132" s="130"/>
      <c r="CB132" s="130"/>
      <c r="CC132" s="130"/>
      <c r="CD132" s="130"/>
      <c r="CE132" s="130"/>
      <c r="CF132" s="57" t="str">
        <f t="shared" si="338"/>
        <v/>
      </c>
      <c r="CG132" s="105"/>
      <c r="CH132" s="105"/>
      <c r="CI132" s="105"/>
      <c r="CJ132" s="105"/>
      <c r="CK132" s="105"/>
      <c r="CL132" s="105"/>
      <c r="CM132" s="105"/>
      <c r="CN132" s="105"/>
      <c r="CO132" s="105"/>
      <c r="CP132" s="105"/>
      <c r="CQ132" s="105"/>
      <c r="CR132" s="105"/>
      <c r="CS132" s="105"/>
      <c r="CT132" s="105"/>
      <c r="CU132" s="40"/>
      <c r="CV132" s="65" t="str">
        <f t="shared" si="339"/>
        <v/>
      </c>
      <c r="CW132" s="67" t="str">
        <f t="shared" ref="CW132:CW140" si="345">IFERROR(IF(CV132="","",BC132-Z132),"")</f>
        <v/>
      </c>
      <c r="CX132" s="67" t="str">
        <f t="shared" si="343"/>
        <v/>
      </c>
      <c r="CY132" s="67" t="str">
        <f t="shared" si="344"/>
        <v/>
      </c>
    </row>
    <row r="133" spans="13:103" s="38" customFormat="1" ht="15" hidden="1" customHeight="1" x14ac:dyDescent="0.2">
      <c r="M133" s="82" t="str">
        <f t="shared" si="341"/>
        <v/>
      </c>
      <c r="N133" s="130"/>
      <c r="O133" s="130"/>
      <c r="P133" s="130"/>
      <c r="Q133" s="130"/>
      <c r="R133" s="130"/>
      <c r="S133" s="130"/>
      <c r="T133" s="130"/>
      <c r="U133" s="130"/>
      <c r="V133" s="130"/>
      <c r="W133" s="130"/>
      <c r="X133" s="130"/>
      <c r="Y133" s="130"/>
      <c r="Z133" s="57" t="str">
        <f t="shared" si="335"/>
        <v/>
      </c>
      <c r="AA133" s="105"/>
      <c r="AB133" s="105"/>
      <c r="AC133" s="105"/>
      <c r="AD133" s="105"/>
      <c r="AE133" s="105"/>
      <c r="AF133" s="105"/>
      <c r="AG133" s="105"/>
      <c r="AH133" s="105"/>
      <c r="AI133" s="105"/>
      <c r="AJ133" s="105"/>
      <c r="AK133" s="105"/>
      <c r="AL133" s="105"/>
      <c r="AM133" s="105"/>
      <c r="AN133" s="105"/>
      <c r="AP133" s="65" t="str">
        <f t="shared" si="336"/>
        <v/>
      </c>
      <c r="AQ133" s="130"/>
      <c r="AR133" s="130"/>
      <c r="AS133" s="130"/>
      <c r="AT133" s="130"/>
      <c r="AU133" s="130"/>
      <c r="AV133" s="130"/>
      <c r="AW133" s="130"/>
      <c r="AX133" s="130"/>
      <c r="AY133" s="130"/>
      <c r="AZ133" s="130"/>
      <c r="BA133" s="130"/>
      <c r="BB133" s="130"/>
      <c r="BC133" s="57" t="str">
        <f t="shared" si="342"/>
        <v/>
      </c>
      <c r="BD133" s="105"/>
      <c r="BE133" s="105"/>
      <c r="BF133" s="105"/>
      <c r="BG133" s="105"/>
      <c r="BH133" s="105"/>
      <c r="BI133" s="105"/>
      <c r="BJ133" s="105"/>
      <c r="BK133" s="105"/>
      <c r="BL133" s="105"/>
      <c r="BM133" s="105"/>
      <c r="BN133" s="105"/>
      <c r="BO133" s="105"/>
      <c r="BP133" s="105"/>
      <c r="BQ133" s="105"/>
      <c r="BS133" s="65" t="str">
        <f t="shared" si="337"/>
        <v/>
      </c>
      <c r="BT133" s="130"/>
      <c r="BU133" s="130"/>
      <c r="BV133" s="130"/>
      <c r="BW133" s="130"/>
      <c r="BX133" s="130"/>
      <c r="BY133" s="130"/>
      <c r="BZ133" s="130"/>
      <c r="CA133" s="130"/>
      <c r="CB133" s="130"/>
      <c r="CC133" s="130"/>
      <c r="CD133" s="130"/>
      <c r="CE133" s="130"/>
      <c r="CF133" s="57" t="str">
        <f t="shared" si="338"/>
        <v/>
      </c>
      <c r="CG133" s="105"/>
      <c r="CH133" s="105"/>
      <c r="CI133" s="105"/>
      <c r="CJ133" s="105"/>
      <c r="CK133" s="105"/>
      <c r="CL133" s="105"/>
      <c r="CM133" s="105"/>
      <c r="CN133" s="105"/>
      <c r="CO133" s="105"/>
      <c r="CP133" s="105"/>
      <c r="CQ133" s="105"/>
      <c r="CR133" s="105"/>
      <c r="CS133" s="105"/>
      <c r="CT133" s="105"/>
      <c r="CU133" s="40"/>
      <c r="CV133" s="65" t="str">
        <f t="shared" si="339"/>
        <v/>
      </c>
      <c r="CW133" s="67" t="str">
        <f t="shared" si="345"/>
        <v/>
      </c>
      <c r="CX133" s="67" t="str">
        <f t="shared" si="343"/>
        <v/>
      </c>
      <c r="CY133" s="67" t="str">
        <f t="shared" si="344"/>
        <v/>
      </c>
    </row>
    <row r="134" spans="13:103" s="38" customFormat="1" ht="15" hidden="1" customHeight="1" x14ac:dyDescent="0.2">
      <c r="M134" s="82" t="str">
        <f t="shared" si="341"/>
        <v/>
      </c>
      <c r="N134" s="130"/>
      <c r="O134" s="130"/>
      <c r="P134" s="130"/>
      <c r="Q134" s="130"/>
      <c r="R134" s="130"/>
      <c r="S134" s="130"/>
      <c r="T134" s="130"/>
      <c r="U134" s="130"/>
      <c r="V134" s="130"/>
      <c r="W134" s="130"/>
      <c r="X134" s="130"/>
      <c r="Y134" s="130"/>
      <c r="Z134" s="57" t="str">
        <f t="shared" si="335"/>
        <v/>
      </c>
      <c r="AA134" s="105"/>
      <c r="AB134" s="105"/>
      <c r="AC134" s="105"/>
      <c r="AD134" s="105"/>
      <c r="AE134" s="105"/>
      <c r="AF134" s="105"/>
      <c r="AG134" s="105"/>
      <c r="AH134" s="105"/>
      <c r="AI134" s="105"/>
      <c r="AJ134" s="105"/>
      <c r="AK134" s="105"/>
      <c r="AL134" s="105"/>
      <c r="AM134" s="105"/>
      <c r="AN134" s="105"/>
      <c r="AP134" s="65" t="str">
        <f t="shared" si="336"/>
        <v/>
      </c>
      <c r="AQ134" s="130"/>
      <c r="AR134" s="130"/>
      <c r="AS134" s="130"/>
      <c r="AT134" s="130"/>
      <c r="AU134" s="130"/>
      <c r="AV134" s="130"/>
      <c r="AW134" s="130"/>
      <c r="AX134" s="130"/>
      <c r="AY134" s="130"/>
      <c r="AZ134" s="130"/>
      <c r="BA134" s="130"/>
      <c r="BB134" s="130"/>
      <c r="BC134" s="57" t="str">
        <f t="shared" si="342"/>
        <v/>
      </c>
      <c r="BD134" s="105"/>
      <c r="BE134" s="105"/>
      <c r="BF134" s="105"/>
      <c r="BG134" s="105"/>
      <c r="BH134" s="105"/>
      <c r="BI134" s="105"/>
      <c r="BJ134" s="105"/>
      <c r="BK134" s="105"/>
      <c r="BL134" s="105"/>
      <c r="BM134" s="105"/>
      <c r="BN134" s="105"/>
      <c r="BO134" s="105"/>
      <c r="BP134" s="105"/>
      <c r="BQ134" s="105"/>
      <c r="BS134" s="65" t="str">
        <f t="shared" si="337"/>
        <v/>
      </c>
      <c r="BT134" s="130"/>
      <c r="BU134" s="130"/>
      <c r="BV134" s="130"/>
      <c r="BW134" s="130"/>
      <c r="BX134" s="130"/>
      <c r="BY134" s="130"/>
      <c r="BZ134" s="130"/>
      <c r="CA134" s="130"/>
      <c r="CB134" s="130"/>
      <c r="CC134" s="130"/>
      <c r="CD134" s="130"/>
      <c r="CE134" s="130"/>
      <c r="CF134" s="57" t="str">
        <f t="shared" si="338"/>
        <v/>
      </c>
      <c r="CG134" s="105"/>
      <c r="CH134" s="105"/>
      <c r="CI134" s="105"/>
      <c r="CJ134" s="105"/>
      <c r="CK134" s="105"/>
      <c r="CL134" s="105"/>
      <c r="CM134" s="105"/>
      <c r="CN134" s="105"/>
      <c r="CO134" s="105"/>
      <c r="CP134" s="105"/>
      <c r="CQ134" s="105"/>
      <c r="CR134" s="105"/>
      <c r="CS134" s="105"/>
      <c r="CT134" s="105"/>
      <c r="CU134" s="40"/>
      <c r="CV134" s="65" t="str">
        <f t="shared" si="339"/>
        <v/>
      </c>
      <c r="CW134" s="67" t="str">
        <f t="shared" si="345"/>
        <v/>
      </c>
      <c r="CX134" s="67" t="str">
        <f t="shared" si="343"/>
        <v/>
      </c>
      <c r="CY134" s="67" t="str">
        <f t="shared" si="344"/>
        <v/>
      </c>
    </row>
    <row r="135" spans="13:103" s="38" customFormat="1" ht="15" hidden="1" customHeight="1" x14ac:dyDescent="0.2">
      <c r="M135" s="82" t="str">
        <f t="shared" si="341"/>
        <v/>
      </c>
      <c r="N135" s="130"/>
      <c r="O135" s="130"/>
      <c r="P135" s="130"/>
      <c r="Q135" s="130"/>
      <c r="R135" s="130"/>
      <c r="S135" s="130"/>
      <c r="T135" s="130"/>
      <c r="U135" s="130"/>
      <c r="V135" s="130"/>
      <c r="W135" s="130"/>
      <c r="X135" s="130"/>
      <c r="Y135" s="130"/>
      <c r="Z135" s="57" t="str">
        <f t="shared" si="335"/>
        <v/>
      </c>
      <c r="AA135" s="105"/>
      <c r="AB135" s="105"/>
      <c r="AC135" s="105"/>
      <c r="AD135" s="105"/>
      <c r="AE135" s="105"/>
      <c r="AF135" s="105"/>
      <c r="AG135" s="105"/>
      <c r="AH135" s="105"/>
      <c r="AI135" s="105"/>
      <c r="AJ135" s="105"/>
      <c r="AK135" s="105"/>
      <c r="AL135" s="105"/>
      <c r="AM135" s="105"/>
      <c r="AN135" s="105"/>
      <c r="AP135" s="65" t="str">
        <f t="shared" si="336"/>
        <v/>
      </c>
      <c r="AQ135" s="130"/>
      <c r="AR135" s="130"/>
      <c r="AS135" s="130"/>
      <c r="AT135" s="130"/>
      <c r="AU135" s="130"/>
      <c r="AV135" s="130"/>
      <c r="AW135" s="130"/>
      <c r="AX135" s="130"/>
      <c r="AY135" s="130"/>
      <c r="AZ135" s="130"/>
      <c r="BA135" s="130"/>
      <c r="BB135" s="130"/>
      <c r="BC135" s="57" t="str">
        <f t="shared" si="342"/>
        <v/>
      </c>
      <c r="BD135" s="105"/>
      <c r="BE135" s="105"/>
      <c r="BF135" s="105"/>
      <c r="BG135" s="105"/>
      <c r="BH135" s="105"/>
      <c r="BI135" s="105"/>
      <c r="BJ135" s="105"/>
      <c r="BK135" s="105"/>
      <c r="BL135" s="105"/>
      <c r="BM135" s="105"/>
      <c r="BN135" s="105"/>
      <c r="BO135" s="105"/>
      <c r="BP135" s="105"/>
      <c r="BQ135" s="105"/>
      <c r="BS135" s="65" t="str">
        <f t="shared" si="337"/>
        <v/>
      </c>
      <c r="BT135" s="130"/>
      <c r="BU135" s="130"/>
      <c r="BV135" s="130"/>
      <c r="BW135" s="130"/>
      <c r="BX135" s="130"/>
      <c r="BY135" s="130"/>
      <c r="BZ135" s="130"/>
      <c r="CA135" s="130"/>
      <c r="CB135" s="130"/>
      <c r="CC135" s="130"/>
      <c r="CD135" s="130"/>
      <c r="CE135" s="130"/>
      <c r="CF135" s="57" t="str">
        <f t="shared" si="338"/>
        <v/>
      </c>
      <c r="CG135" s="105"/>
      <c r="CH135" s="105"/>
      <c r="CI135" s="105"/>
      <c r="CJ135" s="105"/>
      <c r="CK135" s="105"/>
      <c r="CL135" s="105"/>
      <c r="CM135" s="105"/>
      <c r="CN135" s="105"/>
      <c r="CO135" s="105"/>
      <c r="CP135" s="105"/>
      <c r="CQ135" s="105"/>
      <c r="CR135" s="105"/>
      <c r="CS135" s="105"/>
      <c r="CT135" s="105"/>
      <c r="CU135" s="40"/>
      <c r="CV135" s="65" t="str">
        <f t="shared" si="339"/>
        <v/>
      </c>
      <c r="CW135" s="67" t="str">
        <f t="shared" si="345"/>
        <v/>
      </c>
      <c r="CX135" s="67" t="str">
        <f t="shared" si="343"/>
        <v/>
      </c>
      <c r="CY135" s="67" t="str">
        <f t="shared" si="344"/>
        <v/>
      </c>
    </row>
    <row r="136" spans="13:103" s="38" customFormat="1" ht="15" hidden="1" customHeight="1" x14ac:dyDescent="0.2">
      <c r="M136" s="82" t="str">
        <f t="shared" si="341"/>
        <v/>
      </c>
      <c r="N136" s="130"/>
      <c r="O136" s="130"/>
      <c r="P136" s="130"/>
      <c r="Q136" s="130"/>
      <c r="R136" s="130"/>
      <c r="S136" s="130"/>
      <c r="T136" s="130"/>
      <c r="U136" s="130"/>
      <c r="V136" s="130"/>
      <c r="W136" s="130"/>
      <c r="X136" s="130"/>
      <c r="Y136" s="130"/>
      <c r="Z136" s="57" t="str">
        <f t="shared" si="335"/>
        <v/>
      </c>
      <c r="AA136" s="105"/>
      <c r="AB136" s="105"/>
      <c r="AC136" s="105"/>
      <c r="AD136" s="105"/>
      <c r="AE136" s="105"/>
      <c r="AF136" s="105"/>
      <c r="AG136" s="105"/>
      <c r="AH136" s="105"/>
      <c r="AI136" s="105"/>
      <c r="AJ136" s="105"/>
      <c r="AK136" s="105"/>
      <c r="AL136" s="105"/>
      <c r="AM136" s="105"/>
      <c r="AN136" s="105"/>
      <c r="AP136" s="65" t="str">
        <f t="shared" si="336"/>
        <v/>
      </c>
      <c r="AQ136" s="130"/>
      <c r="AR136" s="130"/>
      <c r="AS136" s="130"/>
      <c r="AT136" s="130"/>
      <c r="AU136" s="130"/>
      <c r="AV136" s="130"/>
      <c r="AW136" s="130"/>
      <c r="AX136" s="130"/>
      <c r="AY136" s="130"/>
      <c r="AZ136" s="130"/>
      <c r="BA136" s="130"/>
      <c r="BB136" s="130"/>
      <c r="BC136" s="57" t="str">
        <f t="shared" si="342"/>
        <v/>
      </c>
      <c r="BD136" s="105"/>
      <c r="BE136" s="105"/>
      <c r="BF136" s="105"/>
      <c r="BG136" s="105"/>
      <c r="BH136" s="105"/>
      <c r="BI136" s="105"/>
      <c r="BJ136" s="105"/>
      <c r="BK136" s="105"/>
      <c r="BL136" s="105"/>
      <c r="BM136" s="105"/>
      <c r="BN136" s="105"/>
      <c r="BO136" s="105"/>
      <c r="BP136" s="105"/>
      <c r="BQ136" s="105"/>
      <c r="BS136" s="65" t="str">
        <f t="shared" si="337"/>
        <v/>
      </c>
      <c r="BT136" s="130"/>
      <c r="BU136" s="130"/>
      <c r="BV136" s="130"/>
      <c r="BW136" s="130"/>
      <c r="BX136" s="130"/>
      <c r="BY136" s="130"/>
      <c r="BZ136" s="130"/>
      <c r="CA136" s="130"/>
      <c r="CB136" s="130"/>
      <c r="CC136" s="130"/>
      <c r="CD136" s="130"/>
      <c r="CE136" s="130"/>
      <c r="CF136" s="57" t="str">
        <f t="shared" si="338"/>
        <v/>
      </c>
      <c r="CG136" s="105"/>
      <c r="CH136" s="105"/>
      <c r="CI136" s="105"/>
      <c r="CJ136" s="105"/>
      <c r="CK136" s="105"/>
      <c r="CL136" s="105"/>
      <c r="CM136" s="105"/>
      <c r="CN136" s="105"/>
      <c r="CO136" s="105"/>
      <c r="CP136" s="105"/>
      <c r="CQ136" s="105"/>
      <c r="CR136" s="105"/>
      <c r="CS136" s="105"/>
      <c r="CT136" s="105"/>
      <c r="CU136" s="40"/>
      <c r="CV136" s="65" t="str">
        <f t="shared" si="339"/>
        <v/>
      </c>
      <c r="CW136" s="67" t="str">
        <f t="shared" si="345"/>
        <v/>
      </c>
      <c r="CX136" s="67" t="str">
        <f t="shared" si="343"/>
        <v/>
      </c>
      <c r="CY136" s="67" t="str">
        <f t="shared" si="344"/>
        <v/>
      </c>
    </row>
    <row r="137" spans="13:103" s="38" customFormat="1" ht="15" hidden="1" customHeight="1" x14ac:dyDescent="0.2">
      <c r="M137" s="82" t="str">
        <f t="shared" si="341"/>
        <v/>
      </c>
      <c r="N137" s="130"/>
      <c r="O137" s="130"/>
      <c r="P137" s="130"/>
      <c r="Q137" s="130"/>
      <c r="R137" s="130"/>
      <c r="S137" s="130"/>
      <c r="T137" s="130"/>
      <c r="U137" s="130"/>
      <c r="V137" s="130"/>
      <c r="W137" s="130"/>
      <c r="X137" s="130"/>
      <c r="Y137" s="130"/>
      <c r="Z137" s="57" t="str">
        <f t="shared" si="335"/>
        <v/>
      </c>
      <c r="AA137" s="105"/>
      <c r="AB137" s="105"/>
      <c r="AC137" s="105"/>
      <c r="AD137" s="105"/>
      <c r="AE137" s="105"/>
      <c r="AF137" s="105"/>
      <c r="AG137" s="105"/>
      <c r="AH137" s="105"/>
      <c r="AI137" s="105"/>
      <c r="AJ137" s="105"/>
      <c r="AK137" s="105"/>
      <c r="AL137" s="105"/>
      <c r="AM137" s="105"/>
      <c r="AN137" s="105"/>
      <c r="AP137" s="65" t="str">
        <f t="shared" si="336"/>
        <v/>
      </c>
      <c r="AQ137" s="130"/>
      <c r="AR137" s="130"/>
      <c r="AS137" s="130"/>
      <c r="AT137" s="130"/>
      <c r="AU137" s="130"/>
      <c r="AV137" s="130"/>
      <c r="AW137" s="130"/>
      <c r="AX137" s="130"/>
      <c r="AY137" s="130"/>
      <c r="AZ137" s="130"/>
      <c r="BA137" s="130"/>
      <c r="BB137" s="130"/>
      <c r="BC137" s="57" t="str">
        <f t="shared" si="342"/>
        <v/>
      </c>
      <c r="BD137" s="105"/>
      <c r="BE137" s="105"/>
      <c r="BF137" s="105"/>
      <c r="BG137" s="105"/>
      <c r="BH137" s="105"/>
      <c r="BI137" s="105"/>
      <c r="BJ137" s="105"/>
      <c r="BK137" s="105"/>
      <c r="BL137" s="105"/>
      <c r="BM137" s="105"/>
      <c r="BN137" s="105"/>
      <c r="BO137" s="105"/>
      <c r="BP137" s="105"/>
      <c r="BQ137" s="105"/>
      <c r="BS137" s="65" t="str">
        <f t="shared" si="337"/>
        <v/>
      </c>
      <c r="BT137" s="130"/>
      <c r="BU137" s="130"/>
      <c r="BV137" s="130"/>
      <c r="BW137" s="130"/>
      <c r="BX137" s="130"/>
      <c r="BY137" s="130"/>
      <c r="BZ137" s="130"/>
      <c r="CA137" s="130"/>
      <c r="CB137" s="130"/>
      <c r="CC137" s="130"/>
      <c r="CD137" s="130"/>
      <c r="CE137" s="130"/>
      <c r="CF137" s="57" t="str">
        <f t="shared" si="338"/>
        <v/>
      </c>
      <c r="CG137" s="105"/>
      <c r="CH137" s="105"/>
      <c r="CI137" s="105"/>
      <c r="CJ137" s="105"/>
      <c r="CK137" s="105"/>
      <c r="CL137" s="105"/>
      <c r="CM137" s="105"/>
      <c r="CN137" s="105"/>
      <c r="CO137" s="105"/>
      <c r="CP137" s="105"/>
      <c r="CQ137" s="105"/>
      <c r="CR137" s="105"/>
      <c r="CS137" s="105"/>
      <c r="CT137" s="105"/>
      <c r="CU137" s="40"/>
      <c r="CV137" s="65" t="str">
        <f t="shared" si="339"/>
        <v/>
      </c>
      <c r="CW137" s="67" t="str">
        <f t="shared" si="345"/>
        <v/>
      </c>
      <c r="CX137" s="67" t="str">
        <f t="shared" si="343"/>
        <v/>
      </c>
      <c r="CY137" s="67" t="str">
        <f t="shared" si="344"/>
        <v/>
      </c>
    </row>
    <row r="138" spans="13:103" s="38" customFormat="1" ht="15" hidden="1" customHeight="1" x14ac:dyDescent="0.2">
      <c r="M138" s="82" t="str">
        <f t="shared" si="341"/>
        <v/>
      </c>
      <c r="N138" s="130"/>
      <c r="O138" s="130"/>
      <c r="P138" s="130"/>
      <c r="Q138" s="130"/>
      <c r="R138" s="130"/>
      <c r="S138" s="130"/>
      <c r="T138" s="130"/>
      <c r="U138" s="130"/>
      <c r="V138" s="130"/>
      <c r="W138" s="130"/>
      <c r="X138" s="130"/>
      <c r="Y138" s="130"/>
      <c r="Z138" s="57" t="str">
        <f t="shared" si="335"/>
        <v/>
      </c>
      <c r="AA138" s="105"/>
      <c r="AB138" s="105"/>
      <c r="AC138" s="105"/>
      <c r="AD138" s="105"/>
      <c r="AE138" s="105"/>
      <c r="AF138" s="105"/>
      <c r="AG138" s="105"/>
      <c r="AH138" s="105"/>
      <c r="AI138" s="105"/>
      <c r="AJ138" s="105"/>
      <c r="AK138" s="105"/>
      <c r="AL138" s="105"/>
      <c r="AM138" s="105"/>
      <c r="AN138" s="105"/>
      <c r="AP138" s="65" t="str">
        <f t="shared" si="336"/>
        <v/>
      </c>
      <c r="AQ138" s="130"/>
      <c r="AR138" s="130"/>
      <c r="AS138" s="130"/>
      <c r="AT138" s="130"/>
      <c r="AU138" s="130"/>
      <c r="AV138" s="130"/>
      <c r="AW138" s="130"/>
      <c r="AX138" s="130"/>
      <c r="AY138" s="130"/>
      <c r="AZ138" s="130"/>
      <c r="BA138" s="130"/>
      <c r="BB138" s="130"/>
      <c r="BC138" s="57" t="str">
        <f t="shared" si="342"/>
        <v/>
      </c>
      <c r="BD138" s="105"/>
      <c r="BE138" s="105"/>
      <c r="BF138" s="105"/>
      <c r="BG138" s="105"/>
      <c r="BH138" s="105"/>
      <c r="BI138" s="105"/>
      <c r="BJ138" s="105"/>
      <c r="BK138" s="105"/>
      <c r="BL138" s="105"/>
      <c r="BM138" s="105"/>
      <c r="BN138" s="105"/>
      <c r="BO138" s="105"/>
      <c r="BP138" s="105"/>
      <c r="BQ138" s="105"/>
      <c r="BS138" s="65" t="str">
        <f t="shared" si="337"/>
        <v/>
      </c>
      <c r="BT138" s="130"/>
      <c r="BU138" s="130"/>
      <c r="BV138" s="130"/>
      <c r="BW138" s="130"/>
      <c r="BX138" s="130"/>
      <c r="BY138" s="130"/>
      <c r="BZ138" s="130"/>
      <c r="CA138" s="130"/>
      <c r="CB138" s="130"/>
      <c r="CC138" s="130"/>
      <c r="CD138" s="130"/>
      <c r="CE138" s="130"/>
      <c r="CF138" s="57" t="str">
        <f t="shared" si="338"/>
        <v/>
      </c>
      <c r="CG138" s="105"/>
      <c r="CH138" s="105"/>
      <c r="CI138" s="105"/>
      <c r="CJ138" s="105"/>
      <c r="CK138" s="105"/>
      <c r="CL138" s="105"/>
      <c r="CM138" s="105"/>
      <c r="CN138" s="105"/>
      <c r="CO138" s="105"/>
      <c r="CP138" s="105"/>
      <c r="CQ138" s="105"/>
      <c r="CR138" s="105"/>
      <c r="CS138" s="105"/>
      <c r="CT138" s="105"/>
      <c r="CU138" s="40"/>
      <c r="CV138" s="65" t="str">
        <f t="shared" si="339"/>
        <v/>
      </c>
      <c r="CW138" s="67" t="str">
        <f t="shared" si="345"/>
        <v/>
      </c>
      <c r="CX138" s="67" t="str">
        <f t="shared" si="343"/>
        <v/>
      </c>
      <c r="CY138" s="67" t="str">
        <f t="shared" si="344"/>
        <v/>
      </c>
    </row>
    <row r="139" spans="13:103" s="38" customFormat="1" ht="15" hidden="1" customHeight="1" x14ac:dyDescent="0.2">
      <c r="M139" s="82" t="str">
        <f t="shared" si="341"/>
        <v/>
      </c>
      <c r="N139" s="130"/>
      <c r="O139" s="130"/>
      <c r="P139" s="130"/>
      <c r="Q139" s="130"/>
      <c r="R139" s="130"/>
      <c r="S139" s="130"/>
      <c r="T139" s="130"/>
      <c r="U139" s="130"/>
      <c r="V139" s="130"/>
      <c r="W139" s="130"/>
      <c r="X139" s="130"/>
      <c r="Y139" s="130"/>
      <c r="Z139" s="57" t="str">
        <f t="shared" si="335"/>
        <v/>
      </c>
      <c r="AA139" s="105"/>
      <c r="AB139" s="105"/>
      <c r="AC139" s="105"/>
      <c r="AD139" s="105"/>
      <c r="AE139" s="105"/>
      <c r="AF139" s="105"/>
      <c r="AG139" s="105"/>
      <c r="AH139" s="105"/>
      <c r="AI139" s="105"/>
      <c r="AJ139" s="105"/>
      <c r="AK139" s="105"/>
      <c r="AL139" s="105"/>
      <c r="AM139" s="105"/>
      <c r="AN139" s="105"/>
      <c r="AP139" s="65" t="str">
        <f t="shared" si="336"/>
        <v/>
      </c>
      <c r="AQ139" s="130"/>
      <c r="AR139" s="130"/>
      <c r="AS139" s="130"/>
      <c r="AT139" s="130"/>
      <c r="AU139" s="130"/>
      <c r="AV139" s="130"/>
      <c r="AW139" s="130"/>
      <c r="AX139" s="130"/>
      <c r="AY139" s="130"/>
      <c r="AZ139" s="130"/>
      <c r="BA139" s="130"/>
      <c r="BB139" s="130"/>
      <c r="BC139" s="57" t="str">
        <f t="shared" si="342"/>
        <v/>
      </c>
      <c r="BD139" s="105"/>
      <c r="BE139" s="105"/>
      <c r="BF139" s="105"/>
      <c r="BG139" s="105"/>
      <c r="BH139" s="105"/>
      <c r="BI139" s="105"/>
      <c r="BJ139" s="105"/>
      <c r="BK139" s="105"/>
      <c r="BL139" s="105"/>
      <c r="BM139" s="105"/>
      <c r="BN139" s="105"/>
      <c r="BO139" s="105"/>
      <c r="BP139" s="105"/>
      <c r="BQ139" s="105"/>
      <c r="BS139" s="65" t="str">
        <f t="shared" si="337"/>
        <v/>
      </c>
      <c r="BT139" s="130"/>
      <c r="BU139" s="130"/>
      <c r="BV139" s="130"/>
      <c r="BW139" s="130"/>
      <c r="BX139" s="130"/>
      <c r="BY139" s="130"/>
      <c r="BZ139" s="130"/>
      <c r="CA139" s="130"/>
      <c r="CB139" s="130"/>
      <c r="CC139" s="130"/>
      <c r="CD139" s="130"/>
      <c r="CE139" s="130"/>
      <c r="CF139" s="57" t="str">
        <f t="shared" si="338"/>
        <v/>
      </c>
      <c r="CG139" s="105"/>
      <c r="CH139" s="105"/>
      <c r="CI139" s="105"/>
      <c r="CJ139" s="105"/>
      <c r="CK139" s="105"/>
      <c r="CL139" s="105"/>
      <c r="CM139" s="105"/>
      <c r="CN139" s="105"/>
      <c r="CO139" s="105"/>
      <c r="CP139" s="105"/>
      <c r="CQ139" s="105"/>
      <c r="CR139" s="105"/>
      <c r="CS139" s="105"/>
      <c r="CT139" s="105"/>
      <c r="CU139" s="40"/>
      <c r="CV139" s="65" t="str">
        <f t="shared" si="339"/>
        <v/>
      </c>
      <c r="CW139" s="67" t="str">
        <f t="shared" si="345"/>
        <v/>
      </c>
      <c r="CX139" s="67" t="str">
        <f t="shared" si="343"/>
        <v/>
      </c>
      <c r="CY139" s="67" t="str">
        <f t="shared" si="344"/>
        <v/>
      </c>
    </row>
    <row r="140" spans="13:103" s="38" customFormat="1" ht="15" hidden="1" customHeight="1" x14ac:dyDescent="0.2">
      <c r="M140" s="82" t="str">
        <f t="shared" si="341"/>
        <v/>
      </c>
      <c r="N140" s="130"/>
      <c r="O140" s="130"/>
      <c r="P140" s="130"/>
      <c r="Q140" s="130"/>
      <c r="R140" s="130"/>
      <c r="S140" s="130"/>
      <c r="T140" s="130"/>
      <c r="U140" s="130"/>
      <c r="V140" s="130"/>
      <c r="W140" s="130"/>
      <c r="X140" s="130"/>
      <c r="Y140" s="130"/>
      <c r="Z140" s="57" t="str">
        <f t="shared" si="335"/>
        <v/>
      </c>
      <c r="AA140" s="105"/>
      <c r="AB140" s="105"/>
      <c r="AC140" s="105"/>
      <c r="AD140" s="105"/>
      <c r="AE140" s="105"/>
      <c r="AF140" s="105"/>
      <c r="AG140" s="105"/>
      <c r="AH140" s="105"/>
      <c r="AI140" s="105"/>
      <c r="AJ140" s="105"/>
      <c r="AK140" s="105"/>
      <c r="AL140" s="105"/>
      <c r="AM140" s="105"/>
      <c r="AN140" s="105"/>
      <c r="AP140" s="65" t="str">
        <f t="shared" si="336"/>
        <v/>
      </c>
      <c r="AQ140" s="130"/>
      <c r="AR140" s="130"/>
      <c r="AS140" s="130"/>
      <c r="AT140" s="130"/>
      <c r="AU140" s="130"/>
      <c r="AV140" s="130"/>
      <c r="AW140" s="130"/>
      <c r="AX140" s="130"/>
      <c r="AY140" s="130"/>
      <c r="AZ140" s="130"/>
      <c r="BA140" s="130"/>
      <c r="BB140" s="130"/>
      <c r="BC140" s="57" t="str">
        <f t="shared" si="342"/>
        <v/>
      </c>
      <c r="BD140" s="105"/>
      <c r="BE140" s="105"/>
      <c r="BF140" s="105"/>
      <c r="BG140" s="105"/>
      <c r="BH140" s="105"/>
      <c r="BI140" s="105"/>
      <c r="BJ140" s="105"/>
      <c r="BK140" s="105"/>
      <c r="BL140" s="105"/>
      <c r="BM140" s="105"/>
      <c r="BN140" s="105"/>
      <c r="BO140" s="105"/>
      <c r="BP140" s="105"/>
      <c r="BQ140" s="105"/>
      <c r="BS140" s="65" t="str">
        <f t="shared" si="337"/>
        <v/>
      </c>
      <c r="BT140" s="130"/>
      <c r="BU140" s="130"/>
      <c r="BV140" s="130"/>
      <c r="BW140" s="130"/>
      <c r="BX140" s="130"/>
      <c r="BY140" s="130"/>
      <c r="BZ140" s="130"/>
      <c r="CA140" s="130"/>
      <c r="CB140" s="130"/>
      <c r="CC140" s="130"/>
      <c r="CD140" s="130"/>
      <c r="CE140" s="130"/>
      <c r="CF140" s="57" t="str">
        <f t="shared" si="338"/>
        <v/>
      </c>
      <c r="CG140" s="105"/>
      <c r="CH140" s="105"/>
      <c r="CI140" s="105"/>
      <c r="CJ140" s="105"/>
      <c r="CK140" s="105"/>
      <c r="CL140" s="105"/>
      <c r="CM140" s="105"/>
      <c r="CN140" s="105"/>
      <c r="CO140" s="105"/>
      <c r="CP140" s="105"/>
      <c r="CQ140" s="105"/>
      <c r="CR140" s="105"/>
      <c r="CS140" s="105"/>
      <c r="CT140" s="105"/>
      <c r="CU140" s="40"/>
      <c r="CV140" s="65" t="str">
        <f t="shared" si="339"/>
        <v/>
      </c>
      <c r="CW140" s="67" t="str">
        <f t="shared" si="345"/>
        <v/>
      </c>
      <c r="CX140" s="67" t="str">
        <f t="shared" si="343"/>
        <v/>
      </c>
      <c r="CY140" s="67" t="str">
        <f t="shared" si="344"/>
        <v/>
      </c>
    </row>
    <row r="141" spans="13:103" s="38" customFormat="1" ht="9.6" customHeight="1" x14ac:dyDescent="0.2">
      <c r="Z141" s="40"/>
      <c r="AA141" s="103"/>
      <c r="AB141" s="103"/>
      <c r="AC141" s="103"/>
      <c r="AD141" s="103"/>
      <c r="AE141" s="103"/>
      <c r="AF141" s="103"/>
      <c r="AG141" s="103"/>
      <c r="AH141" s="103"/>
      <c r="AI141" s="103"/>
      <c r="AJ141" s="103"/>
      <c r="AK141" s="103"/>
      <c r="AL141" s="103"/>
      <c r="AM141" s="103"/>
      <c r="AN141" s="103"/>
      <c r="BC141" s="40"/>
      <c r="BD141" s="103"/>
      <c r="BE141" s="103"/>
      <c r="BF141" s="103"/>
      <c r="BG141" s="103"/>
      <c r="BH141" s="103"/>
      <c r="BI141" s="103"/>
      <c r="BJ141" s="103"/>
      <c r="BK141" s="103"/>
      <c r="BL141" s="103"/>
      <c r="BM141" s="103"/>
      <c r="BN141" s="103"/>
      <c r="BO141" s="103"/>
      <c r="BP141" s="103"/>
      <c r="BQ141" s="103"/>
      <c r="CF141" s="40"/>
      <c r="CG141" s="103"/>
      <c r="CH141" s="103"/>
      <c r="CI141" s="103"/>
      <c r="CJ141" s="103"/>
      <c r="CK141" s="103"/>
      <c r="CL141" s="103"/>
      <c r="CM141" s="103"/>
      <c r="CN141" s="103"/>
      <c r="CO141" s="103"/>
      <c r="CP141" s="103"/>
      <c r="CQ141" s="103"/>
      <c r="CR141" s="103"/>
      <c r="CS141" s="103"/>
      <c r="CT141" s="103"/>
      <c r="CW141" s="40"/>
      <c r="CX141" s="40"/>
      <c r="CY141" s="40"/>
    </row>
    <row r="142" spans="13:103" s="31" customFormat="1" ht="15" customHeight="1" x14ac:dyDescent="0.2">
      <c r="M142" s="41" t="s">
        <v>25</v>
      </c>
      <c r="N142" s="43" t="s">
        <v>27</v>
      </c>
      <c r="O142" s="38"/>
      <c r="P142" s="38"/>
      <c r="Q142" s="38"/>
      <c r="R142" s="38"/>
      <c r="S142" s="38"/>
      <c r="T142" s="38"/>
      <c r="U142" s="38"/>
      <c r="V142" s="38"/>
      <c r="W142" s="38"/>
      <c r="X142" s="38"/>
      <c r="Y142" s="38"/>
      <c r="Z142" s="42" t="s">
        <v>26</v>
      </c>
      <c r="AA142" s="104"/>
      <c r="AB142" s="104"/>
      <c r="AC142" s="104"/>
      <c r="AD142" s="104"/>
      <c r="AE142" s="104"/>
      <c r="AF142" s="104"/>
      <c r="AG142" s="104"/>
      <c r="AH142" s="104"/>
      <c r="AI142" s="104"/>
      <c r="AJ142" s="104"/>
      <c r="AK142" s="104"/>
      <c r="AL142" s="104"/>
      <c r="AM142" s="104"/>
      <c r="AN142" s="104"/>
      <c r="AP142" s="41" t="s">
        <v>25</v>
      </c>
      <c r="AQ142" s="43"/>
      <c r="AR142" s="38"/>
      <c r="AS142" s="38"/>
      <c r="AT142" s="38"/>
      <c r="AU142" s="38"/>
      <c r="AV142" s="38"/>
      <c r="AW142" s="38"/>
      <c r="AX142" s="38"/>
      <c r="AY142" s="38"/>
      <c r="AZ142" s="38"/>
      <c r="BA142" s="38"/>
      <c r="BB142" s="38"/>
      <c r="BC142" s="42" t="s">
        <v>26</v>
      </c>
      <c r="BD142" s="104"/>
      <c r="BE142" s="104"/>
      <c r="BF142" s="104"/>
      <c r="BG142" s="104"/>
      <c r="BH142" s="104"/>
      <c r="BI142" s="104"/>
      <c r="BJ142" s="104"/>
      <c r="BK142" s="104"/>
      <c r="BL142" s="104"/>
      <c r="BM142" s="104"/>
      <c r="BN142" s="104"/>
      <c r="BO142" s="104"/>
      <c r="BP142" s="104"/>
      <c r="BQ142" s="104"/>
      <c r="BS142" s="41" t="s">
        <v>25</v>
      </c>
      <c r="BT142" s="43"/>
      <c r="BU142" s="38"/>
      <c r="BV142" s="38"/>
      <c r="BW142" s="38"/>
      <c r="BX142" s="38"/>
      <c r="BY142" s="38"/>
      <c r="BZ142" s="38"/>
      <c r="CA142" s="38"/>
      <c r="CB142" s="38"/>
      <c r="CC142" s="38"/>
      <c r="CD142" s="38"/>
      <c r="CE142" s="38"/>
      <c r="CF142" s="42" t="s">
        <v>26</v>
      </c>
      <c r="CG142" s="104"/>
      <c r="CH142" s="104"/>
      <c r="CI142" s="104"/>
      <c r="CJ142" s="104"/>
      <c r="CK142" s="104"/>
      <c r="CL142" s="104"/>
      <c r="CM142" s="104"/>
      <c r="CN142" s="104"/>
      <c r="CO142" s="104"/>
      <c r="CP142" s="104"/>
      <c r="CQ142" s="104"/>
      <c r="CR142" s="104"/>
      <c r="CS142" s="104"/>
      <c r="CT142" s="104"/>
      <c r="CV142" s="41" t="s">
        <v>25</v>
      </c>
      <c r="CW142" s="40" t="s">
        <v>22</v>
      </c>
      <c r="CX142" s="40" t="s">
        <v>22</v>
      </c>
      <c r="CY142" s="40" t="s">
        <v>22</v>
      </c>
    </row>
    <row r="143" spans="13:103" s="31" customFormat="1" ht="15" customHeight="1" x14ac:dyDescent="0.2">
      <c r="M143" s="82" t="str">
        <f>IF(M7=0,"",M7)</f>
        <v>Product 1</v>
      </c>
      <c r="N143" s="77">
        <f>IF($M143="","",N34-N116)</f>
        <v>15.489999999999998</v>
      </c>
      <c r="O143" s="77">
        <f t="shared" ref="O143:Y143" si="346">IF($M143="","",O34-O116)</f>
        <v>15.489999999999998</v>
      </c>
      <c r="P143" s="77">
        <f t="shared" si="346"/>
        <v>15.489999999999998</v>
      </c>
      <c r="Q143" s="77">
        <f t="shared" si="346"/>
        <v>15.489999999999998</v>
      </c>
      <c r="R143" s="77">
        <f t="shared" si="346"/>
        <v>15.489999999999998</v>
      </c>
      <c r="S143" s="77">
        <f t="shared" si="346"/>
        <v>15.489999999999998</v>
      </c>
      <c r="T143" s="77">
        <f t="shared" si="346"/>
        <v>15.489999999999998</v>
      </c>
      <c r="U143" s="77">
        <f t="shared" si="346"/>
        <v>15.489999999999998</v>
      </c>
      <c r="V143" s="77">
        <f t="shared" si="346"/>
        <v>15.489999999999998</v>
      </c>
      <c r="W143" s="77">
        <f t="shared" si="346"/>
        <v>15.989999999999998</v>
      </c>
      <c r="X143" s="77">
        <f t="shared" si="346"/>
        <v>15.989999999999998</v>
      </c>
      <c r="Y143" s="77">
        <f t="shared" si="346"/>
        <v>15.989999999999998</v>
      </c>
      <c r="Z143" s="57">
        <f>IF($M143="","",AVERAGE(N143:Y143))</f>
        <v>15.615</v>
      </c>
      <c r="AA143" s="105"/>
      <c r="AB143" s="105"/>
      <c r="AC143" s="105"/>
      <c r="AD143" s="105"/>
      <c r="AE143" s="105"/>
      <c r="AF143" s="105"/>
      <c r="AG143" s="105"/>
      <c r="AH143" s="105"/>
      <c r="AI143" s="105"/>
      <c r="AJ143" s="105"/>
      <c r="AK143" s="105"/>
      <c r="AL143" s="105"/>
      <c r="AM143" s="105"/>
      <c r="AN143" s="105"/>
      <c r="AP143" s="65" t="str">
        <f t="shared" ref="AP143:AP167" si="347">IF(M7=0,"",M7)</f>
        <v>Product 1</v>
      </c>
      <c r="AQ143" s="77">
        <f>IF($M143="","",AQ34-AQ116)</f>
        <v>15.989999999999998</v>
      </c>
      <c r="AR143" s="77">
        <f t="shared" ref="AR143:BB143" si="348">IF($M143="","",AR34-AR116)</f>
        <v>15.989999999999998</v>
      </c>
      <c r="AS143" s="77">
        <f t="shared" si="348"/>
        <v>15.489999999999998</v>
      </c>
      <c r="AT143" s="77">
        <f t="shared" si="348"/>
        <v>15.489999999999998</v>
      </c>
      <c r="AU143" s="77">
        <f t="shared" si="348"/>
        <v>15.489999999999998</v>
      </c>
      <c r="AV143" s="77">
        <f t="shared" si="348"/>
        <v>15.989999999999998</v>
      </c>
      <c r="AW143" s="77">
        <f t="shared" si="348"/>
        <v>15.989999999999998</v>
      </c>
      <c r="AX143" s="77">
        <f t="shared" si="348"/>
        <v>15.989999999999998</v>
      </c>
      <c r="AY143" s="77">
        <f t="shared" si="348"/>
        <v>15.989999999999998</v>
      </c>
      <c r="AZ143" s="77">
        <f t="shared" si="348"/>
        <v>15.989999999999998</v>
      </c>
      <c r="BA143" s="77">
        <f t="shared" si="348"/>
        <v>16.239999999999998</v>
      </c>
      <c r="BB143" s="77">
        <f t="shared" si="348"/>
        <v>16.239999999999998</v>
      </c>
      <c r="BC143" s="57">
        <f>IF($M143="","",AVERAGE(AQ143:BB143))</f>
        <v>15.906666666666666</v>
      </c>
      <c r="BD143" s="105"/>
      <c r="BE143" s="105"/>
      <c r="BF143" s="105"/>
      <c r="BG143" s="105"/>
      <c r="BH143" s="105"/>
      <c r="BI143" s="105"/>
      <c r="BJ143" s="105"/>
      <c r="BK143" s="105"/>
      <c r="BL143" s="105"/>
      <c r="BM143" s="105"/>
      <c r="BN143" s="105"/>
      <c r="BO143" s="105"/>
      <c r="BP143" s="105"/>
      <c r="BQ143" s="105"/>
      <c r="BS143" s="65" t="str">
        <f t="shared" ref="BS143:BS167" si="349">IF(M7=0,"",M7)</f>
        <v>Product 1</v>
      </c>
      <c r="BT143" s="77">
        <f>IF($M143="","",BT34-BT116)</f>
        <v>16.239999999999998</v>
      </c>
      <c r="BU143" s="77">
        <f t="shared" ref="BU143:CE143" si="350">IF($M143="","",BU34-BU116)</f>
        <v>16.239999999999998</v>
      </c>
      <c r="BV143" s="77">
        <f t="shared" si="350"/>
        <v>15.989999999999998</v>
      </c>
      <c r="BW143" s="77">
        <f t="shared" si="350"/>
        <v>15.989999999999998</v>
      </c>
      <c r="BX143" s="77">
        <f t="shared" si="350"/>
        <v>15.989999999999998</v>
      </c>
      <c r="BY143" s="77">
        <f t="shared" si="350"/>
        <v>16.239999999999998</v>
      </c>
      <c r="BZ143" s="77">
        <f t="shared" si="350"/>
        <v>16.239999999999998</v>
      </c>
      <c r="CA143" s="77">
        <f t="shared" si="350"/>
        <v>16.239999999999998</v>
      </c>
      <c r="CB143" s="77">
        <f t="shared" si="350"/>
        <v>16.239999999999998</v>
      </c>
      <c r="CC143" s="77">
        <f t="shared" si="350"/>
        <v>16.489999999999998</v>
      </c>
      <c r="CD143" s="77">
        <f t="shared" si="350"/>
        <v>16.489999999999998</v>
      </c>
      <c r="CE143" s="77">
        <f t="shared" si="350"/>
        <v>16.489999999999998</v>
      </c>
      <c r="CF143" s="57">
        <f>IF($M143="","",AVERAGE(BT143:CE143))</f>
        <v>16.240000000000002</v>
      </c>
      <c r="CG143" s="105"/>
      <c r="CH143" s="105"/>
      <c r="CI143" s="105"/>
      <c r="CJ143" s="105"/>
      <c r="CK143" s="105"/>
      <c r="CL143" s="105"/>
      <c r="CM143" s="105"/>
      <c r="CN143" s="105"/>
      <c r="CO143" s="105"/>
      <c r="CP143" s="105"/>
      <c r="CQ143" s="105"/>
      <c r="CR143" s="105"/>
      <c r="CS143" s="105"/>
      <c r="CT143" s="105"/>
      <c r="CV143" s="65" t="str">
        <f t="shared" ref="CV143:CV167" si="351">IF(M7=0,"",M7)</f>
        <v>Product 1</v>
      </c>
      <c r="CW143" s="67">
        <f t="shared" ref="CW143:CW167" si="352">IF(CV143="","",BC143-Z143)</f>
        <v>0.29166666666666607</v>
      </c>
      <c r="CX143" s="67">
        <f t="shared" ref="CX143:CX167" si="353">IF(CV143="","",CE143-Z143)</f>
        <v>0.87499999999999822</v>
      </c>
      <c r="CY143" s="67">
        <f>IF(CV143="","",CF143-BC143)</f>
        <v>0.3333333333333357</v>
      </c>
    </row>
    <row r="144" spans="13:103" s="31" customFormat="1" ht="15" customHeight="1" x14ac:dyDescent="0.2">
      <c r="M144" s="82" t="str">
        <f t="shared" ref="M144:M167" si="354">IF(M8=0,"",M8)</f>
        <v>Product 2</v>
      </c>
      <c r="N144" s="77">
        <f t="shared" ref="N144:Y144" si="355">IF($M144="","",N35-N117)</f>
        <v>11.89</v>
      </c>
      <c r="O144" s="77">
        <f t="shared" si="355"/>
        <v>11.89</v>
      </c>
      <c r="P144" s="77">
        <f t="shared" si="355"/>
        <v>11.89</v>
      </c>
      <c r="Q144" s="77">
        <f t="shared" si="355"/>
        <v>11.89</v>
      </c>
      <c r="R144" s="77">
        <f t="shared" si="355"/>
        <v>11.89</v>
      </c>
      <c r="S144" s="77">
        <f t="shared" si="355"/>
        <v>11.89</v>
      </c>
      <c r="T144" s="77">
        <f t="shared" si="355"/>
        <v>11.89</v>
      </c>
      <c r="U144" s="77">
        <f t="shared" si="355"/>
        <v>11.89</v>
      </c>
      <c r="V144" s="77">
        <f t="shared" si="355"/>
        <v>11.89</v>
      </c>
      <c r="W144" s="77">
        <f t="shared" si="355"/>
        <v>11.89</v>
      </c>
      <c r="X144" s="77">
        <f t="shared" si="355"/>
        <v>11.89</v>
      </c>
      <c r="Y144" s="77">
        <f t="shared" si="355"/>
        <v>11.89</v>
      </c>
      <c r="Z144" s="57">
        <f t="shared" ref="Z144:Z167" si="356">IF($M144="","",AVERAGE(N144:Y144))</f>
        <v>11.89</v>
      </c>
      <c r="AA144" s="105"/>
      <c r="AB144" s="105"/>
      <c r="AC144" s="105"/>
      <c r="AD144" s="105"/>
      <c r="AE144" s="105"/>
      <c r="AF144" s="105"/>
      <c r="AG144" s="105"/>
      <c r="AH144" s="105"/>
      <c r="AI144" s="105"/>
      <c r="AJ144" s="105"/>
      <c r="AK144" s="105"/>
      <c r="AL144" s="105"/>
      <c r="AM144" s="105"/>
      <c r="AN144" s="105"/>
      <c r="AP144" s="65" t="str">
        <f t="shared" si="347"/>
        <v>Product 2</v>
      </c>
      <c r="AQ144" s="77">
        <f t="shared" ref="AQ144:BB144" si="357">IF($M144="","",AQ35-AQ117)</f>
        <v>11.89</v>
      </c>
      <c r="AR144" s="77">
        <f t="shared" si="357"/>
        <v>11.89</v>
      </c>
      <c r="AS144" s="77">
        <f t="shared" si="357"/>
        <v>11.89</v>
      </c>
      <c r="AT144" s="77">
        <f t="shared" si="357"/>
        <v>11.89</v>
      </c>
      <c r="AU144" s="77">
        <f t="shared" si="357"/>
        <v>11.89</v>
      </c>
      <c r="AV144" s="77">
        <f t="shared" si="357"/>
        <v>11.89</v>
      </c>
      <c r="AW144" s="77">
        <f t="shared" si="357"/>
        <v>11.89</v>
      </c>
      <c r="AX144" s="77">
        <f t="shared" si="357"/>
        <v>11.89</v>
      </c>
      <c r="AY144" s="77">
        <f t="shared" si="357"/>
        <v>11.89</v>
      </c>
      <c r="AZ144" s="77">
        <f t="shared" si="357"/>
        <v>12.09</v>
      </c>
      <c r="BA144" s="77">
        <f t="shared" si="357"/>
        <v>12.09</v>
      </c>
      <c r="BB144" s="77">
        <f t="shared" si="357"/>
        <v>12.09</v>
      </c>
      <c r="BC144" s="57">
        <f t="shared" ref="BC144:BC167" si="358">IF($M144="","",AVERAGE(AQ144:BB144))</f>
        <v>11.94</v>
      </c>
      <c r="BD144" s="105"/>
      <c r="BE144" s="105"/>
      <c r="BF144" s="105"/>
      <c r="BG144" s="105"/>
      <c r="BH144" s="105"/>
      <c r="BI144" s="105"/>
      <c r="BJ144" s="105"/>
      <c r="BK144" s="105"/>
      <c r="BL144" s="105"/>
      <c r="BM144" s="105"/>
      <c r="BN144" s="105"/>
      <c r="BO144" s="105"/>
      <c r="BP144" s="105"/>
      <c r="BQ144" s="105"/>
      <c r="BS144" s="65" t="str">
        <f t="shared" si="349"/>
        <v>Product 2</v>
      </c>
      <c r="BT144" s="77">
        <f t="shared" ref="BT144:CE144" si="359">IF($M144="","",BT35-BT117)</f>
        <v>12.09</v>
      </c>
      <c r="BU144" s="77">
        <f t="shared" si="359"/>
        <v>11.89</v>
      </c>
      <c r="BV144" s="77">
        <f t="shared" si="359"/>
        <v>11.89</v>
      </c>
      <c r="BW144" s="77">
        <f t="shared" si="359"/>
        <v>11.89</v>
      </c>
      <c r="BX144" s="77">
        <f t="shared" si="359"/>
        <v>11.89</v>
      </c>
      <c r="BY144" s="77">
        <f t="shared" si="359"/>
        <v>11.89</v>
      </c>
      <c r="BZ144" s="77">
        <f t="shared" si="359"/>
        <v>11.89</v>
      </c>
      <c r="CA144" s="77">
        <f t="shared" si="359"/>
        <v>11.89</v>
      </c>
      <c r="CB144" s="77">
        <f t="shared" si="359"/>
        <v>12.09</v>
      </c>
      <c r="CC144" s="77">
        <f t="shared" si="359"/>
        <v>12.09</v>
      </c>
      <c r="CD144" s="77">
        <f t="shared" si="359"/>
        <v>12.14</v>
      </c>
      <c r="CE144" s="77">
        <f t="shared" si="359"/>
        <v>12.14</v>
      </c>
      <c r="CF144" s="57">
        <f t="shared" ref="CF144:CF167" si="360">IF($M144="","",AVERAGE(BT144:CE144))</f>
        <v>11.981666666666669</v>
      </c>
      <c r="CG144" s="105"/>
      <c r="CH144" s="105"/>
      <c r="CI144" s="105"/>
      <c r="CJ144" s="105"/>
      <c r="CK144" s="105"/>
      <c r="CL144" s="105"/>
      <c r="CM144" s="105"/>
      <c r="CN144" s="105"/>
      <c r="CO144" s="105"/>
      <c r="CP144" s="105"/>
      <c r="CQ144" s="105"/>
      <c r="CR144" s="105"/>
      <c r="CS144" s="105"/>
      <c r="CT144" s="105"/>
      <c r="CV144" s="65" t="str">
        <f t="shared" si="351"/>
        <v>Product 2</v>
      </c>
      <c r="CW144" s="67">
        <f t="shared" si="352"/>
        <v>4.9999999999998934E-2</v>
      </c>
      <c r="CX144" s="67">
        <f t="shared" si="353"/>
        <v>0.25</v>
      </c>
      <c r="CY144" s="67">
        <f t="shared" ref="CY144:CY167" si="361">IF(CV144="","",CF144-BC144)</f>
        <v>4.1666666666669627E-2</v>
      </c>
    </row>
    <row r="145" spans="13:103" s="31" customFormat="1" ht="15" customHeight="1" x14ac:dyDescent="0.2">
      <c r="M145" s="82" t="str">
        <f t="shared" si="354"/>
        <v>Product 3</v>
      </c>
      <c r="N145" s="77">
        <f t="shared" ref="N145:Y145" si="362">IF($M145="","",N36-N118)</f>
        <v>48.440000000000005</v>
      </c>
      <c r="O145" s="77">
        <f t="shared" si="362"/>
        <v>48.440000000000005</v>
      </c>
      <c r="P145" s="77">
        <f t="shared" si="362"/>
        <v>48.440000000000005</v>
      </c>
      <c r="Q145" s="77">
        <f t="shared" si="362"/>
        <v>48.440000000000005</v>
      </c>
      <c r="R145" s="77">
        <f t="shared" si="362"/>
        <v>48.440000000000005</v>
      </c>
      <c r="S145" s="77">
        <f t="shared" si="362"/>
        <v>48.440000000000005</v>
      </c>
      <c r="T145" s="77">
        <f t="shared" si="362"/>
        <v>48.440000000000005</v>
      </c>
      <c r="U145" s="77">
        <f t="shared" si="362"/>
        <v>48.440000000000005</v>
      </c>
      <c r="V145" s="77">
        <f t="shared" si="362"/>
        <v>48.440000000000005</v>
      </c>
      <c r="W145" s="77">
        <f t="shared" si="362"/>
        <v>48.440000000000005</v>
      </c>
      <c r="X145" s="77">
        <f t="shared" si="362"/>
        <v>48.440000000000005</v>
      </c>
      <c r="Y145" s="77">
        <f t="shared" si="362"/>
        <v>48.440000000000005</v>
      </c>
      <c r="Z145" s="57">
        <f t="shared" si="356"/>
        <v>48.440000000000005</v>
      </c>
      <c r="AA145" s="105"/>
      <c r="AB145" s="105"/>
      <c r="AC145" s="105"/>
      <c r="AD145" s="105"/>
      <c r="AE145" s="105"/>
      <c r="AF145" s="105"/>
      <c r="AG145" s="105"/>
      <c r="AH145" s="105"/>
      <c r="AI145" s="105"/>
      <c r="AJ145" s="105"/>
      <c r="AK145" s="105"/>
      <c r="AL145" s="105"/>
      <c r="AM145" s="105"/>
      <c r="AN145" s="105"/>
      <c r="AP145" s="65" t="str">
        <f t="shared" si="347"/>
        <v>Product 3</v>
      </c>
      <c r="AQ145" s="77">
        <f t="shared" ref="AQ145:BB145" si="363">IF($M145="","",AQ36-AQ118)</f>
        <v>53.440000000000005</v>
      </c>
      <c r="AR145" s="77">
        <f t="shared" si="363"/>
        <v>53.440000000000005</v>
      </c>
      <c r="AS145" s="77">
        <f t="shared" si="363"/>
        <v>53.440000000000005</v>
      </c>
      <c r="AT145" s="77">
        <f t="shared" si="363"/>
        <v>53.440000000000005</v>
      </c>
      <c r="AU145" s="77">
        <f t="shared" si="363"/>
        <v>53.440000000000005</v>
      </c>
      <c r="AV145" s="77">
        <f t="shared" si="363"/>
        <v>53.440000000000005</v>
      </c>
      <c r="AW145" s="77">
        <f t="shared" si="363"/>
        <v>53.89</v>
      </c>
      <c r="AX145" s="77">
        <f t="shared" si="363"/>
        <v>53.440000000000005</v>
      </c>
      <c r="AY145" s="77">
        <f t="shared" si="363"/>
        <v>53.440000000000005</v>
      </c>
      <c r="AZ145" s="77">
        <f t="shared" si="363"/>
        <v>53.440000000000005</v>
      </c>
      <c r="BA145" s="77">
        <f t="shared" si="363"/>
        <v>53.440000000000005</v>
      </c>
      <c r="BB145" s="77">
        <f t="shared" si="363"/>
        <v>53.440000000000005</v>
      </c>
      <c r="BC145" s="57">
        <f t="shared" si="358"/>
        <v>53.477500000000013</v>
      </c>
      <c r="BD145" s="105"/>
      <c r="BE145" s="105"/>
      <c r="BF145" s="105"/>
      <c r="BG145" s="105"/>
      <c r="BH145" s="105"/>
      <c r="BI145" s="105"/>
      <c r="BJ145" s="105"/>
      <c r="BK145" s="105"/>
      <c r="BL145" s="105"/>
      <c r="BM145" s="105"/>
      <c r="BN145" s="105"/>
      <c r="BO145" s="105"/>
      <c r="BP145" s="105"/>
      <c r="BQ145" s="105"/>
      <c r="BS145" s="65" t="str">
        <f t="shared" si="349"/>
        <v>Product 3</v>
      </c>
      <c r="BT145" s="77">
        <f t="shared" ref="BT145:CE145" si="364">IF($M145="","",BT36-BT118)</f>
        <v>58.440000000000005</v>
      </c>
      <c r="BU145" s="77">
        <f t="shared" si="364"/>
        <v>58.440000000000005</v>
      </c>
      <c r="BV145" s="77">
        <f t="shared" si="364"/>
        <v>58.440000000000005</v>
      </c>
      <c r="BW145" s="77">
        <f t="shared" si="364"/>
        <v>58.440000000000005</v>
      </c>
      <c r="BX145" s="77">
        <f t="shared" si="364"/>
        <v>58.89</v>
      </c>
      <c r="BY145" s="77">
        <f t="shared" si="364"/>
        <v>58.89</v>
      </c>
      <c r="BZ145" s="77">
        <f t="shared" si="364"/>
        <v>58.89</v>
      </c>
      <c r="CA145" s="77">
        <f t="shared" si="364"/>
        <v>58.89</v>
      </c>
      <c r="CB145" s="77">
        <f t="shared" si="364"/>
        <v>58.89</v>
      </c>
      <c r="CC145" s="77">
        <f t="shared" si="364"/>
        <v>58.440000000000005</v>
      </c>
      <c r="CD145" s="77">
        <f t="shared" si="364"/>
        <v>58.440000000000005</v>
      </c>
      <c r="CE145" s="77">
        <f t="shared" si="364"/>
        <v>58.440000000000005</v>
      </c>
      <c r="CF145" s="57">
        <f t="shared" si="360"/>
        <v>58.627500000000019</v>
      </c>
      <c r="CG145" s="105"/>
      <c r="CH145" s="105"/>
      <c r="CI145" s="105"/>
      <c r="CJ145" s="105"/>
      <c r="CK145" s="105"/>
      <c r="CL145" s="105"/>
      <c r="CM145" s="105"/>
      <c r="CN145" s="105"/>
      <c r="CO145" s="105"/>
      <c r="CP145" s="105"/>
      <c r="CQ145" s="105"/>
      <c r="CR145" s="105"/>
      <c r="CS145" s="105"/>
      <c r="CT145" s="105"/>
      <c r="CV145" s="65" t="str">
        <f t="shared" si="351"/>
        <v>Product 3</v>
      </c>
      <c r="CW145" s="67">
        <f t="shared" si="352"/>
        <v>5.0375000000000085</v>
      </c>
      <c r="CX145" s="67">
        <f t="shared" si="353"/>
        <v>10</v>
      </c>
      <c r="CY145" s="67">
        <f t="shared" si="361"/>
        <v>5.1500000000000057</v>
      </c>
    </row>
    <row r="146" spans="13:103" s="31" customFormat="1" ht="15" customHeight="1" x14ac:dyDescent="0.2">
      <c r="M146" s="82" t="str">
        <f t="shared" si="354"/>
        <v/>
      </c>
      <c r="N146" s="77" t="str">
        <f t="shared" ref="N146:Y146" si="365">IF($M146="","",N37-N119)</f>
        <v/>
      </c>
      <c r="O146" s="77" t="str">
        <f t="shared" si="365"/>
        <v/>
      </c>
      <c r="P146" s="77" t="str">
        <f t="shared" si="365"/>
        <v/>
      </c>
      <c r="Q146" s="77" t="str">
        <f t="shared" si="365"/>
        <v/>
      </c>
      <c r="R146" s="77" t="str">
        <f t="shared" si="365"/>
        <v/>
      </c>
      <c r="S146" s="77" t="str">
        <f t="shared" si="365"/>
        <v/>
      </c>
      <c r="T146" s="77" t="str">
        <f t="shared" si="365"/>
        <v/>
      </c>
      <c r="U146" s="77" t="str">
        <f t="shared" si="365"/>
        <v/>
      </c>
      <c r="V146" s="77" t="str">
        <f t="shared" si="365"/>
        <v/>
      </c>
      <c r="W146" s="77" t="str">
        <f t="shared" si="365"/>
        <v/>
      </c>
      <c r="X146" s="77" t="str">
        <f t="shared" si="365"/>
        <v/>
      </c>
      <c r="Y146" s="77" t="str">
        <f t="shared" si="365"/>
        <v/>
      </c>
      <c r="Z146" s="57" t="str">
        <f t="shared" si="356"/>
        <v/>
      </c>
      <c r="AA146" s="105"/>
      <c r="AB146" s="105"/>
      <c r="AC146" s="105"/>
      <c r="AD146" s="105"/>
      <c r="AE146" s="105"/>
      <c r="AF146" s="105"/>
      <c r="AG146" s="105"/>
      <c r="AH146" s="105"/>
      <c r="AI146" s="105"/>
      <c r="AJ146" s="105"/>
      <c r="AK146" s="105"/>
      <c r="AL146" s="105"/>
      <c r="AM146" s="105"/>
      <c r="AN146" s="105"/>
      <c r="AP146" s="65" t="str">
        <f t="shared" si="347"/>
        <v/>
      </c>
      <c r="AQ146" s="77" t="str">
        <f t="shared" ref="AQ146:BB146" si="366">IF($M146="","",AQ37-AQ119)</f>
        <v/>
      </c>
      <c r="AR146" s="77" t="str">
        <f t="shared" si="366"/>
        <v/>
      </c>
      <c r="AS146" s="77" t="str">
        <f t="shared" si="366"/>
        <v/>
      </c>
      <c r="AT146" s="77" t="str">
        <f t="shared" si="366"/>
        <v/>
      </c>
      <c r="AU146" s="77" t="str">
        <f t="shared" si="366"/>
        <v/>
      </c>
      <c r="AV146" s="77" t="str">
        <f t="shared" si="366"/>
        <v/>
      </c>
      <c r="AW146" s="77" t="str">
        <f t="shared" si="366"/>
        <v/>
      </c>
      <c r="AX146" s="77" t="str">
        <f t="shared" si="366"/>
        <v/>
      </c>
      <c r="AY146" s="77" t="str">
        <f t="shared" si="366"/>
        <v/>
      </c>
      <c r="AZ146" s="77" t="str">
        <f t="shared" si="366"/>
        <v/>
      </c>
      <c r="BA146" s="77" t="str">
        <f t="shared" si="366"/>
        <v/>
      </c>
      <c r="BB146" s="77" t="str">
        <f t="shared" si="366"/>
        <v/>
      </c>
      <c r="BC146" s="57" t="str">
        <f t="shared" si="358"/>
        <v/>
      </c>
      <c r="BD146" s="105"/>
      <c r="BE146" s="105"/>
      <c r="BF146" s="105"/>
      <c r="BG146" s="105"/>
      <c r="BH146" s="105"/>
      <c r="BI146" s="105"/>
      <c r="BJ146" s="105"/>
      <c r="BK146" s="105"/>
      <c r="BL146" s="105"/>
      <c r="BM146" s="105"/>
      <c r="BN146" s="105"/>
      <c r="BO146" s="105"/>
      <c r="BP146" s="105"/>
      <c r="BQ146" s="105"/>
      <c r="BS146" s="65" t="str">
        <f t="shared" si="349"/>
        <v/>
      </c>
      <c r="BT146" s="77" t="str">
        <f t="shared" ref="BT146:CE146" si="367">IF($M146="","",BT37-BT119)</f>
        <v/>
      </c>
      <c r="BU146" s="77" t="str">
        <f t="shared" si="367"/>
        <v/>
      </c>
      <c r="BV146" s="77" t="str">
        <f t="shared" si="367"/>
        <v/>
      </c>
      <c r="BW146" s="77" t="str">
        <f t="shared" si="367"/>
        <v/>
      </c>
      <c r="BX146" s="77" t="str">
        <f t="shared" si="367"/>
        <v/>
      </c>
      <c r="BY146" s="77" t="str">
        <f t="shared" si="367"/>
        <v/>
      </c>
      <c r="BZ146" s="77" t="str">
        <f t="shared" si="367"/>
        <v/>
      </c>
      <c r="CA146" s="77" t="str">
        <f t="shared" si="367"/>
        <v/>
      </c>
      <c r="CB146" s="77" t="str">
        <f t="shared" si="367"/>
        <v/>
      </c>
      <c r="CC146" s="77" t="str">
        <f t="shared" si="367"/>
        <v/>
      </c>
      <c r="CD146" s="77" t="str">
        <f t="shared" si="367"/>
        <v/>
      </c>
      <c r="CE146" s="77" t="str">
        <f t="shared" si="367"/>
        <v/>
      </c>
      <c r="CF146" s="57" t="str">
        <f t="shared" si="360"/>
        <v/>
      </c>
      <c r="CG146" s="105"/>
      <c r="CH146" s="105"/>
      <c r="CI146" s="105"/>
      <c r="CJ146" s="105"/>
      <c r="CK146" s="105"/>
      <c r="CL146" s="105"/>
      <c r="CM146" s="105"/>
      <c r="CN146" s="105"/>
      <c r="CO146" s="105"/>
      <c r="CP146" s="105"/>
      <c r="CQ146" s="105"/>
      <c r="CR146" s="105"/>
      <c r="CS146" s="105"/>
      <c r="CT146" s="105"/>
      <c r="CV146" s="65" t="str">
        <f t="shared" si="351"/>
        <v/>
      </c>
      <c r="CW146" s="67" t="str">
        <f t="shared" si="352"/>
        <v/>
      </c>
      <c r="CX146" s="67" t="str">
        <f t="shared" si="353"/>
        <v/>
      </c>
      <c r="CY146" s="67" t="str">
        <f t="shared" si="361"/>
        <v/>
      </c>
    </row>
    <row r="147" spans="13:103" s="31" customFormat="1" ht="15" customHeight="1" x14ac:dyDescent="0.2">
      <c r="M147" s="82" t="str">
        <f t="shared" si="354"/>
        <v/>
      </c>
      <c r="N147" s="77" t="str">
        <f t="shared" ref="N147:Y147" si="368">IF($M147="","",N38-N120)</f>
        <v/>
      </c>
      <c r="O147" s="77" t="str">
        <f t="shared" si="368"/>
        <v/>
      </c>
      <c r="P147" s="77" t="str">
        <f t="shared" si="368"/>
        <v/>
      </c>
      <c r="Q147" s="77" t="str">
        <f t="shared" si="368"/>
        <v/>
      </c>
      <c r="R147" s="77" t="str">
        <f t="shared" si="368"/>
        <v/>
      </c>
      <c r="S147" s="77" t="str">
        <f t="shared" si="368"/>
        <v/>
      </c>
      <c r="T147" s="77" t="str">
        <f t="shared" si="368"/>
        <v/>
      </c>
      <c r="U147" s="77" t="str">
        <f t="shared" si="368"/>
        <v/>
      </c>
      <c r="V147" s="77" t="str">
        <f t="shared" si="368"/>
        <v/>
      </c>
      <c r="W147" s="77" t="str">
        <f t="shared" si="368"/>
        <v/>
      </c>
      <c r="X147" s="77" t="str">
        <f t="shared" si="368"/>
        <v/>
      </c>
      <c r="Y147" s="77" t="str">
        <f t="shared" si="368"/>
        <v/>
      </c>
      <c r="Z147" s="57" t="str">
        <f t="shared" si="356"/>
        <v/>
      </c>
      <c r="AA147" s="105"/>
      <c r="AB147" s="105"/>
      <c r="AC147" s="105"/>
      <c r="AD147" s="105"/>
      <c r="AE147" s="105"/>
      <c r="AF147" s="105"/>
      <c r="AG147" s="105"/>
      <c r="AH147" s="105"/>
      <c r="AI147" s="105"/>
      <c r="AJ147" s="105"/>
      <c r="AK147" s="105"/>
      <c r="AL147" s="105"/>
      <c r="AM147" s="105"/>
      <c r="AN147" s="105"/>
      <c r="AP147" s="65" t="str">
        <f t="shared" si="347"/>
        <v/>
      </c>
      <c r="AQ147" s="77" t="str">
        <f t="shared" ref="AQ147:BB147" si="369">IF($M147="","",AQ38-AQ120)</f>
        <v/>
      </c>
      <c r="AR147" s="77" t="str">
        <f t="shared" si="369"/>
        <v/>
      </c>
      <c r="AS147" s="77" t="str">
        <f t="shared" si="369"/>
        <v/>
      </c>
      <c r="AT147" s="77" t="str">
        <f t="shared" si="369"/>
        <v/>
      </c>
      <c r="AU147" s="77" t="str">
        <f t="shared" si="369"/>
        <v/>
      </c>
      <c r="AV147" s="77" t="str">
        <f t="shared" si="369"/>
        <v/>
      </c>
      <c r="AW147" s="77" t="str">
        <f t="shared" si="369"/>
        <v/>
      </c>
      <c r="AX147" s="77" t="str">
        <f t="shared" si="369"/>
        <v/>
      </c>
      <c r="AY147" s="77" t="str">
        <f t="shared" si="369"/>
        <v/>
      </c>
      <c r="AZ147" s="77" t="str">
        <f t="shared" si="369"/>
        <v/>
      </c>
      <c r="BA147" s="77" t="str">
        <f t="shared" si="369"/>
        <v/>
      </c>
      <c r="BB147" s="77" t="str">
        <f t="shared" si="369"/>
        <v/>
      </c>
      <c r="BC147" s="57" t="str">
        <f t="shared" si="358"/>
        <v/>
      </c>
      <c r="BD147" s="105"/>
      <c r="BE147" s="105"/>
      <c r="BF147" s="105"/>
      <c r="BG147" s="105"/>
      <c r="BH147" s="105"/>
      <c r="BI147" s="105"/>
      <c r="BJ147" s="105"/>
      <c r="BK147" s="105"/>
      <c r="BL147" s="105"/>
      <c r="BM147" s="105"/>
      <c r="BN147" s="105"/>
      <c r="BO147" s="105"/>
      <c r="BP147" s="105"/>
      <c r="BQ147" s="105"/>
      <c r="BS147" s="65" t="str">
        <f t="shared" si="349"/>
        <v/>
      </c>
      <c r="BT147" s="77" t="str">
        <f t="shared" ref="BT147:CE147" si="370">IF($M147="","",BT38-BT120)</f>
        <v/>
      </c>
      <c r="BU147" s="77" t="str">
        <f t="shared" si="370"/>
        <v/>
      </c>
      <c r="BV147" s="77" t="str">
        <f t="shared" si="370"/>
        <v/>
      </c>
      <c r="BW147" s="77" t="str">
        <f t="shared" si="370"/>
        <v/>
      </c>
      <c r="BX147" s="77" t="str">
        <f t="shared" si="370"/>
        <v/>
      </c>
      <c r="BY147" s="77" t="str">
        <f t="shared" si="370"/>
        <v/>
      </c>
      <c r="BZ147" s="77" t="str">
        <f t="shared" si="370"/>
        <v/>
      </c>
      <c r="CA147" s="77" t="str">
        <f t="shared" si="370"/>
        <v/>
      </c>
      <c r="CB147" s="77" t="str">
        <f t="shared" si="370"/>
        <v/>
      </c>
      <c r="CC147" s="77" t="str">
        <f t="shared" si="370"/>
        <v/>
      </c>
      <c r="CD147" s="77" t="str">
        <f t="shared" si="370"/>
        <v/>
      </c>
      <c r="CE147" s="77" t="str">
        <f t="shared" si="370"/>
        <v/>
      </c>
      <c r="CF147" s="57" t="str">
        <f t="shared" si="360"/>
        <v/>
      </c>
      <c r="CG147" s="105"/>
      <c r="CH147" s="105"/>
      <c r="CI147" s="105"/>
      <c r="CJ147" s="105"/>
      <c r="CK147" s="105"/>
      <c r="CL147" s="105"/>
      <c r="CM147" s="105"/>
      <c r="CN147" s="105"/>
      <c r="CO147" s="105"/>
      <c r="CP147" s="105"/>
      <c r="CQ147" s="105"/>
      <c r="CR147" s="105"/>
      <c r="CS147" s="105"/>
      <c r="CT147" s="105"/>
      <c r="CV147" s="65" t="str">
        <f t="shared" si="351"/>
        <v/>
      </c>
      <c r="CW147" s="67" t="str">
        <f t="shared" si="352"/>
        <v/>
      </c>
      <c r="CX147" s="67" t="str">
        <f t="shared" si="353"/>
        <v/>
      </c>
      <c r="CY147" s="67" t="str">
        <f t="shared" si="361"/>
        <v/>
      </c>
    </row>
    <row r="148" spans="13:103" s="31" customFormat="1" ht="15" customHeight="1" x14ac:dyDescent="0.2">
      <c r="M148" s="82" t="str">
        <f t="shared" si="354"/>
        <v/>
      </c>
      <c r="N148" s="77" t="str">
        <f t="shared" ref="N148:Y148" si="371">IF($M148="","",N39-N121)</f>
        <v/>
      </c>
      <c r="O148" s="77" t="str">
        <f t="shared" si="371"/>
        <v/>
      </c>
      <c r="P148" s="77" t="str">
        <f t="shared" si="371"/>
        <v/>
      </c>
      <c r="Q148" s="77" t="str">
        <f t="shared" si="371"/>
        <v/>
      </c>
      <c r="R148" s="77" t="str">
        <f t="shared" si="371"/>
        <v/>
      </c>
      <c r="S148" s="77" t="str">
        <f t="shared" si="371"/>
        <v/>
      </c>
      <c r="T148" s="77" t="str">
        <f t="shared" si="371"/>
        <v/>
      </c>
      <c r="U148" s="77" t="str">
        <f t="shared" si="371"/>
        <v/>
      </c>
      <c r="V148" s="77" t="str">
        <f t="shared" si="371"/>
        <v/>
      </c>
      <c r="W148" s="77" t="str">
        <f t="shared" si="371"/>
        <v/>
      </c>
      <c r="X148" s="77" t="str">
        <f t="shared" si="371"/>
        <v/>
      </c>
      <c r="Y148" s="77" t="str">
        <f t="shared" si="371"/>
        <v/>
      </c>
      <c r="Z148" s="57" t="str">
        <f t="shared" si="356"/>
        <v/>
      </c>
      <c r="AA148" s="105"/>
      <c r="AB148" s="105"/>
      <c r="AC148" s="105"/>
      <c r="AD148" s="105"/>
      <c r="AE148" s="105"/>
      <c r="AF148" s="105"/>
      <c r="AG148" s="105"/>
      <c r="AH148" s="105"/>
      <c r="AI148" s="105"/>
      <c r="AJ148" s="105"/>
      <c r="AK148" s="105"/>
      <c r="AL148" s="105"/>
      <c r="AM148" s="105"/>
      <c r="AN148" s="105"/>
      <c r="AP148" s="65" t="str">
        <f t="shared" si="347"/>
        <v/>
      </c>
      <c r="AQ148" s="77" t="str">
        <f t="shared" ref="AQ148:BB148" si="372">IF($M148="","",AQ39-AQ121)</f>
        <v/>
      </c>
      <c r="AR148" s="77" t="str">
        <f t="shared" si="372"/>
        <v/>
      </c>
      <c r="AS148" s="77" t="str">
        <f t="shared" si="372"/>
        <v/>
      </c>
      <c r="AT148" s="77" t="str">
        <f t="shared" si="372"/>
        <v/>
      </c>
      <c r="AU148" s="77" t="str">
        <f t="shared" si="372"/>
        <v/>
      </c>
      <c r="AV148" s="77" t="str">
        <f t="shared" si="372"/>
        <v/>
      </c>
      <c r="AW148" s="77" t="str">
        <f t="shared" si="372"/>
        <v/>
      </c>
      <c r="AX148" s="77" t="str">
        <f t="shared" si="372"/>
        <v/>
      </c>
      <c r="AY148" s="77" t="str">
        <f t="shared" si="372"/>
        <v/>
      </c>
      <c r="AZ148" s="77" t="str">
        <f t="shared" si="372"/>
        <v/>
      </c>
      <c r="BA148" s="77" t="str">
        <f t="shared" si="372"/>
        <v/>
      </c>
      <c r="BB148" s="77" t="str">
        <f t="shared" si="372"/>
        <v/>
      </c>
      <c r="BC148" s="57" t="str">
        <f t="shared" si="358"/>
        <v/>
      </c>
      <c r="BD148" s="105"/>
      <c r="BE148" s="105"/>
      <c r="BF148" s="105"/>
      <c r="BG148" s="105"/>
      <c r="BH148" s="105"/>
      <c r="BI148" s="105"/>
      <c r="BJ148" s="105"/>
      <c r="BK148" s="105"/>
      <c r="BL148" s="105"/>
      <c r="BM148" s="105"/>
      <c r="BN148" s="105"/>
      <c r="BO148" s="105"/>
      <c r="BP148" s="105"/>
      <c r="BQ148" s="105"/>
      <c r="BS148" s="65" t="str">
        <f t="shared" si="349"/>
        <v/>
      </c>
      <c r="BT148" s="77" t="str">
        <f t="shared" ref="BT148:CE148" si="373">IF($M148="","",BT39-BT121)</f>
        <v/>
      </c>
      <c r="BU148" s="77" t="str">
        <f t="shared" si="373"/>
        <v/>
      </c>
      <c r="BV148" s="77" t="str">
        <f t="shared" si="373"/>
        <v/>
      </c>
      <c r="BW148" s="77" t="str">
        <f t="shared" si="373"/>
        <v/>
      </c>
      <c r="BX148" s="77" t="str">
        <f t="shared" si="373"/>
        <v/>
      </c>
      <c r="BY148" s="77" t="str">
        <f t="shared" si="373"/>
        <v/>
      </c>
      <c r="BZ148" s="77" t="str">
        <f t="shared" si="373"/>
        <v/>
      </c>
      <c r="CA148" s="77" t="str">
        <f t="shared" si="373"/>
        <v/>
      </c>
      <c r="CB148" s="77" t="str">
        <f t="shared" si="373"/>
        <v/>
      </c>
      <c r="CC148" s="77" t="str">
        <f t="shared" si="373"/>
        <v/>
      </c>
      <c r="CD148" s="77" t="str">
        <f t="shared" si="373"/>
        <v/>
      </c>
      <c r="CE148" s="77" t="str">
        <f t="shared" si="373"/>
        <v/>
      </c>
      <c r="CF148" s="57" t="str">
        <f t="shared" si="360"/>
        <v/>
      </c>
      <c r="CG148" s="105"/>
      <c r="CH148" s="105"/>
      <c r="CI148" s="105"/>
      <c r="CJ148" s="105"/>
      <c r="CK148" s="105"/>
      <c r="CL148" s="105"/>
      <c r="CM148" s="105"/>
      <c r="CN148" s="105"/>
      <c r="CO148" s="105"/>
      <c r="CP148" s="105"/>
      <c r="CQ148" s="105"/>
      <c r="CR148" s="105"/>
      <c r="CS148" s="105"/>
      <c r="CT148" s="105"/>
      <c r="CV148" s="65" t="str">
        <f t="shared" si="351"/>
        <v/>
      </c>
      <c r="CW148" s="67" t="str">
        <f t="shared" si="352"/>
        <v/>
      </c>
      <c r="CX148" s="67" t="str">
        <f t="shared" si="353"/>
        <v/>
      </c>
      <c r="CY148" s="67" t="str">
        <f t="shared" si="361"/>
        <v/>
      </c>
    </row>
    <row r="149" spans="13:103" s="31" customFormat="1" ht="15" customHeight="1" x14ac:dyDescent="0.2">
      <c r="M149" s="82" t="str">
        <f t="shared" si="354"/>
        <v/>
      </c>
      <c r="N149" s="77" t="str">
        <f t="shared" ref="N149:Y149" si="374">IF($M149="","",N40-N122)</f>
        <v/>
      </c>
      <c r="O149" s="77" t="str">
        <f t="shared" si="374"/>
        <v/>
      </c>
      <c r="P149" s="77" t="str">
        <f t="shared" si="374"/>
        <v/>
      </c>
      <c r="Q149" s="77" t="str">
        <f t="shared" si="374"/>
        <v/>
      </c>
      <c r="R149" s="77" t="str">
        <f t="shared" si="374"/>
        <v/>
      </c>
      <c r="S149" s="77" t="str">
        <f t="shared" si="374"/>
        <v/>
      </c>
      <c r="T149" s="77" t="str">
        <f t="shared" si="374"/>
        <v/>
      </c>
      <c r="U149" s="77" t="str">
        <f t="shared" si="374"/>
        <v/>
      </c>
      <c r="V149" s="77" t="str">
        <f t="shared" si="374"/>
        <v/>
      </c>
      <c r="W149" s="77" t="str">
        <f t="shared" si="374"/>
        <v/>
      </c>
      <c r="X149" s="77" t="str">
        <f t="shared" si="374"/>
        <v/>
      </c>
      <c r="Y149" s="77" t="str">
        <f t="shared" si="374"/>
        <v/>
      </c>
      <c r="Z149" s="57" t="str">
        <f t="shared" si="356"/>
        <v/>
      </c>
      <c r="AA149" s="105"/>
      <c r="AB149" s="105"/>
      <c r="AC149" s="105"/>
      <c r="AD149" s="105"/>
      <c r="AE149" s="105"/>
      <c r="AF149" s="105"/>
      <c r="AG149" s="105"/>
      <c r="AH149" s="105"/>
      <c r="AI149" s="105"/>
      <c r="AJ149" s="105"/>
      <c r="AK149" s="105"/>
      <c r="AL149" s="105"/>
      <c r="AM149" s="105"/>
      <c r="AN149" s="105"/>
      <c r="AP149" s="65" t="str">
        <f t="shared" si="347"/>
        <v/>
      </c>
      <c r="AQ149" s="77" t="str">
        <f t="shared" ref="AQ149:BB149" si="375">IF($M149="","",AQ40-AQ122)</f>
        <v/>
      </c>
      <c r="AR149" s="77" t="str">
        <f t="shared" si="375"/>
        <v/>
      </c>
      <c r="AS149" s="77" t="str">
        <f t="shared" si="375"/>
        <v/>
      </c>
      <c r="AT149" s="77" t="str">
        <f t="shared" si="375"/>
        <v/>
      </c>
      <c r="AU149" s="77" t="str">
        <f t="shared" si="375"/>
        <v/>
      </c>
      <c r="AV149" s="77" t="str">
        <f t="shared" si="375"/>
        <v/>
      </c>
      <c r="AW149" s="77" t="str">
        <f t="shared" si="375"/>
        <v/>
      </c>
      <c r="AX149" s="77" t="str">
        <f t="shared" si="375"/>
        <v/>
      </c>
      <c r="AY149" s="77" t="str">
        <f t="shared" si="375"/>
        <v/>
      </c>
      <c r="AZ149" s="77" t="str">
        <f t="shared" si="375"/>
        <v/>
      </c>
      <c r="BA149" s="77" t="str">
        <f t="shared" si="375"/>
        <v/>
      </c>
      <c r="BB149" s="77" t="str">
        <f t="shared" si="375"/>
        <v/>
      </c>
      <c r="BC149" s="57" t="str">
        <f t="shared" si="358"/>
        <v/>
      </c>
      <c r="BD149" s="105"/>
      <c r="BE149" s="105"/>
      <c r="BF149" s="105"/>
      <c r="BG149" s="105"/>
      <c r="BH149" s="105"/>
      <c r="BI149" s="105"/>
      <c r="BJ149" s="105"/>
      <c r="BK149" s="105"/>
      <c r="BL149" s="105"/>
      <c r="BM149" s="105"/>
      <c r="BN149" s="105"/>
      <c r="BO149" s="105"/>
      <c r="BP149" s="105"/>
      <c r="BQ149" s="105"/>
      <c r="BS149" s="65" t="str">
        <f t="shared" si="349"/>
        <v/>
      </c>
      <c r="BT149" s="77" t="str">
        <f t="shared" ref="BT149:CE149" si="376">IF($M149="","",BT40-BT122)</f>
        <v/>
      </c>
      <c r="BU149" s="77" t="str">
        <f t="shared" si="376"/>
        <v/>
      </c>
      <c r="BV149" s="77" t="str">
        <f t="shared" si="376"/>
        <v/>
      </c>
      <c r="BW149" s="77" t="str">
        <f t="shared" si="376"/>
        <v/>
      </c>
      <c r="BX149" s="77" t="str">
        <f t="shared" si="376"/>
        <v/>
      </c>
      <c r="BY149" s="77" t="str">
        <f t="shared" si="376"/>
        <v/>
      </c>
      <c r="BZ149" s="77" t="str">
        <f t="shared" si="376"/>
        <v/>
      </c>
      <c r="CA149" s="77" t="str">
        <f t="shared" si="376"/>
        <v/>
      </c>
      <c r="CB149" s="77" t="str">
        <f t="shared" si="376"/>
        <v/>
      </c>
      <c r="CC149" s="77" t="str">
        <f t="shared" si="376"/>
        <v/>
      </c>
      <c r="CD149" s="77" t="str">
        <f t="shared" si="376"/>
        <v/>
      </c>
      <c r="CE149" s="77" t="str">
        <f t="shared" si="376"/>
        <v/>
      </c>
      <c r="CF149" s="57" t="str">
        <f t="shared" si="360"/>
        <v/>
      </c>
      <c r="CG149" s="105"/>
      <c r="CH149" s="105"/>
      <c r="CI149" s="105"/>
      <c r="CJ149" s="105"/>
      <c r="CK149" s="105"/>
      <c r="CL149" s="105"/>
      <c r="CM149" s="105"/>
      <c r="CN149" s="105"/>
      <c r="CO149" s="105"/>
      <c r="CP149" s="105"/>
      <c r="CQ149" s="105"/>
      <c r="CR149" s="105"/>
      <c r="CS149" s="105"/>
      <c r="CT149" s="105"/>
      <c r="CV149" s="65" t="str">
        <f t="shared" si="351"/>
        <v/>
      </c>
      <c r="CW149" s="67" t="str">
        <f t="shared" si="352"/>
        <v/>
      </c>
      <c r="CX149" s="67" t="str">
        <f t="shared" si="353"/>
        <v/>
      </c>
      <c r="CY149" s="67" t="str">
        <f t="shared" si="361"/>
        <v/>
      </c>
    </row>
    <row r="150" spans="13:103" s="31" customFormat="1" ht="15" customHeight="1" x14ac:dyDescent="0.2">
      <c r="M150" s="82" t="str">
        <f t="shared" si="354"/>
        <v/>
      </c>
      <c r="N150" s="77" t="str">
        <f t="shared" ref="N150:Y150" si="377">IF($M150="","",N41-N123)</f>
        <v/>
      </c>
      <c r="O150" s="77" t="str">
        <f t="shared" si="377"/>
        <v/>
      </c>
      <c r="P150" s="77" t="str">
        <f t="shared" si="377"/>
        <v/>
      </c>
      <c r="Q150" s="77" t="str">
        <f t="shared" si="377"/>
        <v/>
      </c>
      <c r="R150" s="77" t="str">
        <f t="shared" si="377"/>
        <v/>
      </c>
      <c r="S150" s="77" t="str">
        <f t="shared" si="377"/>
        <v/>
      </c>
      <c r="T150" s="77" t="str">
        <f t="shared" si="377"/>
        <v/>
      </c>
      <c r="U150" s="77" t="str">
        <f t="shared" si="377"/>
        <v/>
      </c>
      <c r="V150" s="77" t="str">
        <f t="shared" si="377"/>
        <v/>
      </c>
      <c r="W150" s="77" t="str">
        <f t="shared" si="377"/>
        <v/>
      </c>
      <c r="X150" s="77" t="str">
        <f t="shared" si="377"/>
        <v/>
      </c>
      <c r="Y150" s="77" t="str">
        <f t="shared" si="377"/>
        <v/>
      </c>
      <c r="Z150" s="57" t="str">
        <f t="shared" si="356"/>
        <v/>
      </c>
      <c r="AA150" s="105"/>
      <c r="AB150" s="105"/>
      <c r="AC150" s="105"/>
      <c r="AD150" s="105"/>
      <c r="AE150" s="105"/>
      <c r="AF150" s="105"/>
      <c r="AG150" s="105"/>
      <c r="AH150" s="105"/>
      <c r="AI150" s="105"/>
      <c r="AJ150" s="105"/>
      <c r="AK150" s="105"/>
      <c r="AL150" s="105"/>
      <c r="AM150" s="105"/>
      <c r="AN150" s="105"/>
      <c r="AP150" s="65" t="str">
        <f t="shared" si="347"/>
        <v/>
      </c>
      <c r="AQ150" s="77" t="str">
        <f t="shared" ref="AQ150:BB150" si="378">IF($M150="","",AQ41-AQ123)</f>
        <v/>
      </c>
      <c r="AR150" s="77" t="str">
        <f t="shared" si="378"/>
        <v/>
      </c>
      <c r="AS150" s="77" t="str">
        <f t="shared" si="378"/>
        <v/>
      </c>
      <c r="AT150" s="77" t="str">
        <f t="shared" si="378"/>
        <v/>
      </c>
      <c r="AU150" s="77" t="str">
        <f t="shared" si="378"/>
        <v/>
      </c>
      <c r="AV150" s="77" t="str">
        <f t="shared" si="378"/>
        <v/>
      </c>
      <c r="AW150" s="77" t="str">
        <f t="shared" si="378"/>
        <v/>
      </c>
      <c r="AX150" s="77" t="str">
        <f t="shared" si="378"/>
        <v/>
      </c>
      <c r="AY150" s="77" t="str">
        <f t="shared" si="378"/>
        <v/>
      </c>
      <c r="AZ150" s="77" t="str">
        <f t="shared" si="378"/>
        <v/>
      </c>
      <c r="BA150" s="77" t="str">
        <f t="shared" si="378"/>
        <v/>
      </c>
      <c r="BB150" s="77" t="str">
        <f t="shared" si="378"/>
        <v/>
      </c>
      <c r="BC150" s="57" t="str">
        <f t="shared" si="358"/>
        <v/>
      </c>
      <c r="BD150" s="105"/>
      <c r="BE150" s="105"/>
      <c r="BF150" s="105"/>
      <c r="BG150" s="105"/>
      <c r="BH150" s="105"/>
      <c r="BI150" s="105"/>
      <c r="BJ150" s="105"/>
      <c r="BK150" s="105"/>
      <c r="BL150" s="105"/>
      <c r="BM150" s="105"/>
      <c r="BN150" s="105"/>
      <c r="BO150" s="105"/>
      <c r="BP150" s="105"/>
      <c r="BQ150" s="105"/>
      <c r="BS150" s="65" t="str">
        <f t="shared" si="349"/>
        <v/>
      </c>
      <c r="BT150" s="77" t="str">
        <f t="shared" ref="BT150:CE150" si="379">IF($M150="","",BT41-BT123)</f>
        <v/>
      </c>
      <c r="BU150" s="77" t="str">
        <f t="shared" si="379"/>
        <v/>
      </c>
      <c r="BV150" s="77" t="str">
        <f t="shared" si="379"/>
        <v/>
      </c>
      <c r="BW150" s="77" t="str">
        <f t="shared" si="379"/>
        <v/>
      </c>
      <c r="BX150" s="77" t="str">
        <f t="shared" si="379"/>
        <v/>
      </c>
      <c r="BY150" s="77" t="str">
        <f t="shared" si="379"/>
        <v/>
      </c>
      <c r="BZ150" s="77" t="str">
        <f t="shared" si="379"/>
        <v/>
      </c>
      <c r="CA150" s="77" t="str">
        <f t="shared" si="379"/>
        <v/>
      </c>
      <c r="CB150" s="77" t="str">
        <f t="shared" si="379"/>
        <v/>
      </c>
      <c r="CC150" s="77" t="str">
        <f t="shared" si="379"/>
        <v/>
      </c>
      <c r="CD150" s="77" t="str">
        <f t="shared" si="379"/>
        <v/>
      </c>
      <c r="CE150" s="77" t="str">
        <f t="shared" si="379"/>
        <v/>
      </c>
      <c r="CF150" s="57" t="str">
        <f t="shared" si="360"/>
        <v/>
      </c>
      <c r="CG150" s="105"/>
      <c r="CH150" s="105"/>
      <c r="CI150" s="105"/>
      <c r="CJ150" s="105"/>
      <c r="CK150" s="105"/>
      <c r="CL150" s="105"/>
      <c r="CM150" s="105"/>
      <c r="CN150" s="105"/>
      <c r="CO150" s="105"/>
      <c r="CP150" s="105"/>
      <c r="CQ150" s="105"/>
      <c r="CR150" s="105"/>
      <c r="CS150" s="105"/>
      <c r="CT150" s="105"/>
      <c r="CV150" s="65" t="str">
        <f t="shared" si="351"/>
        <v/>
      </c>
      <c r="CW150" s="67" t="str">
        <f t="shared" si="352"/>
        <v/>
      </c>
      <c r="CX150" s="67" t="str">
        <f t="shared" si="353"/>
        <v/>
      </c>
      <c r="CY150" s="67" t="str">
        <f t="shared" si="361"/>
        <v/>
      </c>
    </row>
    <row r="151" spans="13:103" s="31" customFormat="1" ht="15" customHeight="1" x14ac:dyDescent="0.2">
      <c r="M151" s="82" t="str">
        <f t="shared" si="354"/>
        <v/>
      </c>
      <c r="N151" s="77" t="str">
        <f t="shared" ref="N151:Y151" si="380">IF($M151="","",N42-N124)</f>
        <v/>
      </c>
      <c r="O151" s="77" t="str">
        <f t="shared" si="380"/>
        <v/>
      </c>
      <c r="P151" s="77" t="str">
        <f t="shared" si="380"/>
        <v/>
      </c>
      <c r="Q151" s="77" t="str">
        <f t="shared" si="380"/>
        <v/>
      </c>
      <c r="R151" s="77" t="str">
        <f t="shared" si="380"/>
        <v/>
      </c>
      <c r="S151" s="77" t="str">
        <f t="shared" si="380"/>
        <v/>
      </c>
      <c r="T151" s="77" t="str">
        <f t="shared" si="380"/>
        <v/>
      </c>
      <c r="U151" s="77" t="str">
        <f t="shared" si="380"/>
        <v/>
      </c>
      <c r="V151" s="77" t="str">
        <f t="shared" si="380"/>
        <v/>
      </c>
      <c r="W151" s="77" t="str">
        <f t="shared" si="380"/>
        <v/>
      </c>
      <c r="X151" s="77" t="str">
        <f t="shared" si="380"/>
        <v/>
      </c>
      <c r="Y151" s="77" t="str">
        <f t="shared" si="380"/>
        <v/>
      </c>
      <c r="Z151" s="57" t="str">
        <f t="shared" si="356"/>
        <v/>
      </c>
      <c r="AA151" s="105"/>
      <c r="AB151" s="105"/>
      <c r="AC151" s="105"/>
      <c r="AD151" s="105"/>
      <c r="AE151" s="105"/>
      <c r="AF151" s="105"/>
      <c r="AG151" s="105"/>
      <c r="AH151" s="105"/>
      <c r="AI151" s="105"/>
      <c r="AJ151" s="105"/>
      <c r="AK151" s="105"/>
      <c r="AL151" s="105"/>
      <c r="AM151" s="105"/>
      <c r="AN151" s="105"/>
      <c r="AP151" s="65" t="str">
        <f t="shared" si="347"/>
        <v/>
      </c>
      <c r="AQ151" s="77" t="str">
        <f t="shared" ref="AQ151:BB151" si="381">IF($M151="","",AQ42-AQ124)</f>
        <v/>
      </c>
      <c r="AR151" s="77" t="str">
        <f t="shared" si="381"/>
        <v/>
      </c>
      <c r="AS151" s="77" t="str">
        <f t="shared" si="381"/>
        <v/>
      </c>
      <c r="AT151" s="77" t="str">
        <f t="shared" si="381"/>
        <v/>
      </c>
      <c r="AU151" s="77" t="str">
        <f t="shared" si="381"/>
        <v/>
      </c>
      <c r="AV151" s="77" t="str">
        <f t="shared" si="381"/>
        <v/>
      </c>
      <c r="AW151" s="77" t="str">
        <f t="shared" si="381"/>
        <v/>
      </c>
      <c r="AX151" s="77" t="str">
        <f t="shared" si="381"/>
        <v/>
      </c>
      <c r="AY151" s="77" t="str">
        <f t="shared" si="381"/>
        <v/>
      </c>
      <c r="AZ151" s="77" t="str">
        <f t="shared" si="381"/>
        <v/>
      </c>
      <c r="BA151" s="77" t="str">
        <f t="shared" si="381"/>
        <v/>
      </c>
      <c r="BB151" s="77" t="str">
        <f t="shared" si="381"/>
        <v/>
      </c>
      <c r="BC151" s="57" t="str">
        <f t="shared" si="358"/>
        <v/>
      </c>
      <c r="BD151" s="105"/>
      <c r="BE151" s="105"/>
      <c r="BF151" s="105"/>
      <c r="BG151" s="105"/>
      <c r="BH151" s="105"/>
      <c r="BI151" s="105"/>
      <c r="BJ151" s="105"/>
      <c r="BK151" s="105"/>
      <c r="BL151" s="105"/>
      <c r="BM151" s="105"/>
      <c r="BN151" s="105"/>
      <c r="BO151" s="105"/>
      <c r="BP151" s="105"/>
      <c r="BQ151" s="105"/>
      <c r="BS151" s="65" t="str">
        <f t="shared" si="349"/>
        <v/>
      </c>
      <c r="BT151" s="77" t="str">
        <f t="shared" ref="BT151:CE151" si="382">IF($M151="","",BT42-BT124)</f>
        <v/>
      </c>
      <c r="BU151" s="77" t="str">
        <f t="shared" si="382"/>
        <v/>
      </c>
      <c r="BV151" s="77" t="str">
        <f t="shared" si="382"/>
        <v/>
      </c>
      <c r="BW151" s="77" t="str">
        <f t="shared" si="382"/>
        <v/>
      </c>
      <c r="BX151" s="77" t="str">
        <f t="shared" si="382"/>
        <v/>
      </c>
      <c r="BY151" s="77" t="str">
        <f t="shared" si="382"/>
        <v/>
      </c>
      <c r="BZ151" s="77" t="str">
        <f t="shared" si="382"/>
        <v/>
      </c>
      <c r="CA151" s="77" t="str">
        <f t="shared" si="382"/>
        <v/>
      </c>
      <c r="CB151" s="77" t="str">
        <f t="shared" si="382"/>
        <v/>
      </c>
      <c r="CC151" s="77" t="str">
        <f t="shared" si="382"/>
        <v/>
      </c>
      <c r="CD151" s="77" t="str">
        <f t="shared" si="382"/>
        <v/>
      </c>
      <c r="CE151" s="77" t="str">
        <f t="shared" si="382"/>
        <v/>
      </c>
      <c r="CF151" s="57" t="str">
        <f t="shared" si="360"/>
        <v/>
      </c>
      <c r="CG151" s="105"/>
      <c r="CH151" s="105"/>
      <c r="CI151" s="105"/>
      <c r="CJ151" s="105"/>
      <c r="CK151" s="105"/>
      <c r="CL151" s="105"/>
      <c r="CM151" s="105"/>
      <c r="CN151" s="105"/>
      <c r="CO151" s="105"/>
      <c r="CP151" s="105"/>
      <c r="CQ151" s="105"/>
      <c r="CR151" s="105"/>
      <c r="CS151" s="105"/>
      <c r="CT151" s="105"/>
      <c r="CV151" s="65" t="str">
        <f t="shared" si="351"/>
        <v/>
      </c>
      <c r="CW151" s="67" t="str">
        <f t="shared" si="352"/>
        <v/>
      </c>
      <c r="CX151" s="67" t="str">
        <f t="shared" si="353"/>
        <v/>
      </c>
      <c r="CY151" s="67" t="str">
        <f t="shared" si="361"/>
        <v/>
      </c>
    </row>
    <row r="152" spans="13:103" s="31" customFormat="1" ht="15" customHeight="1" x14ac:dyDescent="0.2">
      <c r="M152" s="82" t="str">
        <f t="shared" si="354"/>
        <v/>
      </c>
      <c r="N152" s="77" t="str">
        <f t="shared" ref="N152:Y152" si="383">IF($M152="","",N43-N125)</f>
        <v/>
      </c>
      <c r="O152" s="77" t="str">
        <f t="shared" si="383"/>
        <v/>
      </c>
      <c r="P152" s="77" t="str">
        <f t="shared" si="383"/>
        <v/>
      </c>
      <c r="Q152" s="77" t="str">
        <f t="shared" si="383"/>
        <v/>
      </c>
      <c r="R152" s="77" t="str">
        <f t="shared" si="383"/>
        <v/>
      </c>
      <c r="S152" s="77" t="str">
        <f t="shared" si="383"/>
        <v/>
      </c>
      <c r="T152" s="77" t="str">
        <f t="shared" si="383"/>
        <v/>
      </c>
      <c r="U152" s="77" t="str">
        <f t="shared" si="383"/>
        <v/>
      </c>
      <c r="V152" s="77" t="str">
        <f t="shared" si="383"/>
        <v/>
      </c>
      <c r="W152" s="77" t="str">
        <f t="shared" si="383"/>
        <v/>
      </c>
      <c r="X152" s="77" t="str">
        <f t="shared" si="383"/>
        <v/>
      </c>
      <c r="Y152" s="77" t="str">
        <f t="shared" si="383"/>
        <v/>
      </c>
      <c r="Z152" s="57" t="str">
        <f t="shared" si="356"/>
        <v/>
      </c>
      <c r="AA152" s="105"/>
      <c r="AB152" s="105"/>
      <c r="AC152" s="105"/>
      <c r="AD152" s="105"/>
      <c r="AE152" s="105"/>
      <c r="AF152" s="105"/>
      <c r="AG152" s="105"/>
      <c r="AH152" s="105"/>
      <c r="AI152" s="105"/>
      <c r="AJ152" s="105"/>
      <c r="AK152" s="105"/>
      <c r="AL152" s="105"/>
      <c r="AM152" s="105"/>
      <c r="AN152" s="105"/>
      <c r="AP152" s="65" t="str">
        <f t="shared" si="347"/>
        <v/>
      </c>
      <c r="AQ152" s="77" t="str">
        <f t="shared" ref="AQ152:BB152" si="384">IF($M152="","",AQ43-AQ125)</f>
        <v/>
      </c>
      <c r="AR152" s="77" t="str">
        <f t="shared" si="384"/>
        <v/>
      </c>
      <c r="AS152" s="77" t="str">
        <f t="shared" si="384"/>
        <v/>
      </c>
      <c r="AT152" s="77" t="str">
        <f t="shared" si="384"/>
        <v/>
      </c>
      <c r="AU152" s="77" t="str">
        <f t="shared" si="384"/>
        <v/>
      </c>
      <c r="AV152" s="77" t="str">
        <f t="shared" si="384"/>
        <v/>
      </c>
      <c r="AW152" s="77" t="str">
        <f t="shared" si="384"/>
        <v/>
      </c>
      <c r="AX152" s="77" t="str">
        <f t="shared" si="384"/>
        <v/>
      </c>
      <c r="AY152" s="77" t="str">
        <f t="shared" si="384"/>
        <v/>
      </c>
      <c r="AZ152" s="77" t="str">
        <f t="shared" si="384"/>
        <v/>
      </c>
      <c r="BA152" s="77" t="str">
        <f t="shared" si="384"/>
        <v/>
      </c>
      <c r="BB152" s="77" t="str">
        <f t="shared" si="384"/>
        <v/>
      </c>
      <c r="BC152" s="57" t="str">
        <f t="shared" si="358"/>
        <v/>
      </c>
      <c r="BD152" s="105"/>
      <c r="BE152" s="105"/>
      <c r="BF152" s="105"/>
      <c r="BG152" s="105"/>
      <c r="BH152" s="105"/>
      <c r="BI152" s="105"/>
      <c r="BJ152" s="105"/>
      <c r="BK152" s="105"/>
      <c r="BL152" s="105"/>
      <c r="BM152" s="105"/>
      <c r="BN152" s="105"/>
      <c r="BO152" s="105"/>
      <c r="BP152" s="105"/>
      <c r="BQ152" s="105"/>
      <c r="BS152" s="65" t="str">
        <f t="shared" si="349"/>
        <v/>
      </c>
      <c r="BT152" s="77" t="str">
        <f t="shared" ref="BT152:CE152" si="385">IF($M152="","",BT43-BT125)</f>
        <v/>
      </c>
      <c r="BU152" s="77" t="str">
        <f t="shared" si="385"/>
        <v/>
      </c>
      <c r="BV152" s="77" t="str">
        <f t="shared" si="385"/>
        <v/>
      </c>
      <c r="BW152" s="77" t="str">
        <f t="shared" si="385"/>
        <v/>
      </c>
      <c r="BX152" s="77" t="str">
        <f t="shared" si="385"/>
        <v/>
      </c>
      <c r="BY152" s="77" t="str">
        <f t="shared" si="385"/>
        <v/>
      </c>
      <c r="BZ152" s="77" t="str">
        <f t="shared" si="385"/>
        <v/>
      </c>
      <c r="CA152" s="77" t="str">
        <f t="shared" si="385"/>
        <v/>
      </c>
      <c r="CB152" s="77" t="str">
        <f t="shared" si="385"/>
        <v/>
      </c>
      <c r="CC152" s="77" t="str">
        <f t="shared" si="385"/>
        <v/>
      </c>
      <c r="CD152" s="77" t="str">
        <f t="shared" si="385"/>
        <v/>
      </c>
      <c r="CE152" s="77" t="str">
        <f t="shared" si="385"/>
        <v/>
      </c>
      <c r="CF152" s="57" t="str">
        <f t="shared" si="360"/>
        <v/>
      </c>
      <c r="CG152" s="105"/>
      <c r="CH152" s="105"/>
      <c r="CI152" s="105"/>
      <c r="CJ152" s="105"/>
      <c r="CK152" s="105"/>
      <c r="CL152" s="105"/>
      <c r="CM152" s="105"/>
      <c r="CN152" s="105"/>
      <c r="CO152" s="105"/>
      <c r="CP152" s="105"/>
      <c r="CQ152" s="105"/>
      <c r="CR152" s="105"/>
      <c r="CS152" s="105"/>
      <c r="CT152" s="105"/>
      <c r="CV152" s="65" t="str">
        <f t="shared" si="351"/>
        <v/>
      </c>
      <c r="CW152" s="67" t="str">
        <f t="shared" si="352"/>
        <v/>
      </c>
      <c r="CX152" s="67" t="str">
        <f t="shared" si="353"/>
        <v/>
      </c>
      <c r="CY152" s="67" t="str">
        <f t="shared" si="361"/>
        <v/>
      </c>
    </row>
    <row r="153" spans="13:103" s="31" customFormat="1" ht="15" hidden="1" customHeight="1" x14ac:dyDescent="0.2">
      <c r="M153" s="82" t="str">
        <f t="shared" si="354"/>
        <v/>
      </c>
      <c r="N153" s="77" t="str">
        <f t="shared" ref="N153:Y153" si="386">IF($M153="","",N44-N126)</f>
        <v/>
      </c>
      <c r="O153" s="77" t="str">
        <f t="shared" si="386"/>
        <v/>
      </c>
      <c r="P153" s="77" t="str">
        <f t="shared" si="386"/>
        <v/>
      </c>
      <c r="Q153" s="77" t="str">
        <f t="shared" si="386"/>
        <v/>
      </c>
      <c r="R153" s="77" t="str">
        <f t="shared" si="386"/>
        <v/>
      </c>
      <c r="S153" s="77" t="str">
        <f t="shared" si="386"/>
        <v/>
      </c>
      <c r="T153" s="77" t="str">
        <f t="shared" si="386"/>
        <v/>
      </c>
      <c r="U153" s="77" t="str">
        <f t="shared" si="386"/>
        <v/>
      </c>
      <c r="V153" s="77" t="str">
        <f t="shared" si="386"/>
        <v/>
      </c>
      <c r="W153" s="77" t="str">
        <f t="shared" si="386"/>
        <v/>
      </c>
      <c r="X153" s="77" t="str">
        <f t="shared" si="386"/>
        <v/>
      </c>
      <c r="Y153" s="77" t="str">
        <f t="shared" si="386"/>
        <v/>
      </c>
      <c r="Z153" s="57" t="str">
        <f t="shared" si="356"/>
        <v/>
      </c>
      <c r="AA153" s="105"/>
      <c r="AB153" s="105"/>
      <c r="AC153" s="105"/>
      <c r="AD153" s="105"/>
      <c r="AE153" s="105"/>
      <c r="AF153" s="105"/>
      <c r="AG153" s="105"/>
      <c r="AH153" s="105"/>
      <c r="AI153" s="105"/>
      <c r="AJ153" s="105"/>
      <c r="AK153" s="105"/>
      <c r="AL153" s="105"/>
      <c r="AM153" s="105"/>
      <c r="AN153" s="105"/>
      <c r="AP153" s="65" t="str">
        <f t="shared" si="347"/>
        <v/>
      </c>
      <c r="AQ153" s="77" t="str">
        <f t="shared" ref="AQ153:BB153" si="387">IF($M153="","",AQ44-AQ126)</f>
        <v/>
      </c>
      <c r="AR153" s="77" t="str">
        <f t="shared" si="387"/>
        <v/>
      </c>
      <c r="AS153" s="77" t="str">
        <f t="shared" si="387"/>
        <v/>
      </c>
      <c r="AT153" s="77" t="str">
        <f t="shared" si="387"/>
        <v/>
      </c>
      <c r="AU153" s="77" t="str">
        <f t="shared" si="387"/>
        <v/>
      </c>
      <c r="AV153" s="77" t="str">
        <f t="shared" si="387"/>
        <v/>
      </c>
      <c r="AW153" s="77" t="str">
        <f t="shared" si="387"/>
        <v/>
      </c>
      <c r="AX153" s="77" t="str">
        <f t="shared" si="387"/>
        <v/>
      </c>
      <c r="AY153" s="77" t="str">
        <f t="shared" si="387"/>
        <v/>
      </c>
      <c r="AZ153" s="77" t="str">
        <f t="shared" si="387"/>
        <v/>
      </c>
      <c r="BA153" s="77" t="str">
        <f t="shared" si="387"/>
        <v/>
      </c>
      <c r="BB153" s="77" t="str">
        <f t="shared" si="387"/>
        <v/>
      </c>
      <c r="BC153" s="57" t="str">
        <f t="shared" si="358"/>
        <v/>
      </c>
      <c r="BD153" s="105"/>
      <c r="BE153" s="105"/>
      <c r="BF153" s="105"/>
      <c r="BG153" s="105"/>
      <c r="BH153" s="105"/>
      <c r="BI153" s="105"/>
      <c r="BJ153" s="105"/>
      <c r="BK153" s="105"/>
      <c r="BL153" s="105"/>
      <c r="BM153" s="105"/>
      <c r="BN153" s="105"/>
      <c r="BO153" s="105"/>
      <c r="BP153" s="105"/>
      <c r="BQ153" s="105"/>
      <c r="BS153" s="65" t="str">
        <f t="shared" si="349"/>
        <v/>
      </c>
      <c r="BT153" s="77" t="str">
        <f t="shared" ref="BT153:CE153" si="388">IF($M153="","",BT44-BT126)</f>
        <v/>
      </c>
      <c r="BU153" s="77" t="str">
        <f t="shared" si="388"/>
        <v/>
      </c>
      <c r="BV153" s="77" t="str">
        <f t="shared" si="388"/>
        <v/>
      </c>
      <c r="BW153" s="77" t="str">
        <f t="shared" si="388"/>
        <v/>
      </c>
      <c r="BX153" s="77" t="str">
        <f t="shared" si="388"/>
        <v/>
      </c>
      <c r="BY153" s="77" t="str">
        <f t="shared" si="388"/>
        <v/>
      </c>
      <c r="BZ153" s="77" t="str">
        <f t="shared" si="388"/>
        <v/>
      </c>
      <c r="CA153" s="77" t="str">
        <f t="shared" si="388"/>
        <v/>
      </c>
      <c r="CB153" s="77" t="str">
        <f t="shared" si="388"/>
        <v/>
      </c>
      <c r="CC153" s="77" t="str">
        <f t="shared" si="388"/>
        <v/>
      </c>
      <c r="CD153" s="77" t="str">
        <f t="shared" si="388"/>
        <v/>
      </c>
      <c r="CE153" s="77" t="str">
        <f t="shared" si="388"/>
        <v/>
      </c>
      <c r="CF153" s="57" t="str">
        <f t="shared" si="360"/>
        <v/>
      </c>
      <c r="CG153" s="105"/>
      <c r="CH153" s="105"/>
      <c r="CI153" s="105"/>
      <c r="CJ153" s="105"/>
      <c r="CK153" s="105"/>
      <c r="CL153" s="105"/>
      <c r="CM153" s="105"/>
      <c r="CN153" s="105"/>
      <c r="CO153" s="105"/>
      <c r="CP153" s="105"/>
      <c r="CQ153" s="105"/>
      <c r="CR153" s="105"/>
      <c r="CS153" s="105"/>
      <c r="CT153" s="105"/>
      <c r="CV153" s="65" t="str">
        <f t="shared" si="351"/>
        <v/>
      </c>
      <c r="CW153" s="67" t="str">
        <f t="shared" si="352"/>
        <v/>
      </c>
      <c r="CX153" s="67" t="str">
        <f t="shared" si="353"/>
        <v/>
      </c>
      <c r="CY153" s="67" t="str">
        <f t="shared" si="361"/>
        <v/>
      </c>
    </row>
    <row r="154" spans="13:103" s="31" customFormat="1" ht="15" hidden="1" customHeight="1" x14ac:dyDescent="0.2">
      <c r="M154" s="82" t="str">
        <f t="shared" si="354"/>
        <v/>
      </c>
      <c r="N154" s="77" t="str">
        <f t="shared" ref="N154:Y154" si="389">IF($M154="","",N45-N127)</f>
        <v/>
      </c>
      <c r="O154" s="77" t="str">
        <f t="shared" si="389"/>
        <v/>
      </c>
      <c r="P154" s="77" t="str">
        <f t="shared" si="389"/>
        <v/>
      </c>
      <c r="Q154" s="77" t="str">
        <f t="shared" si="389"/>
        <v/>
      </c>
      <c r="R154" s="77" t="str">
        <f t="shared" si="389"/>
        <v/>
      </c>
      <c r="S154" s="77" t="str">
        <f t="shared" si="389"/>
        <v/>
      </c>
      <c r="T154" s="77" t="str">
        <f t="shared" si="389"/>
        <v/>
      </c>
      <c r="U154" s="77" t="str">
        <f t="shared" si="389"/>
        <v/>
      </c>
      <c r="V154" s="77" t="str">
        <f t="shared" si="389"/>
        <v/>
      </c>
      <c r="W154" s="77" t="str">
        <f t="shared" si="389"/>
        <v/>
      </c>
      <c r="X154" s="77" t="str">
        <f t="shared" si="389"/>
        <v/>
      </c>
      <c r="Y154" s="77" t="str">
        <f t="shared" si="389"/>
        <v/>
      </c>
      <c r="Z154" s="57" t="str">
        <f t="shared" si="356"/>
        <v/>
      </c>
      <c r="AA154" s="105"/>
      <c r="AB154" s="105"/>
      <c r="AC154" s="105"/>
      <c r="AD154" s="105"/>
      <c r="AE154" s="105"/>
      <c r="AF154" s="105"/>
      <c r="AG154" s="105"/>
      <c r="AH154" s="105"/>
      <c r="AI154" s="105"/>
      <c r="AJ154" s="105"/>
      <c r="AK154" s="105"/>
      <c r="AL154" s="105"/>
      <c r="AM154" s="105"/>
      <c r="AN154" s="105"/>
      <c r="AP154" s="65" t="str">
        <f t="shared" si="347"/>
        <v/>
      </c>
      <c r="AQ154" s="77" t="str">
        <f t="shared" ref="AQ154:BB154" si="390">IF($M154="","",AQ45-AQ127)</f>
        <v/>
      </c>
      <c r="AR154" s="77" t="str">
        <f t="shared" si="390"/>
        <v/>
      </c>
      <c r="AS154" s="77" t="str">
        <f t="shared" si="390"/>
        <v/>
      </c>
      <c r="AT154" s="77" t="str">
        <f t="shared" si="390"/>
        <v/>
      </c>
      <c r="AU154" s="77" t="str">
        <f t="shared" si="390"/>
        <v/>
      </c>
      <c r="AV154" s="77" t="str">
        <f t="shared" si="390"/>
        <v/>
      </c>
      <c r="AW154" s="77" t="str">
        <f t="shared" si="390"/>
        <v/>
      </c>
      <c r="AX154" s="77" t="str">
        <f t="shared" si="390"/>
        <v/>
      </c>
      <c r="AY154" s="77" t="str">
        <f t="shared" si="390"/>
        <v/>
      </c>
      <c r="AZ154" s="77" t="str">
        <f t="shared" si="390"/>
        <v/>
      </c>
      <c r="BA154" s="77" t="str">
        <f t="shared" si="390"/>
        <v/>
      </c>
      <c r="BB154" s="77" t="str">
        <f t="shared" si="390"/>
        <v/>
      </c>
      <c r="BC154" s="57" t="str">
        <f t="shared" si="358"/>
        <v/>
      </c>
      <c r="BD154" s="105"/>
      <c r="BE154" s="105"/>
      <c r="BF154" s="105"/>
      <c r="BG154" s="105"/>
      <c r="BH154" s="105"/>
      <c r="BI154" s="105"/>
      <c r="BJ154" s="105"/>
      <c r="BK154" s="105"/>
      <c r="BL154" s="105"/>
      <c r="BM154" s="105"/>
      <c r="BN154" s="105"/>
      <c r="BO154" s="105"/>
      <c r="BP154" s="105"/>
      <c r="BQ154" s="105"/>
      <c r="BS154" s="65" t="str">
        <f t="shared" si="349"/>
        <v/>
      </c>
      <c r="BT154" s="77" t="str">
        <f t="shared" ref="BT154:CE154" si="391">IF($M154="","",BT45-BT127)</f>
        <v/>
      </c>
      <c r="BU154" s="77" t="str">
        <f t="shared" si="391"/>
        <v/>
      </c>
      <c r="BV154" s="77" t="str">
        <f t="shared" si="391"/>
        <v/>
      </c>
      <c r="BW154" s="77" t="str">
        <f t="shared" si="391"/>
        <v/>
      </c>
      <c r="BX154" s="77" t="str">
        <f t="shared" si="391"/>
        <v/>
      </c>
      <c r="BY154" s="77" t="str">
        <f t="shared" si="391"/>
        <v/>
      </c>
      <c r="BZ154" s="77" t="str">
        <f t="shared" si="391"/>
        <v/>
      </c>
      <c r="CA154" s="77" t="str">
        <f t="shared" si="391"/>
        <v/>
      </c>
      <c r="CB154" s="77" t="str">
        <f t="shared" si="391"/>
        <v/>
      </c>
      <c r="CC154" s="77" t="str">
        <f t="shared" si="391"/>
        <v/>
      </c>
      <c r="CD154" s="77" t="str">
        <f t="shared" si="391"/>
        <v/>
      </c>
      <c r="CE154" s="77" t="str">
        <f t="shared" si="391"/>
        <v/>
      </c>
      <c r="CF154" s="57" t="str">
        <f t="shared" si="360"/>
        <v/>
      </c>
      <c r="CG154" s="105"/>
      <c r="CH154" s="105"/>
      <c r="CI154" s="105"/>
      <c r="CJ154" s="105"/>
      <c r="CK154" s="105"/>
      <c r="CL154" s="105"/>
      <c r="CM154" s="105"/>
      <c r="CN154" s="105"/>
      <c r="CO154" s="105"/>
      <c r="CP154" s="105"/>
      <c r="CQ154" s="105"/>
      <c r="CR154" s="105"/>
      <c r="CS154" s="105"/>
      <c r="CT154" s="105"/>
      <c r="CV154" s="65" t="str">
        <f t="shared" si="351"/>
        <v/>
      </c>
      <c r="CW154" s="67" t="str">
        <f t="shared" si="352"/>
        <v/>
      </c>
      <c r="CX154" s="67" t="str">
        <f t="shared" si="353"/>
        <v/>
      </c>
      <c r="CY154" s="67" t="str">
        <f t="shared" si="361"/>
        <v/>
      </c>
    </row>
    <row r="155" spans="13:103" s="31" customFormat="1" ht="15" hidden="1" customHeight="1" x14ac:dyDescent="0.2">
      <c r="M155" s="82" t="str">
        <f t="shared" si="354"/>
        <v/>
      </c>
      <c r="N155" s="77" t="str">
        <f t="shared" ref="N155:Y155" si="392">IF($M155="","",N46-N128)</f>
        <v/>
      </c>
      <c r="O155" s="77" t="str">
        <f t="shared" si="392"/>
        <v/>
      </c>
      <c r="P155" s="77" t="str">
        <f t="shared" si="392"/>
        <v/>
      </c>
      <c r="Q155" s="77" t="str">
        <f t="shared" si="392"/>
        <v/>
      </c>
      <c r="R155" s="77" t="str">
        <f t="shared" si="392"/>
        <v/>
      </c>
      <c r="S155" s="77" t="str">
        <f t="shared" si="392"/>
        <v/>
      </c>
      <c r="T155" s="77" t="str">
        <f t="shared" si="392"/>
        <v/>
      </c>
      <c r="U155" s="77" t="str">
        <f t="shared" si="392"/>
        <v/>
      </c>
      <c r="V155" s="77" t="str">
        <f t="shared" si="392"/>
        <v/>
      </c>
      <c r="W155" s="77" t="str">
        <f t="shared" si="392"/>
        <v/>
      </c>
      <c r="X155" s="77" t="str">
        <f t="shared" si="392"/>
        <v/>
      </c>
      <c r="Y155" s="77" t="str">
        <f t="shared" si="392"/>
        <v/>
      </c>
      <c r="Z155" s="57" t="str">
        <f t="shared" si="356"/>
        <v/>
      </c>
      <c r="AA155" s="105"/>
      <c r="AB155" s="105"/>
      <c r="AC155" s="105"/>
      <c r="AD155" s="105"/>
      <c r="AE155" s="105"/>
      <c r="AF155" s="105"/>
      <c r="AG155" s="105"/>
      <c r="AH155" s="105"/>
      <c r="AI155" s="105"/>
      <c r="AJ155" s="105"/>
      <c r="AK155" s="105"/>
      <c r="AL155" s="105"/>
      <c r="AM155" s="105"/>
      <c r="AN155" s="105"/>
      <c r="AP155" s="65" t="str">
        <f t="shared" si="347"/>
        <v/>
      </c>
      <c r="AQ155" s="77" t="str">
        <f t="shared" ref="AQ155:BB155" si="393">IF($M155="","",AQ46-AQ128)</f>
        <v/>
      </c>
      <c r="AR155" s="77" t="str">
        <f t="shared" si="393"/>
        <v/>
      </c>
      <c r="AS155" s="77" t="str">
        <f t="shared" si="393"/>
        <v/>
      </c>
      <c r="AT155" s="77" t="str">
        <f t="shared" si="393"/>
        <v/>
      </c>
      <c r="AU155" s="77" t="str">
        <f t="shared" si="393"/>
        <v/>
      </c>
      <c r="AV155" s="77" t="str">
        <f t="shared" si="393"/>
        <v/>
      </c>
      <c r="AW155" s="77" t="str">
        <f t="shared" si="393"/>
        <v/>
      </c>
      <c r="AX155" s="77" t="str">
        <f t="shared" si="393"/>
        <v/>
      </c>
      <c r="AY155" s="77" t="str">
        <f t="shared" si="393"/>
        <v/>
      </c>
      <c r="AZ155" s="77" t="str">
        <f t="shared" si="393"/>
        <v/>
      </c>
      <c r="BA155" s="77" t="str">
        <f t="shared" si="393"/>
        <v/>
      </c>
      <c r="BB155" s="77" t="str">
        <f t="shared" si="393"/>
        <v/>
      </c>
      <c r="BC155" s="57" t="str">
        <f t="shared" si="358"/>
        <v/>
      </c>
      <c r="BD155" s="105"/>
      <c r="BE155" s="105"/>
      <c r="BF155" s="105"/>
      <c r="BG155" s="105"/>
      <c r="BH155" s="105"/>
      <c r="BI155" s="105"/>
      <c r="BJ155" s="105"/>
      <c r="BK155" s="105"/>
      <c r="BL155" s="105"/>
      <c r="BM155" s="105"/>
      <c r="BN155" s="105"/>
      <c r="BO155" s="105"/>
      <c r="BP155" s="105"/>
      <c r="BQ155" s="105"/>
      <c r="BS155" s="65" t="str">
        <f t="shared" si="349"/>
        <v/>
      </c>
      <c r="BT155" s="77" t="str">
        <f t="shared" ref="BT155:CE155" si="394">IF($M155="","",BT46-BT128)</f>
        <v/>
      </c>
      <c r="BU155" s="77" t="str">
        <f t="shared" si="394"/>
        <v/>
      </c>
      <c r="BV155" s="77" t="str">
        <f t="shared" si="394"/>
        <v/>
      </c>
      <c r="BW155" s="77" t="str">
        <f t="shared" si="394"/>
        <v/>
      </c>
      <c r="BX155" s="77" t="str">
        <f t="shared" si="394"/>
        <v/>
      </c>
      <c r="BY155" s="77" t="str">
        <f t="shared" si="394"/>
        <v/>
      </c>
      <c r="BZ155" s="77" t="str">
        <f t="shared" si="394"/>
        <v/>
      </c>
      <c r="CA155" s="77" t="str">
        <f t="shared" si="394"/>
        <v/>
      </c>
      <c r="CB155" s="77" t="str">
        <f t="shared" si="394"/>
        <v/>
      </c>
      <c r="CC155" s="77" t="str">
        <f t="shared" si="394"/>
        <v/>
      </c>
      <c r="CD155" s="77" t="str">
        <f t="shared" si="394"/>
        <v/>
      </c>
      <c r="CE155" s="77" t="str">
        <f t="shared" si="394"/>
        <v/>
      </c>
      <c r="CF155" s="57" t="str">
        <f t="shared" si="360"/>
        <v/>
      </c>
      <c r="CG155" s="105"/>
      <c r="CH155" s="105"/>
      <c r="CI155" s="105"/>
      <c r="CJ155" s="105"/>
      <c r="CK155" s="105"/>
      <c r="CL155" s="105"/>
      <c r="CM155" s="105"/>
      <c r="CN155" s="105"/>
      <c r="CO155" s="105"/>
      <c r="CP155" s="105"/>
      <c r="CQ155" s="105"/>
      <c r="CR155" s="105"/>
      <c r="CS155" s="105"/>
      <c r="CT155" s="105"/>
      <c r="CV155" s="65" t="str">
        <f t="shared" si="351"/>
        <v/>
      </c>
      <c r="CW155" s="67" t="str">
        <f t="shared" si="352"/>
        <v/>
      </c>
      <c r="CX155" s="67" t="str">
        <f t="shared" si="353"/>
        <v/>
      </c>
      <c r="CY155" s="67" t="str">
        <f t="shared" si="361"/>
        <v/>
      </c>
    </row>
    <row r="156" spans="13:103" s="31" customFormat="1" ht="15" hidden="1" customHeight="1" x14ac:dyDescent="0.2">
      <c r="M156" s="82" t="str">
        <f t="shared" si="354"/>
        <v/>
      </c>
      <c r="N156" s="77" t="str">
        <f t="shared" ref="N156:Y156" si="395">IF($M156="","",N47-N129)</f>
        <v/>
      </c>
      <c r="O156" s="77" t="str">
        <f t="shared" si="395"/>
        <v/>
      </c>
      <c r="P156" s="77" t="str">
        <f t="shared" si="395"/>
        <v/>
      </c>
      <c r="Q156" s="77" t="str">
        <f t="shared" si="395"/>
        <v/>
      </c>
      <c r="R156" s="77" t="str">
        <f t="shared" si="395"/>
        <v/>
      </c>
      <c r="S156" s="77" t="str">
        <f t="shared" si="395"/>
        <v/>
      </c>
      <c r="T156" s="77" t="str">
        <f t="shared" si="395"/>
        <v/>
      </c>
      <c r="U156" s="77" t="str">
        <f t="shared" si="395"/>
        <v/>
      </c>
      <c r="V156" s="77" t="str">
        <f t="shared" si="395"/>
        <v/>
      </c>
      <c r="W156" s="77" t="str">
        <f t="shared" si="395"/>
        <v/>
      </c>
      <c r="X156" s="77" t="str">
        <f t="shared" si="395"/>
        <v/>
      </c>
      <c r="Y156" s="77" t="str">
        <f t="shared" si="395"/>
        <v/>
      </c>
      <c r="Z156" s="57" t="str">
        <f t="shared" si="356"/>
        <v/>
      </c>
      <c r="AA156" s="105"/>
      <c r="AB156" s="105"/>
      <c r="AC156" s="105"/>
      <c r="AD156" s="105"/>
      <c r="AE156" s="105"/>
      <c r="AF156" s="105"/>
      <c r="AG156" s="105"/>
      <c r="AH156" s="105"/>
      <c r="AI156" s="105"/>
      <c r="AJ156" s="105"/>
      <c r="AK156" s="105"/>
      <c r="AL156" s="105"/>
      <c r="AM156" s="105"/>
      <c r="AN156" s="105"/>
      <c r="AP156" s="65" t="str">
        <f t="shared" si="347"/>
        <v/>
      </c>
      <c r="AQ156" s="77" t="str">
        <f t="shared" ref="AQ156:BB156" si="396">IF($M156="","",AQ47-AQ129)</f>
        <v/>
      </c>
      <c r="AR156" s="77" t="str">
        <f t="shared" si="396"/>
        <v/>
      </c>
      <c r="AS156" s="77" t="str">
        <f t="shared" si="396"/>
        <v/>
      </c>
      <c r="AT156" s="77" t="str">
        <f t="shared" si="396"/>
        <v/>
      </c>
      <c r="AU156" s="77" t="str">
        <f t="shared" si="396"/>
        <v/>
      </c>
      <c r="AV156" s="77" t="str">
        <f t="shared" si="396"/>
        <v/>
      </c>
      <c r="AW156" s="77" t="str">
        <f t="shared" si="396"/>
        <v/>
      </c>
      <c r="AX156" s="77" t="str">
        <f t="shared" si="396"/>
        <v/>
      </c>
      <c r="AY156" s="77" t="str">
        <f t="shared" si="396"/>
        <v/>
      </c>
      <c r="AZ156" s="77" t="str">
        <f t="shared" si="396"/>
        <v/>
      </c>
      <c r="BA156" s="77" t="str">
        <f t="shared" si="396"/>
        <v/>
      </c>
      <c r="BB156" s="77" t="str">
        <f t="shared" si="396"/>
        <v/>
      </c>
      <c r="BC156" s="57" t="str">
        <f t="shared" si="358"/>
        <v/>
      </c>
      <c r="BD156" s="105"/>
      <c r="BE156" s="105"/>
      <c r="BF156" s="105"/>
      <c r="BG156" s="105"/>
      <c r="BH156" s="105"/>
      <c r="BI156" s="105"/>
      <c r="BJ156" s="105"/>
      <c r="BK156" s="105"/>
      <c r="BL156" s="105"/>
      <c r="BM156" s="105"/>
      <c r="BN156" s="105"/>
      <c r="BO156" s="105"/>
      <c r="BP156" s="105"/>
      <c r="BQ156" s="105"/>
      <c r="BS156" s="65" t="str">
        <f t="shared" si="349"/>
        <v/>
      </c>
      <c r="BT156" s="77" t="str">
        <f t="shared" ref="BT156:CE156" si="397">IF($M156="","",BT47-BT129)</f>
        <v/>
      </c>
      <c r="BU156" s="77" t="str">
        <f t="shared" si="397"/>
        <v/>
      </c>
      <c r="BV156" s="77" t="str">
        <f t="shared" si="397"/>
        <v/>
      </c>
      <c r="BW156" s="77" t="str">
        <f t="shared" si="397"/>
        <v/>
      </c>
      <c r="BX156" s="77" t="str">
        <f t="shared" si="397"/>
        <v/>
      </c>
      <c r="BY156" s="77" t="str">
        <f t="shared" si="397"/>
        <v/>
      </c>
      <c r="BZ156" s="77" t="str">
        <f t="shared" si="397"/>
        <v/>
      </c>
      <c r="CA156" s="77" t="str">
        <f t="shared" si="397"/>
        <v/>
      </c>
      <c r="CB156" s="77" t="str">
        <f t="shared" si="397"/>
        <v/>
      </c>
      <c r="CC156" s="77" t="str">
        <f t="shared" si="397"/>
        <v/>
      </c>
      <c r="CD156" s="77" t="str">
        <f t="shared" si="397"/>
        <v/>
      </c>
      <c r="CE156" s="77" t="str">
        <f t="shared" si="397"/>
        <v/>
      </c>
      <c r="CF156" s="57" t="str">
        <f t="shared" si="360"/>
        <v/>
      </c>
      <c r="CG156" s="105"/>
      <c r="CH156" s="105"/>
      <c r="CI156" s="105"/>
      <c r="CJ156" s="105"/>
      <c r="CK156" s="105"/>
      <c r="CL156" s="105"/>
      <c r="CM156" s="105"/>
      <c r="CN156" s="105"/>
      <c r="CO156" s="105"/>
      <c r="CP156" s="105"/>
      <c r="CQ156" s="105"/>
      <c r="CR156" s="105"/>
      <c r="CS156" s="105"/>
      <c r="CT156" s="105"/>
      <c r="CV156" s="65" t="str">
        <f t="shared" si="351"/>
        <v/>
      </c>
      <c r="CW156" s="67" t="str">
        <f t="shared" si="352"/>
        <v/>
      </c>
      <c r="CX156" s="67" t="str">
        <f t="shared" si="353"/>
        <v/>
      </c>
      <c r="CY156" s="67" t="str">
        <f t="shared" si="361"/>
        <v/>
      </c>
    </row>
    <row r="157" spans="13:103" s="31" customFormat="1" ht="15" hidden="1" customHeight="1" x14ac:dyDescent="0.2">
      <c r="M157" s="82" t="str">
        <f t="shared" si="354"/>
        <v/>
      </c>
      <c r="N157" s="77" t="str">
        <f t="shared" ref="N157:Y157" si="398">IF($M157="","",N48-N130)</f>
        <v/>
      </c>
      <c r="O157" s="77" t="str">
        <f t="shared" si="398"/>
        <v/>
      </c>
      <c r="P157" s="77" t="str">
        <f t="shared" si="398"/>
        <v/>
      </c>
      <c r="Q157" s="77" t="str">
        <f t="shared" si="398"/>
        <v/>
      </c>
      <c r="R157" s="77" t="str">
        <f t="shared" si="398"/>
        <v/>
      </c>
      <c r="S157" s="77" t="str">
        <f t="shared" si="398"/>
        <v/>
      </c>
      <c r="T157" s="77" t="str">
        <f t="shared" si="398"/>
        <v/>
      </c>
      <c r="U157" s="77" t="str">
        <f t="shared" si="398"/>
        <v/>
      </c>
      <c r="V157" s="77" t="str">
        <f t="shared" si="398"/>
        <v/>
      </c>
      <c r="W157" s="77" t="str">
        <f t="shared" si="398"/>
        <v/>
      </c>
      <c r="X157" s="77" t="str">
        <f t="shared" si="398"/>
        <v/>
      </c>
      <c r="Y157" s="77" t="str">
        <f t="shared" si="398"/>
        <v/>
      </c>
      <c r="Z157" s="57" t="str">
        <f t="shared" si="356"/>
        <v/>
      </c>
      <c r="AA157" s="105"/>
      <c r="AB157" s="105"/>
      <c r="AC157" s="105"/>
      <c r="AD157" s="105"/>
      <c r="AE157" s="105"/>
      <c r="AF157" s="105"/>
      <c r="AG157" s="105"/>
      <c r="AH157" s="105"/>
      <c r="AI157" s="105"/>
      <c r="AJ157" s="105"/>
      <c r="AK157" s="105"/>
      <c r="AL157" s="105"/>
      <c r="AM157" s="105"/>
      <c r="AN157" s="105"/>
      <c r="AP157" s="65" t="str">
        <f t="shared" si="347"/>
        <v/>
      </c>
      <c r="AQ157" s="77" t="str">
        <f t="shared" ref="AQ157:BB157" si="399">IF($M157="","",AQ48-AQ130)</f>
        <v/>
      </c>
      <c r="AR157" s="77" t="str">
        <f t="shared" si="399"/>
        <v/>
      </c>
      <c r="AS157" s="77" t="str">
        <f t="shared" si="399"/>
        <v/>
      </c>
      <c r="AT157" s="77" t="str">
        <f t="shared" si="399"/>
        <v/>
      </c>
      <c r="AU157" s="77" t="str">
        <f t="shared" si="399"/>
        <v/>
      </c>
      <c r="AV157" s="77" t="str">
        <f t="shared" si="399"/>
        <v/>
      </c>
      <c r="AW157" s="77" t="str">
        <f t="shared" si="399"/>
        <v/>
      </c>
      <c r="AX157" s="77" t="str">
        <f t="shared" si="399"/>
        <v/>
      </c>
      <c r="AY157" s="77" t="str">
        <f t="shared" si="399"/>
        <v/>
      </c>
      <c r="AZ157" s="77" t="str">
        <f t="shared" si="399"/>
        <v/>
      </c>
      <c r="BA157" s="77" t="str">
        <f t="shared" si="399"/>
        <v/>
      </c>
      <c r="BB157" s="77" t="str">
        <f t="shared" si="399"/>
        <v/>
      </c>
      <c r="BC157" s="57" t="str">
        <f t="shared" si="358"/>
        <v/>
      </c>
      <c r="BD157" s="105"/>
      <c r="BE157" s="105"/>
      <c r="BF157" s="105"/>
      <c r="BG157" s="105"/>
      <c r="BH157" s="105"/>
      <c r="BI157" s="105"/>
      <c r="BJ157" s="105"/>
      <c r="BK157" s="105"/>
      <c r="BL157" s="105"/>
      <c r="BM157" s="105"/>
      <c r="BN157" s="105"/>
      <c r="BO157" s="105"/>
      <c r="BP157" s="105"/>
      <c r="BQ157" s="105"/>
      <c r="BS157" s="65" t="str">
        <f t="shared" si="349"/>
        <v/>
      </c>
      <c r="BT157" s="77" t="str">
        <f t="shared" ref="BT157:CE157" si="400">IF($M157="","",BT48-BT130)</f>
        <v/>
      </c>
      <c r="BU157" s="77" t="str">
        <f t="shared" si="400"/>
        <v/>
      </c>
      <c r="BV157" s="77" t="str">
        <f t="shared" si="400"/>
        <v/>
      </c>
      <c r="BW157" s="77" t="str">
        <f t="shared" si="400"/>
        <v/>
      </c>
      <c r="BX157" s="77" t="str">
        <f t="shared" si="400"/>
        <v/>
      </c>
      <c r="BY157" s="77" t="str">
        <f t="shared" si="400"/>
        <v/>
      </c>
      <c r="BZ157" s="77" t="str">
        <f t="shared" si="400"/>
        <v/>
      </c>
      <c r="CA157" s="77" t="str">
        <f t="shared" si="400"/>
        <v/>
      </c>
      <c r="CB157" s="77" t="str">
        <f t="shared" si="400"/>
        <v/>
      </c>
      <c r="CC157" s="77" t="str">
        <f t="shared" si="400"/>
        <v/>
      </c>
      <c r="CD157" s="77" t="str">
        <f t="shared" si="400"/>
        <v/>
      </c>
      <c r="CE157" s="77" t="str">
        <f t="shared" si="400"/>
        <v/>
      </c>
      <c r="CF157" s="57" t="str">
        <f t="shared" si="360"/>
        <v/>
      </c>
      <c r="CG157" s="105"/>
      <c r="CH157" s="105"/>
      <c r="CI157" s="105"/>
      <c r="CJ157" s="105"/>
      <c r="CK157" s="105"/>
      <c r="CL157" s="105"/>
      <c r="CM157" s="105"/>
      <c r="CN157" s="105"/>
      <c r="CO157" s="105"/>
      <c r="CP157" s="105"/>
      <c r="CQ157" s="105"/>
      <c r="CR157" s="105"/>
      <c r="CS157" s="105"/>
      <c r="CT157" s="105"/>
      <c r="CV157" s="65" t="str">
        <f t="shared" si="351"/>
        <v/>
      </c>
      <c r="CW157" s="67" t="str">
        <f t="shared" si="352"/>
        <v/>
      </c>
      <c r="CX157" s="67" t="str">
        <f t="shared" si="353"/>
        <v/>
      </c>
      <c r="CY157" s="67" t="str">
        <f t="shared" si="361"/>
        <v/>
      </c>
    </row>
    <row r="158" spans="13:103" s="31" customFormat="1" ht="15" hidden="1" customHeight="1" x14ac:dyDescent="0.2">
      <c r="M158" s="82" t="str">
        <f t="shared" si="354"/>
        <v/>
      </c>
      <c r="N158" s="77" t="str">
        <f t="shared" ref="N158:Y158" si="401">IF($M158="","",N49-N131)</f>
        <v/>
      </c>
      <c r="O158" s="77" t="str">
        <f t="shared" si="401"/>
        <v/>
      </c>
      <c r="P158" s="77" t="str">
        <f t="shared" si="401"/>
        <v/>
      </c>
      <c r="Q158" s="77" t="str">
        <f t="shared" si="401"/>
        <v/>
      </c>
      <c r="R158" s="77" t="str">
        <f t="shared" si="401"/>
        <v/>
      </c>
      <c r="S158" s="77" t="str">
        <f t="shared" si="401"/>
        <v/>
      </c>
      <c r="T158" s="77" t="str">
        <f t="shared" si="401"/>
        <v/>
      </c>
      <c r="U158" s="77" t="str">
        <f t="shared" si="401"/>
        <v/>
      </c>
      <c r="V158" s="77" t="str">
        <f t="shared" si="401"/>
        <v/>
      </c>
      <c r="W158" s="77" t="str">
        <f t="shared" si="401"/>
        <v/>
      </c>
      <c r="X158" s="77" t="str">
        <f t="shared" si="401"/>
        <v/>
      </c>
      <c r="Y158" s="77" t="str">
        <f t="shared" si="401"/>
        <v/>
      </c>
      <c r="Z158" s="57" t="str">
        <f t="shared" si="356"/>
        <v/>
      </c>
      <c r="AA158" s="105"/>
      <c r="AB158" s="105"/>
      <c r="AC158" s="105"/>
      <c r="AD158" s="105"/>
      <c r="AE158" s="105"/>
      <c r="AF158" s="105"/>
      <c r="AG158" s="105"/>
      <c r="AH158" s="105"/>
      <c r="AI158" s="105"/>
      <c r="AJ158" s="105"/>
      <c r="AK158" s="105"/>
      <c r="AL158" s="105"/>
      <c r="AM158" s="105"/>
      <c r="AN158" s="105"/>
      <c r="AP158" s="65" t="str">
        <f t="shared" si="347"/>
        <v/>
      </c>
      <c r="AQ158" s="77" t="str">
        <f t="shared" ref="AQ158:BB158" si="402">IF($M158="","",AQ49-AQ131)</f>
        <v/>
      </c>
      <c r="AR158" s="77" t="str">
        <f t="shared" si="402"/>
        <v/>
      </c>
      <c r="AS158" s="77" t="str">
        <f t="shared" si="402"/>
        <v/>
      </c>
      <c r="AT158" s="77" t="str">
        <f t="shared" si="402"/>
        <v/>
      </c>
      <c r="AU158" s="77" t="str">
        <f t="shared" si="402"/>
        <v/>
      </c>
      <c r="AV158" s="77" t="str">
        <f t="shared" si="402"/>
        <v/>
      </c>
      <c r="AW158" s="77" t="str">
        <f t="shared" si="402"/>
        <v/>
      </c>
      <c r="AX158" s="77" t="str">
        <f t="shared" si="402"/>
        <v/>
      </c>
      <c r="AY158" s="77" t="str">
        <f t="shared" si="402"/>
        <v/>
      </c>
      <c r="AZ158" s="77" t="str">
        <f t="shared" si="402"/>
        <v/>
      </c>
      <c r="BA158" s="77" t="str">
        <f t="shared" si="402"/>
        <v/>
      </c>
      <c r="BB158" s="77" t="str">
        <f t="shared" si="402"/>
        <v/>
      </c>
      <c r="BC158" s="57" t="str">
        <f t="shared" si="358"/>
        <v/>
      </c>
      <c r="BD158" s="105"/>
      <c r="BE158" s="105"/>
      <c r="BF158" s="105"/>
      <c r="BG158" s="105"/>
      <c r="BH158" s="105"/>
      <c r="BI158" s="105"/>
      <c r="BJ158" s="105"/>
      <c r="BK158" s="105"/>
      <c r="BL158" s="105"/>
      <c r="BM158" s="105"/>
      <c r="BN158" s="105"/>
      <c r="BO158" s="105"/>
      <c r="BP158" s="105"/>
      <c r="BQ158" s="105"/>
      <c r="BS158" s="65" t="str">
        <f t="shared" si="349"/>
        <v/>
      </c>
      <c r="BT158" s="77" t="str">
        <f t="shared" ref="BT158:CE158" si="403">IF($M158="","",BT49-BT131)</f>
        <v/>
      </c>
      <c r="BU158" s="77" t="str">
        <f t="shared" si="403"/>
        <v/>
      </c>
      <c r="BV158" s="77" t="str">
        <f t="shared" si="403"/>
        <v/>
      </c>
      <c r="BW158" s="77" t="str">
        <f t="shared" si="403"/>
        <v/>
      </c>
      <c r="BX158" s="77" t="str">
        <f t="shared" si="403"/>
        <v/>
      </c>
      <c r="BY158" s="77" t="str">
        <f t="shared" si="403"/>
        <v/>
      </c>
      <c r="BZ158" s="77" t="str">
        <f t="shared" si="403"/>
        <v/>
      </c>
      <c r="CA158" s="77" t="str">
        <f t="shared" si="403"/>
        <v/>
      </c>
      <c r="CB158" s="77" t="str">
        <f t="shared" si="403"/>
        <v/>
      </c>
      <c r="CC158" s="77" t="str">
        <f t="shared" si="403"/>
        <v/>
      </c>
      <c r="CD158" s="77" t="str">
        <f t="shared" si="403"/>
        <v/>
      </c>
      <c r="CE158" s="77" t="str">
        <f t="shared" si="403"/>
        <v/>
      </c>
      <c r="CF158" s="57" t="str">
        <f t="shared" si="360"/>
        <v/>
      </c>
      <c r="CG158" s="105"/>
      <c r="CH158" s="105"/>
      <c r="CI158" s="105"/>
      <c r="CJ158" s="105"/>
      <c r="CK158" s="105"/>
      <c r="CL158" s="105"/>
      <c r="CM158" s="105"/>
      <c r="CN158" s="105"/>
      <c r="CO158" s="105"/>
      <c r="CP158" s="105"/>
      <c r="CQ158" s="105"/>
      <c r="CR158" s="105"/>
      <c r="CS158" s="105"/>
      <c r="CT158" s="105"/>
      <c r="CV158" s="65" t="str">
        <f t="shared" si="351"/>
        <v/>
      </c>
      <c r="CW158" s="67" t="str">
        <f t="shared" si="352"/>
        <v/>
      </c>
      <c r="CX158" s="67" t="str">
        <f t="shared" si="353"/>
        <v/>
      </c>
      <c r="CY158" s="67" t="str">
        <f t="shared" si="361"/>
        <v/>
      </c>
    </row>
    <row r="159" spans="13:103" s="31" customFormat="1" ht="15" hidden="1" customHeight="1" x14ac:dyDescent="0.2">
      <c r="M159" s="82" t="str">
        <f t="shared" si="354"/>
        <v/>
      </c>
      <c r="N159" s="77" t="str">
        <f t="shared" ref="N159:Y159" si="404">IF($M159="","",N50-N132)</f>
        <v/>
      </c>
      <c r="O159" s="77" t="str">
        <f t="shared" si="404"/>
        <v/>
      </c>
      <c r="P159" s="77" t="str">
        <f t="shared" si="404"/>
        <v/>
      </c>
      <c r="Q159" s="77" t="str">
        <f t="shared" si="404"/>
        <v/>
      </c>
      <c r="R159" s="77" t="str">
        <f t="shared" si="404"/>
        <v/>
      </c>
      <c r="S159" s="77" t="str">
        <f t="shared" si="404"/>
        <v/>
      </c>
      <c r="T159" s="77" t="str">
        <f t="shared" si="404"/>
        <v/>
      </c>
      <c r="U159" s="77" t="str">
        <f t="shared" si="404"/>
        <v/>
      </c>
      <c r="V159" s="77" t="str">
        <f t="shared" si="404"/>
        <v/>
      </c>
      <c r="W159" s="77" t="str">
        <f t="shared" si="404"/>
        <v/>
      </c>
      <c r="X159" s="77" t="str">
        <f t="shared" si="404"/>
        <v/>
      </c>
      <c r="Y159" s="77" t="str">
        <f t="shared" si="404"/>
        <v/>
      </c>
      <c r="Z159" s="57" t="str">
        <f t="shared" si="356"/>
        <v/>
      </c>
      <c r="AA159" s="105"/>
      <c r="AB159" s="105"/>
      <c r="AC159" s="105"/>
      <c r="AD159" s="105"/>
      <c r="AE159" s="105"/>
      <c r="AF159" s="105"/>
      <c r="AG159" s="105"/>
      <c r="AH159" s="105"/>
      <c r="AI159" s="105"/>
      <c r="AJ159" s="105"/>
      <c r="AK159" s="105"/>
      <c r="AL159" s="105"/>
      <c r="AM159" s="105"/>
      <c r="AN159" s="105"/>
      <c r="AP159" s="65" t="str">
        <f t="shared" si="347"/>
        <v/>
      </c>
      <c r="AQ159" s="77" t="str">
        <f t="shared" ref="AQ159:BB159" si="405">IF($M159="","",AQ50-AQ132)</f>
        <v/>
      </c>
      <c r="AR159" s="77" t="str">
        <f t="shared" si="405"/>
        <v/>
      </c>
      <c r="AS159" s="77" t="str">
        <f t="shared" si="405"/>
        <v/>
      </c>
      <c r="AT159" s="77" t="str">
        <f t="shared" si="405"/>
        <v/>
      </c>
      <c r="AU159" s="77" t="str">
        <f t="shared" si="405"/>
        <v/>
      </c>
      <c r="AV159" s="77" t="str">
        <f t="shared" si="405"/>
        <v/>
      </c>
      <c r="AW159" s="77" t="str">
        <f t="shared" si="405"/>
        <v/>
      </c>
      <c r="AX159" s="77" t="str">
        <f t="shared" si="405"/>
        <v/>
      </c>
      <c r="AY159" s="77" t="str">
        <f t="shared" si="405"/>
        <v/>
      </c>
      <c r="AZ159" s="77" t="str">
        <f t="shared" si="405"/>
        <v/>
      </c>
      <c r="BA159" s="77" t="str">
        <f t="shared" si="405"/>
        <v/>
      </c>
      <c r="BB159" s="77" t="str">
        <f t="shared" si="405"/>
        <v/>
      </c>
      <c r="BC159" s="57" t="str">
        <f t="shared" si="358"/>
        <v/>
      </c>
      <c r="BD159" s="105"/>
      <c r="BE159" s="105"/>
      <c r="BF159" s="105"/>
      <c r="BG159" s="105"/>
      <c r="BH159" s="105"/>
      <c r="BI159" s="105"/>
      <c r="BJ159" s="105"/>
      <c r="BK159" s="105"/>
      <c r="BL159" s="105"/>
      <c r="BM159" s="105"/>
      <c r="BN159" s="105"/>
      <c r="BO159" s="105"/>
      <c r="BP159" s="105"/>
      <c r="BQ159" s="105"/>
      <c r="BS159" s="65" t="str">
        <f t="shared" si="349"/>
        <v/>
      </c>
      <c r="BT159" s="77" t="str">
        <f t="shared" ref="BT159:CE159" si="406">IF($M159="","",BT50-BT132)</f>
        <v/>
      </c>
      <c r="BU159" s="77" t="str">
        <f t="shared" si="406"/>
        <v/>
      </c>
      <c r="BV159" s="77" t="str">
        <f t="shared" si="406"/>
        <v/>
      </c>
      <c r="BW159" s="77" t="str">
        <f t="shared" si="406"/>
        <v/>
      </c>
      <c r="BX159" s="77" t="str">
        <f t="shared" si="406"/>
        <v/>
      </c>
      <c r="BY159" s="77" t="str">
        <f t="shared" si="406"/>
        <v/>
      </c>
      <c r="BZ159" s="77" t="str">
        <f t="shared" si="406"/>
        <v/>
      </c>
      <c r="CA159" s="77" t="str">
        <f t="shared" si="406"/>
        <v/>
      </c>
      <c r="CB159" s="77" t="str">
        <f t="shared" si="406"/>
        <v/>
      </c>
      <c r="CC159" s="77" t="str">
        <f t="shared" si="406"/>
        <v/>
      </c>
      <c r="CD159" s="77" t="str">
        <f t="shared" si="406"/>
        <v/>
      </c>
      <c r="CE159" s="77" t="str">
        <f t="shared" si="406"/>
        <v/>
      </c>
      <c r="CF159" s="57" t="str">
        <f t="shared" si="360"/>
        <v/>
      </c>
      <c r="CG159" s="105"/>
      <c r="CH159" s="105"/>
      <c r="CI159" s="105"/>
      <c r="CJ159" s="105"/>
      <c r="CK159" s="105"/>
      <c r="CL159" s="105"/>
      <c r="CM159" s="105"/>
      <c r="CN159" s="105"/>
      <c r="CO159" s="105"/>
      <c r="CP159" s="105"/>
      <c r="CQ159" s="105"/>
      <c r="CR159" s="105"/>
      <c r="CS159" s="105"/>
      <c r="CT159" s="105"/>
      <c r="CV159" s="65" t="str">
        <f t="shared" si="351"/>
        <v/>
      </c>
      <c r="CW159" s="67" t="str">
        <f t="shared" si="352"/>
        <v/>
      </c>
      <c r="CX159" s="67" t="str">
        <f t="shared" si="353"/>
        <v/>
      </c>
      <c r="CY159" s="67" t="str">
        <f t="shared" si="361"/>
        <v/>
      </c>
    </row>
    <row r="160" spans="13:103" s="38" customFormat="1" ht="15" hidden="1" customHeight="1" x14ac:dyDescent="0.2">
      <c r="M160" s="82" t="str">
        <f t="shared" si="354"/>
        <v/>
      </c>
      <c r="N160" s="77" t="str">
        <f t="shared" ref="N160:Y160" si="407">IF($M160="","",N51-N133)</f>
        <v/>
      </c>
      <c r="O160" s="77" t="str">
        <f t="shared" si="407"/>
        <v/>
      </c>
      <c r="P160" s="77" t="str">
        <f t="shared" si="407"/>
        <v/>
      </c>
      <c r="Q160" s="77" t="str">
        <f t="shared" si="407"/>
        <v/>
      </c>
      <c r="R160" s="77" t="str">
        <f t="shared" si="407"/>
        <v/>
      </c>
      <c r="S160" s="77" t="str">
        <f t="shared" si="407"/>
        <v/>
      </c>
      <c r="T160" s="77" t="str">
        <f t="shared" si="407"/>
        <v/>
      </c>
      <c r="U160" s="77" t="str">
        <f t="shared" si="407"/>
        <v/>
      </c>
      <c r="V160" s="77" t="str">
        <f t="shared" si="407"/>
        <v/>
      </c>
      <c r="W160" s="77" t="str">
        <f t="shared" si="407"/>
        <v/>
      </c>
      <c r="X160" s="77" t="str">
        <f t="shared" si="407"/>
        <v/>
      </c>
      <c r="Y160" s="77" t="str">
        <f t="shared" si="407"/>
        <v/>
      </c>
      <c r="Z160" s="57" t="str">
        <f t="shared" si="356"/>
        <v/>
      </c>
      <c r="AA160" s="105"/>
      <c r="AB160" s="105"/>
      <c r="AC160" s="105"/>
      <c r="AD160" s="105"/>
      <c r="AE160" s="105"/>
      <c r="AF160" s="105"/>
      <c r="AG160" s="105"/>
      <c r="AH160" s="105"/>
      <c r="AI160" s="105"/>
      <c r="AJ160" s="105"/>
      <c r="AK160" s="105"/>
      <c r="AL160" s="105"/>
      <c r="AM160" s="105"/>
      <c r="AN160" s="105"/>
      <c r="AP160" s="65" t="str">
        <f t="shared" si="347"/>
        <v/>
      </c>
      <c r="AQ160" s="77" t="str">
        <f t="shared" ref="AQ160:BB160" si="408">IF($M160="","",AQ51-AQ133)</f>
        <v/>
      </c>
      <c r="AR160" s="77" t="str">
        <f t="shared" si="408"/>
        <v/>
      </c>
      <c r="AS160" s="77" t="str">
        <f t="shared" si="408"/>
        <v/>
      </c>
      <c r="AT160" s="77" t="str">
        <f t="shared" si="408"/>
        <v/>
      </c>
      <c r="AU160" s="77" t="str">
        <f t="shared" si="408"/>
        <v/>
      </c>
      <c r="AV160" s="77" t="str">
        <f t="shared" si="408"/>
        <v/>
      </c>
      <c r="AW160" s="77" t="str">
        <f t="shared" si="408"/>
        <v/>
      </c>
      <c r="AX160" s="77" t="str">
        <f t="shared" si="408"/>
        <v/>
      </c>
      <c r="AY160" s="77" t="str">
        <f t="shared" si="408"/>
        <v/>
      </c>
      <c r="AZ160" s="77" t="str">
        <f t="shared" si="408"/>
        <v/>
      </c>
      <c r="BA160" s="77" t="str">
        <f t="shared" si="408"/>
        <v/>
      </c>
      <c r="BB160" s="77" t="str">
        <f t="shared" si="408"/>
        <v/>
      </c>
      <c r="BC160" s="57" t="str">
        <f t="shared" si="358"/>
        <v/>
      </c>
      <c r="BD160" s="105"/>
      <c r="BE160" s="105"/>
      <c r="BF160" s="105"/>
      <c r="BG160" s="105"/>
      <c r="BH160" s="105"/>
      <c r="BI160" s="105"/>
      <c r="BJ160" s="105"/>
      <c r="BK160" s="105"/>
      <c r="BL160" s="105"/>
      <c r="BM160" s="105"/>
      <c r="BN160" s="105"/>
      <c r="BO160" s="105"/>
      <c r="BP160" s="105"/>
      <c r="BQ160" s="105"/>
      <c r="BS160" s="65" t="str">
        <f t="shared" si="349"/>
        <v/>
      </c>
      <c r="BT160" s="77" t="str">
        <f t="shared" ref="BT160:CE160" si="409">IF($M160="","",BT51-BT133)</f>
        <v/>
      </c>
      <c r="BU160" s="77" t="str">
        <f t="shared" si="409"/>
        <v/>
      </c>
      <c r="BV160" s="77" t="str">
        <f t="shared" si="409"/>
        <v/>
      </c>
      <c r="BW160" s="77" t="str">
        <f t="shared" si="409"/>
        <v/>
      </c>
      <c r="BX160" s="77" t="str">
        <f t="shared" si="409"/>
        <v/>
      </c>
      <c r="BY160" s="77" t="str">
        <f t="shared" si="409"/>
        <v/>
      </c>
      <c r="BZ160" s="77" t="str">
        <f t="shared" si="409"/>
        <v/>
      </c>
      <c r="CA160" s="77" t="str">
        <f t="shared" si="409"/>
        <v/>
      </c>
      <c r="CB160" s="77" t="str">
        <f t="shared" si="409"/>
        <v/>
      </c>
      <c r="CC160" s="77" t="str">
        <f t="shared" si="409"/>
        <v/>
      </c>
      <c r="CD160" s="77" t="str">
        <f t="shared" si="409"/>
        <v/>
      </c>
      <c r="CE160" s="77" t="str">
        <f t="shared" si="409"/>
        <v/>
      </c>
      <c r="CF160" s="57" t="str">
        <f t="shared" si="360"/>
        <v/>
      </c>
      <c r="CG160" s="105"/>
      <c r="CH160" s="105"/>
      <c r="CI160" s="105"/>
      <c r="CJ160" s="105"/>
      <c r="CK160" s="105"/>
      <c r="CL160" s="105"/>
      <c r="CM160" s="105"/>
      <c r="CN160" s="105"/>
      <c r="CO160" s="105"/>
      <c r="CP160" s="105"/>
      <c r="CQ160" s="105"/>
      <c r="CR160" s="105"/>
      <c r="CS160" s="105"/>
      <c r="CT160" s="105"/>
      <c r="CU160" s="40"/>
      <c r="CV160" s="65" t="str">
        <f t="shared" si="351"/>
        <v/>
      </c>
      <c r="CW160" s="67" t="str">
        <f t="shared" si="352"/>
        <v/>
      </c>
      <c r="CX160" s="67" t="str">
        <f t="shared" si="353"/>
        <v/>
      </c>
      <c r="CY160" s="67" t="str">
        <f t="shared" si="361"/>
        <v/>
      </c>
    </row>
    <row r="161" spans="1:103" s="38" customFormat="1" ht="15" hidden="1" customHeight="1" x14ac:dyDescent="0.2">
      <c r="M161" s="82" t="str">
        <f t="shared" si="354"/>
        <v/>
      </c>
      <c r="N161" s="77" t="str">
        <f t="shared" ref="N161:Y161" si="410">IF($M161="","",N52-N134)</f>
        <v/>
      </c>
      <c r="O161" s="77" t="str">
        <f t="shared" si="410"/>
        <v/>
      </c>
      <c r="P161" s="77" t="str">
        <f t="shared" si="410"/>
        <v/>
      </c>
      <c r="Q161" s="77" t="str">
        <f t="shared" si="410"/>
        <v/>
      </c>
      <c r="R161" s="77" t="str">
        <f t="shared" si="410"/>
        <v/>
      </c>
      <c r="S161" s="77" t="str">
        <f t="shared" si="410"/>
        <v/>
      </c>
      <c r="T161" s="77" t="str">
        <f t="shared" si="410"/>
        <v/>
      </c>
      <c r="U161" s="77" t="str">
        <f t="shared" si="410"/>
        <v/>
      </c>
      <c r="V161" s="77" t="str">
        <f t="shared" si="410"/>
        <v/>
      </c>
      <c r="W161" s="77" t="str">
        <f t="shared" si="410"/>
        <v/>
      </c>
      <c r="X161" s="77" t="str">
        <f t="shared" si="410"/>
        <v/>
      </c>
      <c r="Y161" s="77" t="str">
        <f t="shared" si="410"/>
        <v/>
      </c>
      <c r="Z161" s="57" t="str">
        <f t="shared" si="356"/>
        <v/>
      </c>
      <c r="AA161" s="105"/>
      <c r="AB161" s="105"/>
      <c r="AC161" s="105"/>
      <c r="AD161" s="105"/>
      <c r="AE161" s="105"/>
      <c r="AF161" s="105"/>
      <c r="AG161" s="105"/>
      <c r="AH161" s="105"/>
      <c r="AI161" s="105"/>
      <c r="AJ161" s="105"/>
      <c r="AK161" s="105"/>
      <c r="AL161" s="105"/>
      <c r="AM161" s="105"/>
      <c r="AN161" s="105"/>
      <c r="AP161" s="65" t="str">
        <f t="shared" si="347"/>
        <v/>
      </c>
      <c r="AQ161" s="77" t="str">
        <f t="shared" ref="AQ161:BB161" si="411">IF($M161="","",AQ52-AQ134)</f>
        <v/>
      </c>
      <c r="AR161" s="77" t="str">
        <f t="shared" si="411"/>
        <v/>
      </c>
      <c r="AS161" s="77" t="str">
        <f t="shared" si="411"/>
        <v/>
      </c>
      <c r="AT161" s="77" t="str">
        <f t="shared" si="411"/>
        <v/>
      </c>
      <c r="AU161" s="77" t="str">
        <f t="shared" si="411"/>
        <v/>
      </c>
      <c r="AV161" s="77" t="str">
        <f t="shared" si="411"/>
        <v/>
      </c>
      <c r="AW161" s="77" t="str">
        <f t="shared" si="411"/>
        <v/>
      </c>
      <c r="AX161" s="77" t="str">
        <f t="shared" si="411"/>
        <v/>
      </c>
      <c r="AY161" s="77" t="str">
        <f t="shared" si="411"/>
        <v/>
      </c>
      <c r="AZ161" s="77" t="str">
        <f t="shared" si="411"/>
        <v/>
      </c>
      <c r="BA161" s="77" t="str">
        <f t="shared" si="411"/>
        <v/>
      </c>
      <c r="BB161" s="77" t="str">
        <f t="shared" si="411"/>
        <v/>
      </c>
      <c r="BC161" s="57" t="str">
        <f t="shared" si="358"/>
        <v/>
      </c>
      <c r="BD161" s="105"/>
      <c r="BE161" s="105"/>
      <c r="BF161" s="105"/>
      <c r="BG161" s="105"/>
      <c r="BH161" s="105"/>
      <c r="BI161" s="105"/>
      <c r="BJ161" s="105"/>
      <c r="BK161" s="105"/>
      <c r="BL161" s="105"/>
      <c r="BM161" s="105"/>
      <c r="BN161" s="105"/>
      <c r="BO161" s="105"/>
      <c r="BP161" s="105"/>
      <c r="BQ161" s="105"/>
      <c r="BS161" s="65" t="str">
        <f t="shared" si="349"/>
        <v/>
      </c>
      <c r="BT161" s="77" t="str">
        <f t="shared" ref="BT161:CE161" si="412">IF($M161="","",BT52-BT134)</f>
        <v/>
      </c>
      <c r="BU161" s="77" t="str">
        <f t="shared" si="412"/>
        <v/>
      </c>
      <c r="BV161" s="77" t="str">
        <f t="shared" si="412"/>
        <v/>
      </c>
      <c r="BW161" s="77" t="str">
        <f t="shared" si="412"/>
        <v/>
      </c>
      <c r="BX161" s="77" t="str">
        <f t="shared" si="412"/>
        <v/>
      </c>
      <c r="BY161" s="77" t="str">
        <f t="shared" si="412"/>
        <v/>
      </c>
      <c r="BZ161" s="77" t="str">
        <f t="shared" si="412"/>
        <v/>
      </c>
      <c r="CA161" s="77" t="str">
        <f t="shared" si="412"/>
        <v/>
      </c>
      <c r="CB161" s="77" t="str">
        <f t="shared" si="412"/>
        <v/>
      </c>
      <c r="CC161" s="77" t="str">
        <f t="shared" si="412"/>
        <v/>
      </c>
      <c r="CD161" s="77" t="str">
        <f t="shared" si="412"/>
        <v/>
      </c>
      <c r="CE161" s="77" t="str">
        <f t="shared" si="412"/>
        <v/>
      </c>
      <c r="CF161" s="57" t="str">
        <f t="shared" si="360"/>
        <v/>
      </c>
      <c r="CG161" s="105"/>
      <c r="CH161" s="105"/>
      <c r="CI161" s="105"/>
      <c r="CJ161" s="105"/>
      <c r="CK161" s="105"/>
      <c r="CL161" s="105"/>
      <c r="CM161" s="105"/>
      <c r="CN161" s="105"/>
      <c r="CO161" s="105"/>
      <c r="CP161" s="105"/>
      <c r="CQ161" s="105"/>
      <c r="CR161" s="105"/>
      <c r="CS161" s="105"/>
      <c r="CT161" s="105"/>
      <c r="CU161" s="40"/>
      <c r="CV161" s="65" t="str">
        <f t="shared" si="351"/>
        <v/>
      </c>
      <c r="CW161" s="67" t="str">
        <f t="shared" si="352"/>
        <v/>
      </c>
      <c r="CX161" s="67" t="str">
        <f t="shared" si="353"/>
        <v/>
      </c>
      <c r="CY161" s="67" t="str">
        <f t="shared" si="361"/>
        <v/>
      </c>
    </row>
    <row r="162" spans="1:103" s="38" customFormat="1" ht="15" hidden="1" customHeight="1" x14ac:dyDescent="0.2">
      <c r="M162" s="82" t="str">
        <f t="shared" si="354"/>
        <v/>
      </c>
      <c r="N162" s="77" t="str">
        <f t="shared" ref="N162:Y162" si="413">IF($M162="","",N53-N135)</f>
        <v/>
      </c>
      <c r="O162" s="77" t="str">
        <f t="shared" si="413"/>
        <v/>
      </c>
      <c r="P162" s="77" t="str">
        <f t="shared" si="413"/>
        <v/>
      </c>
      <c r="Q162" s="77" t="str">
        <f t="shared" si="413"/>
        <v/>
      </c>
      <c r="R162" s="77" t="str">
        <f t="shared" si="413"/>
        <v/>
      </c>
      <c r="S162" s="77" t="str">
        <f t="shared" si="413"/>
        <v/>
      </c>
      <c r="T162" s="77" t="str">
        <f t="shared" si="413"/>
        <v/>
      </c>
      <c r="U162" s="77" t="str">
        <f t="shared" si="413"/>
        <v/>
      </c>
      <c r="V162" s="77" t="str">
        <f t="shared" si="413"/>
        <v/>
      </c>
      <c r="W162" s="77" t="str">
        <f t="shared" si="413"/>
        <v/>
      </c>
      <c r="X162" s="77" t="str">
        <f t="shared" si="413"/>
        <v/>
      </c>
      <c r="Y162" s="77" t="str">
        <f t="shared" si="413"/>
        <v/>
      </c>
      <c r="Z162" s="57" t="str">
        <f t="shared" si="356"/>
        <v/>
      </c>
      <c r="AA162" s="105"/>
      <c r="AB162" s="105"/>
      <c r="AC162" s="105"/>
      <c r="AD162" s="105"/>
      <c r="AE162" s="105"/>
      <c r="AF162" s="105"/>
      <c r="AG162" s="105"/>
      <c r="AH162" s="105"/>
      <c r="AI162" s="105"/>
      <c r="AJ162" s="105"/>
      <c r="AK162" s="105"/>
      <c r="AL162" s="105"/>
      <c r="AM162" s="105"/>
      <c r="AN162" s="105"/>
      <c r="AP162" s="65" t="str">
        <f t="shared" si="347"/>
        <v/>
      </c>
      <c r="AQ162" s="77" t="str">
        <f t="shared" ref="AQ162:BB162" si="414">IF($M162="","",AQ53-AQ135)</f>
        <v/>
      </c>
      <c r="AR162" s="77" t="str">
        <f t="shared" si="414"/>
        <v/>
      </c>
      <c r="AS162" s="77" t="str">
        <f t="shared" si="414"/>
        <v/>
      </c>
      <c r="AT162" s="77" t="str">
        <f t="shared" si="414"/>
        <v/>
      </c>
      <c r="AU162" s="77" t="str">
        <f t="shared" si="414"/>
        <v/>
      </c>
      <c r="AV162" s="77" t="str">
        <f t="shared" si="414"/>
        <v/>
      </c>
      <c r="AW162" s="77" t="str">
        <f t="shared" si="414"/>
        <v/>
      </c>
      <c r="AX162" s="77" t="str">
        <f t="shared" si="414"/>
        <v/>
      </c>
      <c r="AY162" s="77" t="str">
        <f t="shared" si="414"/>
        <v/>
      </c>
      <c r="AZ162" s="77" t="str">
        <f t="shared" si="414"/>
        <v/>
      </c>
      <c r="BA162" s="77" t="str">
        <f t="shared" si="414"/>
        <v/>
      </c>
      <c r="BB162" s="77" t="str">
        <f t="shared" si="414"/>
        <v/>
      </c>
      <c r="BC162" s="57" t="str">
        <f t="shared" si="358"/>
        <v/>
      </c>
      <c r="BD162" s="105"/>
      <c r="BE162" s="105"/>
      <c r="BF162" s="105"/>
      <c r="BG162" s="105"/>
      <c r="BH162" s="105"/>
      <c r="BI162" s="105"/>
      <c r="BJ162" s="105"/>
      <c r="BK162" s="105"/>
      <c r="BL162" s="105"/>
      <c r="BM162" s="105"/>
      <c r="BN162" s="105"/>
      <c r="BO162" s="105"/>
      <c r="BP162" s="105"/>
      <c r="BQ162" s="105"/>
      <c r="BS162" s="65" t="str">
        <f t="shared" si="349"/>
        <v/>
      </c>
      <c r="BT162" s="77" t="str">
        <f t="shared" ref="BT162:CE162" si="415">IF($M162="","",BT53-BT135)</f>
        <v/>
      </c>
      <c r="BU162" s="77" t="str">
        <f t="shared" si="415"/>
        <v/>
      </c>
      <c r="BV162" s="77" t="str">
        <f t="shared" si="415"/>
        <v/>
      </c>
      <c r="BW162" s="77" t="str">
        <f t="shared" si="415"/>
        <v/>
      </c>
      <c r="BX162" s="77" t="str">
        <f t="shared" si="415"/>
        <v/>
      </c>
      <c r="BY162" s="77" t="str">
        <f t="shared" si="415"/>
        <v/>
      </c>
      <c r="BZ162" s="77" t="str">
        <f t="shared" si="415"/>
        <v/>
      </c>
      <c r="CA162" s="77" t="str">
        <f t="shared" si="415"/>
        <v/>
      </c>
      <c r="CB162" s="77" t="str">
        <f t="shared" si="415"/>
        <v/>
      </c>
      <c r="CC162" s="77" t="str">
        <f t="shared" si="415"/>
        <v/>
      </c>
      <c r="CD162" s="77" t="str">
        <f t="shared" si="415"/>
        <v/>
      </c>
      <c r="CE162" s="77" t="str">
        <f t="shared" si="415"/>
        <v/>
      </c>
      <c r="CF162" s="57" t="str">
        <f t="shared" si="360"/>
        <v/>
      </c>
      <c r="CG162" s="105"/>
      <c r="CH162" s="105"/>
      <c r="CI162" s="105"/>
      <c r="CJ162" s="105"/>
      <c r="CK162" s="105"/>
      <c r="CL162" s="105"/>
      <c r="CM162" s="105"/>
      <c r="CN162" s="105"/>
      <c r="CO162" s="105"/>
      <c r="CP162" s="105"/>
      <c r="CQ162" s="105"/>
      <c r="CR162" s="105"/>
      <c r="CS162" s="105"/>
      <c r="CT162" s="105"/>
      <c r="CU162" s="40"/>
      <c r="CV162" s="65" t="str">
        <f t="shared" si="351"/>
        <v/>
      </c>
      <c r="CW162" s="67" t="str">
        <f t="shared" si="352"/>
        <v/>
      </c>
      <c r="CX162" s="67" t="str">
        <f t="shared" si="353"/>
        <v/>
      </c>
      <c r="CY162" s="67" t="str">
        <f t="shared" si="361"/>
        <v/>
      </c>
    </row>
    <row r="163" spans="1:103" s="38" customFormat="1" ht="15" hidden="1" customHeight="1" x14ac:dyDescent="0.2">
      <c r="M163" s="82" t="str">
        <f t="shared" si="354"/>
        <v/>
      </c>
      <c r="N163" s="77" t="str">
        <f t="shared" ref="N163:Y163" si="416">IF($M163="","",N54-N136)</f>
        <v/>
      </c>
      <c r="O163" s="77" t="str">
        <f t="shared" si="416"/>
        <v/>
      </c>
      <c r="P163" s="77" t="str">
        <f t="shared" si="416"/>
        <v/>
      </c>
      <c r="Q163" s="77" t="str">
        <f t="shared" si="416"/>
        <v/>
      </c>
      <c r="R163" s="77" t="str">
        <f t="shared" si="416"/>
        <v/>
      </c>
      <c r="S163" s="77" t="str">
        <f t="shared" si="416"/>
        <v/>
      </c>
      <c r="T163" s="77" t="str">
        <f t="shared" si="416"/>
        <v/>
      </c>
      <c r="U163" s="77" t="str">
        <f t="shared" si="416"/>
        <v/>
      </c>
      <c r="V163" s="77" t="str">
        <f t="shared" si="416"/>
        <v/>
      </c>
      <c r="W163" s="77" t="str">
        <f t="shared" si="416"/>
        <v/>
      </c>
      <c r="X163" s="77" t="str">
        <f t="shared" si="416"/>
        <v/>
      </c>
      <c r="Y163" s="77" t="str">
        <f t="shared" si="416"/>
        <v/>
      </c>
      <c r="Z163" s="57" t="str">
        <f t="shared" si="356"/>
        <v/>
      </c>
      <c r="AA163" s="105"/>
      <c r="AB163" s="105"/>
      <c r="AC163" s="105"/>
      <c r="AD163" s="105"/>
      <c r="AE163" s="105"/>
      <c r="AF163" s="105"/>
      <c r="AG163" s="105"/>
      <c r="AH163" s="105"/>
      <c r="AI163" s="105"/>
      <c r="AJ163" s="105"/>
      <c r="AK163" s="105"/>
      <c r="AL163" s="105"/>
      <c r="AM163" s="105"/>
      <c r="AN163" s="105"/>
      <c r="AP163" s="65" t="str">
        <f t="shared" si="347"/>
        <v/>
      </c>
      <c r="AQ163" s="77" t="str">
        <f t="shared" ref="AQ163:BB163" si="417">IF($M163="","",AQ54-AQ136)</f>
        <v/>
      </c>
      <c r="AR163" s="77" t="str">
        <f t="shared" si="417"/>
        <v/>
      </c>
      <c r="AS163" s="77" t="str">
        <f t="shared" si="417"/>
        <v/>
      </c>
      <c r="AT163" s="77" t="str">
        <f t="shared" si="417"/>
        <v/>
      </c>
      <c r="AU163" s="77" t="str">
        <f t="shared" si="417"/>
        <v/>
      </c>
      <c r="AV163" s="77" t="str">
        <f t="shared" si="417"/>
        <v/>
      </c>
      <c r="AW163" s="77" t="str">
        <f t="shared" si="417"/>
        <v/>
      </c>
      <c r="AX163" s="77" t="str">
        <f t="shared" si="417"/>
        <v/>
      </c>
      <c r="AY163" s="77" t="str">
        <f t="shared" si="417"/>
        <v/>
      </c>
      <c r="AZ163" s="77" t="str">
        <f t="shared" si="417"/>
        <v/>
      </c>
      <c r="BA163" s="77" t="str">
        <f t="shared" si="417"/>
        <v/>
      </c>
      <c r="BB163" s="77" t="str">
        <f t="shared" si="417"/>
        <v/>
      </c>
      <c r="BC163" s="57" t="str">
        <f t="shared" si="358"/>
        <v/>
      </c>
      <c r="BD163" s="105"/>
      <c r="BE163" s="105"/>
      <c r="BF163" s="105"/>
      <c r="BG163" s="105"/>
      <c r="BH163" s="105"/>
      <c r="BI163" s="105"/>
      <c r="BJ163" s="105"/>
      <c r="BK163" s="105"/>
      <c r="BL163" s="105"/>
      <c r="BM163" s="105"/>
      <c r="BN163" s="105"/>
      <c r="BO163" s="105"/>
      <c r="BP163" s="105"/>
      <c r="BQ163" s="105"/>
      <c r="BS163" s="65" t="str">
        <f t="shared" si="349"/>
        <v/>
      </c>
      <c r="BT163" s="77" t="str">
        <f t="shared" ref="BT163:CE163" si="418">IF($M163="","",BT54-BT136)</f>
        <v/>
      </c>
      <c r="BU163" s="77" t="str">
        <f t="shared" si="418"/>
        <v/>
      </c>
      <c r="BV163" s="77" t="str">
        <f t="shared" si="418"/>
        <v/>
      </c>
      <c r="BW163" s="77" t="str">
        <f t="shared" si="418"/>
        <v/>
      </c>
      <c r="BX163" s="77" t="str">
        <f t="shared" si="418"/>
        <v/>
      </c>
      <c r="BY163" s="77" t="str">
        <f t="shared" si="418"/>
        <v/>
      </c>
      <c r="BZ163" s="77" t="str">
        <f t="shared" si="418"/>
        <v/>
      </c>
      <c r="CA163" s="77" t="str">
        <f t="shared" si="418"/>
        <v/>
      </c>
      <c r="CB163" s="77" t="str">
        <f t="shared" si="418"/>
        <v/>
      </c>
      <c r="CC163" s="77" t="str">
        <f t="shared" si="418"/>
        <v/>
      </c>
      <c r="CD163" s="77" t="str">
        <f t="shared" si="418"/>
        <v/>
      </c>
      <c r="CE163" s="77" t="str">
        <f t="shared" si="418"/>
        <v/>
      </c>
      <c r="CF163" s="57" t="str">
        <f t="shared" si="360"/>
        <v/>
      </c>
      <c r="CG163" s="105"/>
      <c r="CH163" s="105"/>
      <c r="CI163" s="105"/>
      <c r="CJ163" s="105"/>
      <c r="CK163" s="105"/>
      <c r="CL163" s="105"/>
      <c r="CM163" s="105"/>
      <c r="CN163" s="105"/>
      <c r="CO163" s="105"/>
      <c r="CP163" s="105"/>
      <c r="CQ163" s="105"/>
      <c r="CR163" s="105"/>
      <c r="CS163" s="105"/>
      <c r="CT163" s="105"/>
      <c r="CU163" s="40"/>
      <c r="CV163" s="65" t="str">
        <f t="shared" si="351"/>
        <v/>
      </c>
      <c r="CW163" s="67" t="str">
        <f t="shared" si="352"/>
        <v/>
      </c>
      <c r="CX163" s="67" t="str">
        <f t="shared" si="353"/>
        <v/>
      </c>
      <c r="CY163" s="67" t="str">
        <f t="shared" si="361"/>
        <v/>
      </c>
    </row>
    <row r="164" spans="1:103" s="38" customFormat="1" ht="15" hidden="1" customHeight="1" x14ac:dyDescent="0.2">
      <c r="M164" s="82" t="str">
        <f t="shared" si="354"/>
        <v/>
      </c>
      <c r="N164" s="77" t="str">
        <f t="shared" ref="N164:Y164" si="419">IF($M164="","",N55-N137)</f>
        <v/>
      </c>
      <c r="O164" s="77" t="str">
        <f t="shared" si="419"/>
        <v/>
      </c>
      <c r="P164" s="77" t="str">
        <f t="shared" si="419"/>
        <v/>
      </c>
      <c r="Q164" s="77" t="str">
        <f t="shared" si="419"/>
        <v/>
      </c>
      <c r="R164" s="77" t="str">
        <f t="shared" si="419"/>
        <v/>
      </c>
      <c r="S164" s="77" t="str">
        <f t="shared" si="419"/>
        <v/>
      </c>
      <c r="T164" s="77" t="str">
        <f t="shared" si="419"/>
        <v/>
      </c>
      <c r="U164" s="77" t="str">
        <f t="shared" si="419"/>
        <v/>
      </c>
      <c r="V164" s="77" t="str">
        <f t="shared" si="419"/>
        <v/>
      </c>
      <c r="W164" s="77" t="str">
        <f t="shared" si="419"/>
        <v/>
      </c>
      <c r="X164" s="77" t="str">
        <f t="shared" si="419"/>
        <v/>
      </c>
      <c r="Y164" s="77" t="str">
        <f t="shared" si="419"/>
        <v/>
      </c>
      <c r="Z164" s="57" t="str">
        <f t="shared" si="356"/>
        <v/>
      </c>
      <c r="AA164" s="105"/>
      <c r="AB164" s="105"/>
      <c r="AC164" s="105"/>
      <c r="AD164" s="105"/>
      <c r="AE164" s="105"/>
      <c r="AF164" s="105"/>
      <c r="AG164" s="105"/>
      <c r="AH164" s="105"/>
      <c r="AI164" s="105"/>
      <c r="AJ164" s="105"/>
      <c r="AK164" s="105"/>
      <c r="AL164" s="105"/>
      <c r="AM164" s="105"/>
      <c r="AN164" s="105"/>
      <c r="AP164" s="65" t="str">
        <f t="shared" si="347"/>
        <v/>
      </c>
      <c r="AQ164" s="77" t="str">
        <f t="shared" ref="AQ164:BB164" si="420">IF($M164="","",AQ55-AQ137)</f>
        <v/>
      </c>
      <c r="AR164" s="77" t="str">
        <f t="shared" si="420"/>
        <v/>
      </c>
      <c r="AS164" s="77" t="str">
        <f t="shared" si="420"/>
        <v/>
      </c>
      <c r="AT164" s="77" t="str">
        <f t="shared" si="420"/>
        <v/>
      </c>
      <c r="AU164" s="77" t="str">
        <f t="shared" si="420"/>
        <v/>
      </c>
      <c r="AV164" s="77" t="str">
        <f t="shared" si="420"/>
        <v/>
      </c>
      <c r="AW164" s="77" t="str">
        <f t="shared" si="420"/>
        <v/>
      </c>
      <c r="AX164" s="77" t="str">
        <f t="shared" si="420"/>
        <v/>
      </c>
      <c r="AY164" s="77" t="str">
        <f t="shared" si="420"/>
        <v/>
      </c>
      <c r="AZ164" s="77" t="str">
        <f t="shared" si="420"/>
        <v/>
      </c>
      <c r="BA164" s="77" t="str">
        <f t="shared" si="420"/>
        <v/>
      </c>
      <c r="BB164" s="77" t="str">
        <f t="shared" si="420"/>
        <v/>
      </c>
      <c r="BC164" s="57" t="str">
        <f t="shared" si="358"/>
        <v/>
      </c>
      <c r="BD164" s="105"/>
      <c r="BE164" s="105"/>
      <c r="BF164" s="105"/>
      <c r="BG164" s="105"/>
      <c r="BH164" s="105"/>
      <c r="BI164" s="105"/>
      <c r="BJ164" s="105"/>
      <c r="BK164" s="105"/>
      <c r="BL164" s="105"/>
      <c r="BM164" s="105"/>
      <c r="BN164" s="105"/>
      <c r="BO164" s="105"/>
      <c r="BP164" s="105"/>
      <c r="BQ164" s="105"/>
      <c r="BS164" s="65" t="str">
        <f t="shared" si="349"/>
        <v/>
      </c>
      <c r="BT164" s="77" t="str">
        <f t="shared" ref="BT164:CE164" si="421">IF($M164="","",BT55-BT137)</f>
        <v/>
      </c>
      <c r="BU164" s="77" t="str">
        <f t="shared" si="421"/>
        <v/>
      </c>
      <c r="BV164" s="77" t="str">
        <f t="shared" si="421"/>
        <v/>
      </c>
      <c r="BW164" s="77" t="str">
        <f t="shared" si="421"/>
        <v/>
      </c>
      <c r="BX164" s="77" t="str">
        <f t="shared" si="421"/>
        <v/>
      </c>
      <c r="BY164" s="77" t="str">
        <f t="shared" si="421"/>
        <v/>
      </c>
      <c r="BZ164" s="77" t="str">
        <f t="shared" si="421"/>
        <v/>
      </c>
      <c r="CA164" s="77" t="str">
        <f t="shared" si="421"/>
        <v/>
      </c>
      <c r="CB164" s="77" t="str">
        <f t="shared" si="421"/>
        <v/>
      </c>
      <c r="CC164" s="77" t="str">
        <f t="shared" si="421"/>
        <v/>
      </c>
      <c r="CD164" s="77" t="str">
        <f t="shared" si="421"/>
        <v/>
      </c>
      <c r="CE164" s="77" t="str">
        <f t="shared" si="421"/>
        <v/>
      </c>
      <c r="CF164" s="57" t="str">
        <f t="shared" si="360"/>
        <v/>
      </c>
      <c r="CG164" s="105"/>
      <c r="CH164" s="105"/>
      <c r="CI164" s="105"/>
      <c r="CJ164" s="105"/>
      <c r="CK164" s="105"/>
      <c r="CL164" s="105"/>
      <c r="CM164" s="105"/>
      <c r="CN164" s="105"/>
      <c r="CO164" s="105"/>
      <c r="CP164" s="105"/>
      <c r="CQ164" s="105"/>
      <c r="CR164" s="105"/>
      <c r="CS164" s="105"/>
      <c r="CT164" s="105"/>
      <c r="CU164" s="40"/>
      <c r="CV164" s="65" t="str">
        <f t="shared" si="351"/>
        <v/>
      </c>
      <c r="CW164" s="67" t="str">
        <f t="shared" si="352"/>
        <v/>
      </c>
      <c r="CX164" s="67" t="str">
        <f t="shared" si="353"/>
        <v/>
      </c>
      <c r="CY164" s="67" t="str">
        <f t="shared" si="361"/>
        <v/>
      </c>
    </row>
    <row r="165" spans="1:103" s="38" customFormat="1" ht="15" hidden="1" customHeight="1" x14ac:dyDescent="0.2">
      <c r="M165" s="82" t="str">
        <f t="shared" si="354"/>
        <v/>
      </c>
      <c r="N165" s="77" t="str">
        <f t="shared" ref="N165:Y165" si="422">IF($M165="","",N56-N138)</f>
        <v/>
      </c>
      <c r="O165" s="77" t="str">
        <f t="shared" si="422"/>
        <v/>
      </c>
      <c r="P165" s="77" t="str">
        <f t="shared" si="422"/>
        <v/>
      </c>
      <c r="Q165" s="77" t="str">
        <f t="shared" si="422"/>
        <v/>
      </c>
      <c r="R165" s="77" t="str">
        <f t="shared" si="422"/>
        <v/>
      </c>
      <c r="S165" s="77" t="str">
        <f t="shared" si="422"/>
        <v/>
      </c>
      <c r="T165" s="77" t="str">
        <f t="shared" si="422"/>
        <v/>
      </c>
      <c r="U165" s="77" t="str">
        <f t="shared" si="422"/>
        <v/>
      </c>
      <c r="V165" s="77" t="str">
        <f t="shared" si="422"/>
        <v/>
      </c>
      <c r="W165" s="77" t="str">
        <f t="shared" si="422"/>
        <v/>
      </c>
      <c r="X165" s="77" t="str">
        <f t="shared" si="422"/>
        <v/>
      </c>
      <c r="Y165" s="77" t="str">
        <f t="shared" si="422"/>
        <v/>
      </c>
      <c r="Z165" s="57" t="str">
        <f t="shared" si="356"/>
        <v/>
      </c>
      <c r="AA165" s="105"/>
      <c r="AB165" s="105"/>
      <c r="AC165" s="105"/>
      <c r="AD165" s="105"/>
      <c r="AE165" s="105"/>
      <c r="AF165" s="105"/>
      <c r="AG165" s="105"/>
      <c r="AH165" s="105"/>
      <c r="AI165" s="105"/>
      <c r="AJ165" s="105"/>
      <c r="AK165" s="105"/>
      <c r="AL165" s="105"/>
      <c r="AM165" s="105"/>
      <c r="AN165" s="105"/>
      <c r="AP165" s="65" t="str">
        <f t="shared" si="347"/>
        <v/>
      </c>
      <c r="AQ165" s="77" t="str">
        <f t="shared" ref="AQ165:BB165" si="423">IF($M165="","",AQ56-AQ138)</f>
        <v/>
      </c>
      <c r="AR165" s="77" t="str">
        <f t="shared" si="423"/>
        <v/>
      </c>
      <c r="AS165" s="77" t="str">
        <f t="shared" si="423"/>
        <v/>
      </c>
      <c r="AT165" s="77" t="str">
        <f t="shared" si="423"/>
        <v/>
      </c>
      <c r="AU165" s="77" t="str">
        <f t="shared" si="423"/>
        <v/>
      </c>
      <c r="AV165" s="77" t="str">
        <f t="shared" si="423"/>
        <v/>
      </c>
      <c r="AW165" s="77" t="str">
        <f t="shared" si="423"/>
        <v/>
      </c>
      <c r="AX165" s="77" t="str">
        <f t="shared" si="423"/>
        <v/>
      </c>
      <c r="AY165" s="77" t="str">
        <f t="shared" si="423"/>
        <v/>
      </c>
      <c r="AZ165" s="77" t="str">
        <f t="shared" si="423"/>
        <v/>
      </c>
      <c r="BA165" s="77" t="str">
        <f t="shared" si="423"/>
        <v/>
      </c>
      <c r="BB165" s="77" t="str">
        <f t="shared" si="423"/>
        <v/>
      </c>
      <c r="BC165" s="57" t="str">
        <f t="shared" si="358"/>
        <v/>
      </c>
      <c r="BD165" s="105"/>
      <c r="BE165" s="105"/>
      <c r="BF165" s="105"/>
      <c r="BG165" s="105"/>
      <c r="BH165" s="105"/>
      <c r="BI165" s="105"/>
      <c r="BJ165" s="105"/>
      <c r="BK165" s="105"/>
      <c r="BL165" s="105"/>
      <c r="BM165" s="105"/>
      <c r="BN165" s="105"/>
      <c r="BO165" s="105"/>
      <c r="BP165" s="105"/>
      <c r="BQ165" s="105"/>
      <c r="BS165" s="65" t="str">
        <f t="shared" si="349"/>
        <v/>
      </c>
      <c r="BT165" s="77" t="str">
        <f t="shared" ref="BT165:CE165" si="424">IF($M165="","",BT56-BT138)</f>
        <v/>
      </c>
      <c r="BU165" s="77" t="str">
        <f t="shared" si="424"/>
        <v/>
      </c>
      <c r="BV165" s="77" t="str">
        <f t="shared" si="424"/>
        <v/>
      </c>
      <c r="BW165" s="77" t="str">
        <f t="shared" si="424"/>
        <v/>
      </c>
      <c r="BX165" s="77" t="str">
        <f t="shared" si="424"/>
        <v/>
      </c>
      <c r="BY165" s="77" t="str">
        <f t="shared" si="424"/>
        <v/>
      </c>
      <c r="BZ165" s="77" t="str">
        <f t="shared" si="424"/>
        <v/>
      </c>
      <c r="CA165" s="77" t="str">
        <f t="shared" si="424"/>
        <v/>
      </c>
      <c r="CB165" s="77" t="str">
        <f t="shared" si="424"/>
        <v/>
      </c>
      <c r="CC165" s="77" t="str">
        <f t="shared" si="424"/>
        <v/>
      </c>
      <c r="CD165" s="77" t="str">
        <f t="shared" si="424"/>
        <v/>
      </c>
      <c r="CE165" s="77" t="str">
        <f t="shared" si="424"/>
        <v/>
      </c>
      <c r="CF165" s="57" t="str">
        <f t="shared" si="360"/>
        <v/>
      </c>
      <c r="CG165" s="105"/>
      <c r="CH165" s="105"/>
      <c r="CI165" s="105"/>
      <c r="CJ165" s="105"/>
      <c r="CK165" s="105"/>
      <c r="CL165" s="105"/>
      <c r="CM165" s="105"/>
      <c r="CN165" s="105"/>
      <c r="CO165" s="105"/>
      <c r="CP165" s="105"/>
      <c r="CQ165" s="105"/>
      <c r="CR165" s="105"/>
      <c r="CS165" s="105"/>
      <c r="CT165" s="105"/>
      <c r="CU165" s="40"/>
      <c r="CV165" s="65" t="str">
        <f t="shared" si="351"/>
        <v/>
      </c>
      <c r="CW165" s="67" t="str">
        <f t="shared" si="352"/>
        <v/>
      </c>
      <c r="CX165" s="67" t="str">
        <f t="shared" si="353"/>
        <v/>
      </c>
      <c r="CY165" s="67" t="str">
        <f t="shared" si="361"/>
        <v/>
      </c>
    </row>
    <row r="166" spans="1:103" s="38" customFormat="1" ht="15" hidden="1" customHeight="1" x14ac:dyDescent="0.2">
      <c r="M166" s="82" t="str">
        <f t="shared" si="354"/>
        <v/>
      </c>
      <c r="N166" s="77" t="str">
        <f t="shared" ref="N166:Y166" si="425">IF($M166="","",N57-N139)</f>
        <v/>
      </c>
      <c r="O166" s="77" t="str">
        <f t="shared" si="425"/>
        <v/>
      </c>
      <c r="P166" s="77" t="str">
        <f t="shared" si="425"/>
        <v/>
      </c>
      <c r="Q166" s="77" t="str">
        <f t="shared" si="425"/>
        <v/>
      </c>
      <c r="R166" s="77" t="str">
        <f t="shared" si="425"/>
        <v/>
      </c>
      <c r="S166" s="77" t="str">
        <f t="shared" si="425"/>
        <v/>
      </c>
      <c r="T166" s="77" t="str">
        <f t="shared" si="425"/>
        <v/>
      </c>
      <c r="U166" s="77" t="str">
        <f t="shared" si="425"/>
        <v/>
      </c>
      <c r="V166" s="77" t="str">
        <f t="shared" si="425"/>
        <v/>
      </c>
      <c r="W166" s="77" t="str">
        <f t="shared" si="425"/>
        <v/>
      </c>
      <c r="X166" s="77" t="str">
        <f t="shared" si="425"/>
        <v/>
      </c>
      <c r="Y166" s="77" t="str">
        <f t="shared" si="425"/>
        <v/>
      </c>
      <c r="Z166" s="57" t="str">
        <f t="shared" si="356"/>
        <v/>
      </c>
      <c r="AA166" s="105"/>
      <c r="AB166" s="105"/>
      <c r="AC166" s="105"/>
      <c r="AD166" s="105"/>
      <c r="AE166" s="105"/>
      <c r="AF166" s="105"/>
      <c r="AG166" s="105"/>
      <c r="AH166" s="105"/>
      <c r="AI166" s="105"/>
      <c r="AJ166" s="105"/>
      <c r="AK166" s="105"/>
      <c r="AL166" s="105"/>
      <c r="AM166" s="105"/>
      <c r="AN166" s="105"/>
      <c r="AP166" s="65" t="str">
        <f t="shared" si="347"/>
        <v/>
      </c>
      <c r="AQ166" s="77" t="str">
        <f t="shared" ref="AQ166:BB166" si="426">IF($M166="","",AQ57-AQ139)</f>
        <v/>
      </c>
      <c r="AR166" s="77" t="str">
        <f t="shared" si="426"/>
        <v/>
      </c>
      <c r="AS166" s="77" t="str">
        <f t="shared" si="426"/>
        <v/>
      </c>
      <c r="AT166" s="77" t="str">
        <f t="shared" si="426"/>
        <v/>
      </c>
      <c r="AU166" s="77" t="str">
        <f t="shared" si="426"/>
        <v/>
      </c>
      <c r="AV166" s="77" t="str">
        <f t="shared" si="426"/>
        <v/>
      </c>
      <c r="AW166" s="77" t="str">
        <f t="shared" si="426"/>
        <v/>
      </c>
      <c r="AX166" s="77" t="str">
        <f t="shared" si="426"/>
        <v/>
      </c>
      <c r="AY166" s="77" t="str">
        <f t="shared" si="426"/>
        <v/>
      </c>
      <c r="AZ166" s="77" t="str">
        <f t="shared" si="426"/>
        <v/>
      </c>
      <c r="BA166" s="77" t="str">
        <f t="shared" si="426"/>
        <v/>
      </c>
      <c r="BB166" s="77" t="str">
        <f t="shared" si="426"/>
        <v/>
      </c>
      <c r="BC166" s="57" t="str">
        <f t="shared" si="358"/>
        <v/>
      </c>
      <c r="BD166" s="105"/>
      <c r="BE166" s="105"/>
      <c r="BF166" s="105"/>
      <c r="BG166" s="105"/>
      <c r="BH166" s="105"/>
      <c r="BI166" s="105"/>
      <c r="BJ166" s="105"/>
      <c r="BK166" s="105"/>
      <c r="BL166" s="105"/>
      <c r="BM166" s="105"/>
      <c r="BN166" s="105"/>
      <c r="BO166" s="105"/>
      <c r="BP166" s="105"/>
      <c r="BQ166" s="105"/>
      <c r="BS166" s="65" t="str">
        <f t="shared" si="349"/>
        <v/>
      </c>
      <c r="BT166" s="77" t="str">
        <f t="shared" ref="BT166:CE166" si="427">IF($M166="","",BT57-BT139)</f>
        <v/>
      </c>
      <c r="BU166" s="77" t="str">
        <f t="shared" si="427"/>
        <v/>
      </c>
      <c r="BV166" s="77" t="str">
        <f t="shared" si="427"/>
        <v/>
      </c>
      <c r="BW166" s="77" t="str">
        <f t="shared" si="427"/>
        <v/>
      </c>
      <c r="BX166" s="77" t="str">
        <f t="shared" si="427"/>
        <v/>
      </c>
      <c r="BY166" s="77" t="str">
        <f t="shared" si="427"/>
        <v/>
      </c>
      <c r="BZ166" s="77" t="str">
        <f t="shared" si="427"/>
        <v/>
      </c>
      <c r="CA166" s="77" t="str">
        <f t="shared" si="427"/>
        <v/>
      </c>
      <c r="CB166" s="77" t="str">
        <f t="shared" si="427"/>
        <v/>
      </c>
      <c r="CC166" s="77" t="str">
        <f t="shared" si="427"/>
        <v/>
      </c>
      <c r="CD166" s="77" t="str">
        <f t="shared" si="427"/>
        <v/>
      </c>
      <c r="CE166" s="77" t="str">
        <f t="shared" si="427"/>
        <v/>
      </c>
      <c r="CF166" s="57" t="str">
        <f t="shared" si="360"/>
        <v/>
      </c>
      <c r="CG166" s="105"/>
      <c r="CH166" s="105"/>
      <c r="CI166" s="105"/>
      <c r="CJ166" s="105"/>
      <c r="CK166" s="105"/>
      <c r="CL166" s="105"/>
      <c r="CM166" s="105"/>
      <c r="CN166" s="105"/>
      <c r="CO166" s="105"/>
      <c r="CP166" s="105"/>
      <c r="CQ166" s="105"/>
      <c r="CR166" s="105"/>
      <c r="CS166" s="105"/>
      <c r="CT166" s="105"/>
      <c r="CU166" s="40"/>
      <c r="CV166" s="65" t="str">
        <f t="shared" si="351"/>
        <v/>
      </c>
      <c r="CW166" s="67" t="str">
        <f t="shared" si="352"/>
        <v/>
      </c>
      <c r="CX166" s="67" t="str">
        <f t="shared" si="353"/>
        <v/>
      </c>
      <c r="CY166" s="67" t="str">
        <f t="shared" si="361"/>
        <v/>
      </c>
    </row>
    <row r="167" spans="1:103" s="38" customFormat="1" ht="15" hidden="1" customHeight="1" x14ac:dyDescent="0.2">
      <c r="M167" s="82" t="str">
        <f t="shared" si="354"/>
        <v/>
      </c>
      <c r="N167" s="77" t="str">
        <f t="shared" ref="N167:Y167" si="428">IF($M167="","",N58-N140)</f>
        <v/>
      </c>
      <c r="O167" s="77" t="str">
        <f t="shared" si="428"/>
        <v/>
      </c>
      <c r="P167" s="77" t="str">
        <f t="shared" si="428"/>
        <v/>
      </c>
      <c r="Q167" s="77" t="str">
        <f t="shared" si="428"/>
        <v/>
      </c>
      <c r="R167" s="77" t="str">
        <f t="shared" si="428"/>
        <v/>
      </c>
      <c r="S167" s="77" t="str">
        <f t="shared" si="428"/>
        <v/>
      </c>
      <c r="T167" s="77" t="str">
        <f t="shared" si="428"/>
        <v/>
      </c>
      <c r="U167" s="77" t="str">
        <f t="shared" si="428"/>
        <v/>
      </c>
      <c r="V167" s="77" t="str">
        <f t="shared" si="428"/>
        <v/>
      </c>
      <c r="W167" s="77" t="str">
        <f t="shared" si="428"/>
        <v/>
      </c>
      <c r="X167" s="77" t="str">
        <f t="shared" si="428"/>
        <v/>
      </c>
      <c r="Y167" s="77" t="str">
        <f t="shared" si="428"/>
        <v/>
      </c>
      <c r="Z167" s="57" t="str">
        <f t="shared" si="356"/>
        <v/>
      </c>
      <c r="AA167" s="105"/>
      <c r="AB167" s="105"/>
      <c r="AC167" s="105"/>
      <c r="AD167" s="105"/>
      <c r="AE167" s="105"/>
      <c r="AF167" s="105"/>
      <c r="AG167" s="105"/>
      <c r="AH167" s="105"/>
      <c r="AI167" s="105"/>
      <c r="AJ167" s="105"/>
      <c r="AK167" s="105"/>
      <c r="AL167" s="105"/>
      <c r="AM167" s="105"/>
      <c r="AN167" s="105"/>
      <c r="AP167" s="65" t="str">
        <f t="shared" si="347"/>
        <v/>
      </c>
      <c r="AQ167" s="77" t="str">
        <f t="shared" ref="AQ167:BB167" si="429">IF($M167="","",AQ58-AQ140)</f>
        <v/>
      </c>
      <c r="AR167" s="77" t="str">
        <f t="shared" si="429"/>
        <v/>
      </c>
      <c r="AS167" s="77" t="str">
        <f t="shared" si="429"/>
        <v/>
      </c>
      <c r="AT167" s="77" t="str">
        <f t="shared" si="429"/>
        <v/>
      </c>
      <c r="AU167" s="77" t="str">
        <f t="shared" si="429"/>
        <v/>
      </c>
      <c r="AV167" s="77" t="str">
        <f t="shared" si="429"/>
        <v/>
      </c>
      <c r="AW167" s="77" t="str">
        <f t="shared" si="429"/>
        <v/>
      </c>
      <c r="AX167" s="77" t="str">
        <f t="shared" si="429"/>
        <v/>
      </c>
      <c r="AY167" s="77" t="str">
        <f t="shared" si="429"/>
        <v/>
      </c>
      <c r="AZ167" s="77" t="str">
        <f t="shared" si="429"/>
        <v/>
      </c>
      <c r="BA167" s="77" t="str">
        <f t="shared" si="429"/>
        <v/>
      </c>
      <c r="BB167" s="77" t="str">
        <f t="shared" si="429"/>
        <v/>
      </c>
      <c r="BC167" s="57" t="str">
        <f t="shared" si="358"/>
        <v/>
      </c>
      <c r="BD167" s="105"/>
      <c r="BE167" s="105"/>
      <c r="BF167" s="105"/>
      <c r="BG167" s="105"/>
      <c r="BH167" s="105"/>
      <c r="BI167" s="105"/>
      <c r="BJ167" s="105"/>
      <c r="BK167" s="105"/>
      <c r="BL167" s="105"/>
      <c r="BM167" s="105"/>
      <c r="BN167" s="105"/>
      <c r="BO167" s="105"/>
      <c r="BP167" s="105"/>
      <c r="BQ167" s="105"/>
      <c r="BS167" s="65" t="str">
        <f t="shared" si="349"/>
        <v/>
      </c>
      <c r="BT167" s="77" t="str">
        <f t="shared" ref="BT167:CE167" si="430">IF($M167="","",BT58-BT140)</f>
        <v/>
      </c>
      <c r="BU167" s="77" t="str">
        <f t="shared" si="430"/>
        <v/>
      </c>
      <c r="BV167" s="77" t="str">
        <f t="shared" si="430"/>
        <v/>
      </c>
      <c r="BW167" s="77" t="str">
        <f t="shared" si="430"/>
        <v/>
      </c>
      <c r="BX167" s="77" t="str">
        <f t="shared" si="430"/>
        <v/>
      </c>
      <c r="BY167" s="77" t="str">
        <f t="shared" si="430"/>
        <v/>
      </c>
      <c r="BZ167" s="77" t="str">
        <f t="shared" si="430"/>
        <v/>
      </c>
      <c r="CA167" s="77" t="str">
        <f t="shared" si="430"/>
        <v/>
      </c>
      <c r="CB167" s="77" t="str">
        <f t="shared" si="430"/>
        <v/>
      </c>
      <c r="CC167" s="77" t="str">
        <f t="shared" si="430"/>
        <v/>
      </c>
      <c r="CD167" s="77" t="str">
        <f t="shared" si="430"/>
        <v/>
      </c>
      <c r="CE167" s="77" t="str">
        <f t="shared" si="430"/>
        <v/>
      </c>
      <c r="CF167" s="57" t="str">
        <f t="shared" si="360"/>
        <v/>
      </c>
      <c r="CG167" s="105"/>
      <c r="CH167" s="105"/>
      <c r="CI167" s="105"/>
      <c r="CJ167" s="105"/>
      <c r="CK167" s="105"/>
      <c r="CL167" s="105"/>
      <c r="CM167" s="105"/>
      <c r="CN167" s="105"/>
      <c r="CO167" s="105"/>
      <c r="CP167" s="105"/>
      <c r="CQ167" s="105"/>
      <c r="CR167" s="105"/>
      <c r="CS167" s="105"/>
      <c r="CT167" s="105"/>
      <c r="CU167" s="40"/>
      <c r="CV167" s="65" t="str">
        <f t="shared" si="351"/>
        <v/>
      </c>
      <c r="CW167" s="67" t="str">
        <f t="shared" si="352"/>
        <v/>
      </c>
      <c r="CX167" s="67" t="str">
        <f t="shared" si="353"/>
        <v/>
      </c>
      <c r="CY167" s="67" t="str">
        <f t="shared" si="361"/>
        <v/>
      </c>
    </row>
    <row r="168" spans="1:103" s="38" customFormat="1" ht="9.6" customHeight="1" x14ac:dyDescent="0.2">
      <c r="Z168" s="40"/>
      <c r="AA168" s="103"/>
      <c r="AB168" s="103"/>
      <c r="AC168" s="103"/>
      <c r="AD168" s="103"/>
      <c r="AE168" s="103"/>
      <c r="AF168" s="103"/>
      <c r="AG168" s="103"/>
      <c r="AH168" s="103"/>
      <c r="AI168" s="103"/>
      <c r="AJ168" s="103"/>
      <c r="AK168" s="103"/>
      <c r="AL168" s="103"/>
      <c r="AM168" s="103"/>
      <c r="AN168" s="103"/>
      <c r="BC168" s="40"/>
      <c r="BD168" s="103"/>
      <c r="BE168" s="103"/>
      <c r="BF168" s="103"/>
      <c r="BG168" s="103"/>
      <c r="BH168" s="103"/>
      <c r="BI168" s="103"/>
      <c r="BJ168" s="103"/>
      <c r="BK168" s="103"/>
      <c r="BL168" s="103"/>
      <c r="BM168" s="103"/>
      <c r="BN168" s="103"/>
      <c r="BO168" s="103"/>
      <c r="BP168" s="103"/>
      <c r="BQ168" s="103"/>
      <c r="CF168" s="40"/>
      <c r="CG168" s="103"/>
      <c r="CH168" s="103"/>
      <c r="CI168" s="103"/>
      <c r="CJ168" s="103"/>
      <c r="CK168" s="103"/>
      <c r="CL168" s="103"/>
      <c r="CM168" s="103"/>
      <c r="CN168" s="103"/>
      <c r="CO168" s="103"/>
      <c r="CP168" s="103"/>
      <c r="CQ168" s="103"/>
      <c r="CR168" s="103"/>
      <c r="CS168" s="103"/>
      <c r="CT168" s="103"/>
      <c r="CW168" s="40"/>
      <c r="CX168" s="40"/>
      <c r="CY168" s="40"/>
    </row>
    <row r="169" spans="1:103" s="31" customFormat="1" ht="15" customHeight="1" x14ac:dyDescent="0.2">
      <c r="A169" s="146"/>
      <c r="B169" s="146"/>
      <c r="C169" s="146"/>
      <c r="D169" s="146"/>
      <c r="E169" s="146"/>
      <c r="F169" s="146"/>
      <c r="G169" s="146" t="s">
        <v>79</v>
      </c>
      <c r="H169" s="146"/>
      <c r="I169" s="146" t="s">
        <v>80</v>
      </c>
      <c r="J169" s="146"/>
      <c r="K169" s="146" t="s">
        <v>81</v>
      </c>
      <c r="L169" s="146"/>
      <c r="M169" s="41" t="s">
        <v>23</v>
      </c>
      <c r="N169" s="43" t="s">
        <v>24</v>
      </c>
      <c r="O169" s="38"/>
      <c r="P169" s="38"/>
      <c r="Q169" s="38"/>
      <c r="R169" s="38"/>
      <c r="S169" s="38"/>
      <c r="T169" s="38"/>
      <c r="U169" s="38"/>
      <c r="V169" s="38"/>
      <c r="W169" s="38"/>
      <c r="X169" s="38"/>
      <c r="Y169" s="38"/>
      <c r="Z169" s="42" t="s">
        <v>21</v>
      </c>
      <c r="AA169" s="104"/>
      <c r="AB169" s="104"/>
      <c r="AC169" s="104"/>
      <c r="AD169" s="104"/>
      <c r="AE169" s="104"/>
      <c r="AF169" s="104"/>
      <c r="AG169" s="104"/>
      <c r="AH169" s="104"/>
      <c r="AI169" s="104"/>
      <c r="AJ169" s="104"/>
      <c r="AK169" s="104"/>
      <c r="AL169" s="104"/>
      <c r="AM169" s="104"/>
      <c r="AN169" s="104"/>
      <c r="AP169" s="41" t="s">
        <v>23</v>
      </c>
      <c r="AQ169" s="43"/>
      <c r="AR169" s="38"/>
      <c r="AS169" s="38"/>
      <c r="AT169" s="38"/>
      <c r="AU169" s="38"/>
      <c r="AV169" s="38"/>
      <c r="AW169" s="38"/>
      <c r="AX169" s="38"/>
      <c r="AY169" s="38"/>
      <c r="AZ169" s="38"/>
      <c r="BA169" s="38"/>
      <c r="BB169" s="38"/>
      <c r="BC169" s="42" t="s">
        <v>21</v>
      </c>
      <c r="BD169" s="104"/>
      <c r="BE169" s="104"/>
      <c r="BF169" s="104"/>
      <c r="BG169" s="104"/>
      <c r="BH169" s="104"/>
      <c r="BI169" s="104"/>
      <c r="BJ169" s="104"/>
      <c r="BK169" s="104"/>
      <c r="BL169" s="104"/>
      <c r="BM169" s="104"/>
      <c r="BN169" s="104"/>
      <c r="BO169" s="104"/>
      <c r="BP169" s="104"/>
      <c r="BQ169" s="104"/>
      <c r="BS169" s="41" t="s">
        <v>23</v>
      </c>
      <c r="BT169" s="43"/>
      <c r="BU169" s="38"/>
      <c r="BV169" s="38"/>
      <c r="BW169" s="38"/>
      <c r="BX169" s="38"/>
      <c r="BY169" s="38"/>
      <c r="BZ169" s="38"/>
      <c r="CA169" s="38"/>
      <c r="CB169" s="38"/>
      <c r="CC169" s="38"/>
      <c r="CD169" s="38"/>
      <c r="CE169" s="38"/>
      <c r="CF169" s="42" t="s">
        <v>21</v>
      </c>
      <c r="CG169" s="104"/>
      <c r="CH169" s="104"/>
      <c r="CI169" s="104"/>
      <c r="CJ169" s="104"/>
      <c r="CK169" s="104"/>
      <c r="CL169" s="104"/>
      <c r="CM169" s="104"/>
      <c r="CN169" s="104"/>
      <c r="CO169" s="104"/>
      <c r="CP169" s="104"/>
      <c r="CQ169" s="104"/>
      <c r="CR169" s="104"/>
      <c r="CS169" s="104"/>
      <c r="CT169" s="104"/>
      <c r="CV169" s="41" t="s">
        <v>23</v>
      </c>
      <c r="CW169" s="40" t="s">
        <v>22</v>
      </c>
      <c r="CX169" s="40" t="s">
        <v>22</v>
      </c>
      <c r="CY169" s="40" t="s">
        <v>22</v>
      </c>
    </row>
    <row r="170" spans="1:103" s="31" customFormat="1" ht="15" customHeight="1" x14ac:dyDescent="0.2">
      <c r="A170" s="31" t="str">
        <f>M170</f>
        <v>Product 1</v>
      </c>
      <c r="B170" s="96">
        <f>Z170</f>
        <v>105894.75</v>
      </c>
      <c r="C170" s="96" t="str">
        <f>M170</f>
        <v>Product 1</v>
      </c>
      <c r="D170" s="96">
        <f>BC170</f>
        <v>109057.64042673109</v>
      </c>
      <c r="E170" s="96" t="str">
        <f>M170</f>
        <v>Product 1</v>
      </c>
      <c r="F170" s="96">
        <f>CF170</f>
        <v>113843.74153947461</v>
      </c>
      <c r="G170" s="96" cm="1">
        <f t="array" ref="G170:H194">IFERROR(INDEX(_xlfn._xlws.SORT(_xlfn._xlws.FILTER(A:B,(B:B&lt;&gt;"")),2,-1),_xlfn.SEQUENCE(25),{2,1}),"")</f>
        <v>252662.5</v>
      </c>
      <c r="H170" s="96" t="str">
        <v>Product 2</v>
      </c>
      <c r="I170" s="96" cm="1">
        <f t="array" ref="I170:J194">IFERROR(INDEX(_xlfn._xlws.SORT(_xlfn._xlws.FILTER(C:D,(D:D&lt;&gt;"")),2,-1),_xlfn.SEQUENCE(25),{2,1}),"")</f>
        <v>267803.10019841266</v>
      </c>
      <c r="J170" s="96" t="str">
        <v>Product 2</v>
      </c>
      <c r="K170" s="96" cm="1">
        <f t="array" ref="K170:L194">IFERROR(INDEX(_xlfn._xlws.SORT(_xlfn._xlws.FILTER(E:F,(E:E&lt;&gt;"")),2,-1),_xlfn.SEQUENCE(25),{2,1}),"")</f>
        <v>285403.3795995671</v>
      </c>
      <c r="L170" s="26" t="str">
        <v>Product 2</v>
      </c>
      <c r="M170" s="82" t="str">
        <f>IF(M7=0,"",M7)</f>
        <v>Product 1</v>
      </c>
      <c r="N170" s="75">
        <f>IF($M170="","",N7*N143)</f>
        <v>7744.9999999999991</v>
      </c>
      <c r="O170" s="75">
        <f t="shared" ref="O170:Y170" si="431">IF($M170="","",O7*O143)</f>
        <v>8132.2499999999991</v>
      </c>
      <c r="P170" s="75">
        <f t="shared" si="431"/>
        <v>8519.5</v>
      </c>
      <c r="Q170" s="75">
        <f t="shared" si="431"/>
        <v>8906.75</v>
      </c>
      <c r="R170" s="75">
        <f t="shared" si="431"/>
        <v>8519.5</v>
      </c>
      <c r="S170" s="75">
        <f t="shared" si="431"/>
        <v>8132.2499999999991</v>
      </c>
      <c r="T170" s="75">
        <f t="shared" si="431"/>
        <v>8132.2499999999991</v>
      </c>
      <c r="U170" s="75">
        <f t="shared" si="431"/>
        <v>8519.5</v>
      </c>
      <c r="V170" s="75">
        <f t="shared" si="431"/>
        <v>8906.75</v>
      </c>
      <c r="W170" s="75">
        <f t="shared" si="431"/>
        <v>9593.9999999999982</v>
      </c>
      <c r="X170" s="75">
        <f t="shared" si="431"/>
        <v>10393.499999999998</v>
      </c>
      <c r="Y170" s="75">
        <f t="shared" si="431"/>
        <v>10393.499999999998</v>
      </c>
      <c r="Z170" s="70">
        <f>IF($M170="","",SUM(N170:Y170))</f>
        <v>105894.75</v>
      </c>
      <c r="AA170" s="107"/>
      <c r="AB170" s="118" t="str">
        <f>AB88</f>
        <v>Product 2</v>
      </c>
      <c r="AC170" s="117">
        <f>INDEX(N$170:N$194,MATCH($AB170,$M$170:$M$194,0))</f>
        <v>17835</v>
      </c>
      <c r="AD170" s="117">
        <f t="shared" ref="AD170:AN170" si="432">INDEX(O$170:O$194,MATCH($AB170,$M$170:$M$194,0))</f>
        <v>11890</v>
      </c>
      <c r="AE170" s="117">
        <f t="shared" si="432"/>
        <v>11890</v>
      </c>
      <c r="AF170" s="117">
        <f t="shared" si="432"/>
        <v>14862.5</v>
      </c>
      <c r="AG170" s="117">
        <f t="shared" si="432"/>
        <v>14862.5</v>
      </c>
      <c r="AH170" s="117">
        <f t="shared" si="432"/>
        <v>17835</v>
      </c>
      <c r="AI170" s="117">
        <f t="shared" si="432"/>
        <v>17835</v>
      </c>
      <c r="AJ170" s="117">
        <f t="shared" si="432"/>
        <v>20807.5</v>
      </c>
      <c r="AK170" s="117">
        <f t="shared" si="432"/>
        <v>23780</v>
      </c>
      <c r="AL170" s="117">
        <f t="shared" si="432"/>
        <v>29725</v>
      </c>
      <c r="AM170" s="117">
        <f t="shared" si="432"/>
        <v>35670</v>
      </c>
      <c r="AN170" s="117">
        <f t="shared" si="432"/>
        <v>35670</v>
      </c>
      <c r="AP170" s="65" t="str">
        <f t="shared" ref="AP170:AP194" si="433">IF(M7=0,"",M7)</f>
        <v>Product 1</v>
      </c>
      <c r="AQ170" s="75">
        <f>IF($M170="","",AQ7*AQ143)</f>
        <v>7687.4999999999991</v>
      </c>
      <c r="AR170" s="75">
        <f t="shared" ref="AR170:BB170" si="434">IF($M170="","",AR7*AR143)</f>
        <v>8058.9599999999991</v>
      </c>
      <c r="AS170" s="75">
        <f t="shared" si="434"/>
        <v>8164.520833333333</v>
      </c>
      <c r="AT170" s="75">
        <f t="shared" si="434"/>
        <v>8519.5</v>
      </c>
      <c r="AU170" s="75">
        <f t="shared" si="434"/>
        <v>8906.75</v>
      </c>
      <c r="AV170" s="75">
        <f t="shared" si="434"/>
        <v>8759.7391304347821</v>
      </c>
      <c r="AW170" s="75">
        <f t="shared" si="434"/>
        <v>8394.75</v>
      </c>
      <c r="AX170" s="75">
        <f t="shared" si="434"/>
        <v>9160.9375</v>
      </c>
      <c r="AY170" s="75">
        <f t="shared" si="434"/>
        <v>9562.0199999999986</v>
      </c>
      <c r="AZ170" s="75">
        <f t="shared" si="434"/>
        <v>9963</v>
      </c>
      <c r="BA170" s="75">
        <f t="shared" si="434"/>
        <v>10946.962962962962</v>
      </c>
      <c r="BB170" s="75">
        <f t="shared" si="434"/>
        <v>10933</v>
      </c>
      <c r="BC170" s="70">
        <f>IF($M170="","",SUM(AQ170:BB170))</f>
        <v>109057.64042673109</v>
      </c>
      <c r="BD170" s="107"/>
      <c r="BE170" s="118" t="str">
        <f>BE88</f>
        <v>Product 2</v>
      </c>
      <c r="BF170" s="123">
        <f>INDEX(AQ$170:AQ$194,MATCH($BE170,$AP$170:$AP$194,0))</f>
        <v>11890</v>
      </c>
      <c r="BG170" s="123">
        <f t="shared" ref="BG170:BQ170" si="435">INDEX(AR$170:AR$194,MATCH($BE170,$AP$170:$AP$194,0))</f>
        <v>8917.5</v>
      </c>
      <c r="BH170" s="123">
        <f t="shared" si="435"/>
        <v>11890</v>
      </c>
      <c r="BI170" s="123">
        <f t="shared" si="435"/>
        <v>17339.583333333336</v>
      </c>
      <c r="BJ170" s="123">
        <f t="shared" si="435"/>
        <v>14862.5</v>
      </c>
      <c r="BK170" s="123">
        <f t="shared" si="435"/>
        <v>20382.857142857141</v>
      </c>
      <c r="BL170" s="123">
        <f t="shared" si="435"/>
        <v>17835</v>
      </c>
      <c r="BM170" s="123">
        <f t="shared" si="435"/>
        <v>23408.4375</v>
      </c>
      <c r="BN170" s="123">
        <f t="shared" si="435"/>
        <v>26422.222222222223</v>
      </c>
      <c r="BO170" s="123">
        <f t="shared" si="435"/>
        <v>36270</v>
      </c>
      <c r="BP170" s="123">
        <f t="shared" si="435"/>
        <v>42315</v>
      </c>
      <c r="BQ170" s="123">
        <f t="shared" si="435"/>
        <v>36270</v>
      </c>
      <c r="BS170" s="65" t="str">
        <f t="shared" ref="BS170:BS194" si="436">IF(M7=0,"",M7)</f>
        <v>Product 1</v>
      </c>
      <c r="BT170" s="75">
        <f>IF($M170="","",BT7*BT143)</f>
        <v>8076.9230769230762</v>
      </c>
      <c r="BU170" s="75">
        <f t="shared" ref="BU170:CE170" si="437">IF($M170="","",BU7*BU143)</f>
        <v>7639.2959999999994</v>
      </c>
      <c r="BV170" s="75">
        <f t="shared" si="437"/>
        <v>7826.0580357142853</v>
      </c>
      <c r="BW170" s="75">
        <f t="shared" si="437"/>
        <v>8794.5</v>
      </c>
      <c r="BX170" s="75">
        <f t="shared" si="437"/>
        <v>9547.875</v>
      </c>
      <c r="BY170" s="75">
        <f t="shared" si="437"/>
        <v>9226.2028985507241</v>
      </c>
      <c r="BZ170" s="75">
        <f t="shared" si="437"/>
        <v>8526</v>
      </c>
      <c r="CA170" s="75">
        <f t="shared" si="437"/>
        <v>9636.4583333333358</v>
      </c>
      <c r="CB170" s="75">
        <f t="shared" si="437"/>
        <v>10046.4</v>
      </c>
      <c r="CC170" s="75">
        <f t="shared" si="437"/>
        <v>10959.507692307692</v>
      </c>
      <c r="CD170" s="75">
        <f t="shared" si="437"/>
        <v>11810.199074074073</v>
      </c>
      <c r="CE170" s="75">
        <f t="shared" si="437"/>
        <v>11754.321428571428</v>
      </c>
      <c r="CF170" s="70">
        <f>IF($M170="","",SUM(BT170:CE170))</f>
        <v>113843.74153947461</v>
      </c>
      <c r="CG170" s="107"/>
      <c r="CH170" s="118" t="str">
        <f>CH88</f>
        <v>Product 2</v>
      </c>
      <c r="CI170" s="123">
        <f>INDEX(BT$170:BT$194,MATCH($CH170,$BS$170:$BS$194,0))</f>
        <v>10362.857142857143</v>
      </c>
      <c r="CJ170" s="123">
        <f t="shared" ref="CJ170:CS170" si="438">INDEX(BU$170:BU$194,MATCH($CH170,$BS$170:$BS$194,0))</f>
        <v>5945</v>
      </c>
      <c r="CK170" s="123">
        <f t="shared" si="438"/>
        <v>11890</v>
      </c>
      <c r="CL170" s="123">
        <f t="shared" si="438"/>
        <v>19507.031250000004</v>
      </c>
      <c r="CM170" s="123">
        <f t="shared" si="438"/>
        <v>14862.5</v>
      </c>
      <c r="CN170" s="123">
        <f t="shared" si="438"/>
        <v>22647.61904761905</v>
      </c>
      <c r="CO170" s="123">
        <f t="shared" si="438"/>
        <v>17835</v>
      </c>
      <c r="CP170" s="123">
        <f t="shared" si="438"/>
        <v>25749.28125</v>
      </c>
      <c r="CQ170" s="123">
        <f t="shared" si="438"/>
        <v>29309.090909090904</v>
      </c>
      <c r="CR170" s="123">
        <f t="shared" si="438"/>
        <v>42315</v>
      </c>
      <c r="CS170" s="123">
        <f t="shared" si="438"/>
        <v>48560</v>
      </c>
      <c r="CT170" s="123">
        <f>INDEX(CE$170:CE$194,MATCH($CH170,$BS$170:$BS$194,0))</f>
        <v>36420</v>
      </c>
      <c r="CV170" s="65" t="str">
        <f t="shared" ref="CV170:CV194" si="439">IF(M7=0,"",M7)</f>
        <v>Product 1</v>
      </c>
      <c r="CW170" s="66">
        <f t="shared" ref="CW170:CW194" si="440">IF(CV170="","",BC170-Z170)</f>
        <v>3162.8904267310863</v>
      </c>
      <c r="CX170" s="66">
        <f t="shared" ref="CX170:CX194" si="441">IF(CV170="","",Z170-BB170)</f>
        <v>94961.75</v>
      </c>
      <c r="CY170" s="66">
        <f>IF(CV170="","",CF170-BC170)</f>
        <v>4786.1011127435195</v>
      </c>
    </row>
    <row r="171" spans="1:103" s="31" customFormat="1" ht="15" customHeight="1" x14ac:dyDescent="0.2">
      <c r="A171" s="31" t="str">
        <f t="shared" ref="A171:A194" si="442">M171</f>
        <v>Product 2</v>
      </c>
      <c r="B171" s="96">
        <f t="shared" ref="B171:B194" si="443">Z171</f>
        <v>252662.5</v>
      </c>
      <c r="C171" s="96" t="str">
        <f t="shared" ref="C171:C194" si="444">M171</f>
        <v>Product 2</v>
      </c>
      <c r="D171" s="96">
        <f t="shared" ref="D171:D194" si="445">BC171</f>
        <v>267803.10019841266</v>
      </c>
      <c r="E171" s="96" t="str">
        <f t="shared" ref="E171:E194" si="446">M171</f>
        <v>Product 2</v>
      </c>
      <c r="F171" s="96">
        <f t="shared" ref="F171:F194" si="447">CF171</f>
        <v>285403.3795995671</v>
      </c>
      <c r="G171" s="96">
        <v>176806</v>
      </c>
      <c r="H171" s="96" t="str">
        <v>Product 3</v>
      </c>
      <c r="I171" s="96">
        <v>199647.83492063492</v>
      </c>
      <c r="J171" s="96" t="str">
        <v>Product 3</v>
      </c>
      <c r="K171" s="96">
        <v>227245.39851814855</v>
      </c>
      <c r="L171" s="26" t="str">
        <v>Product 3</v>
      </c>
      <c r="M171" s="82" t="str">
        <f t="shared" ref="M171:M194" si="448">IF(M8=0,"",M8)</f>
        <v>Product 2</v>
      </c>
      <c r="N171" s="75">
        <f t="shared" ref="N171:Y171" si="449">IF($M171="","",N8*N144)</f>
        <v>17835</v>
      </c>
      <c r="O171" s="75">
        <f t="shared" si="449"/>
        <v>11890</v>
      </c>
      <c r="P171" s="75">
        <f t="shared" si="449"/>
        <v>11890</v>
      </c>
      <c r="Q171" s="75">
        <f t="shared" si="449"/>
        <v>14862.5</v>
      </c>
      <c r="R171" s="75">
        <f t="shared" si="449"/>
        <v>14862.5</v>
      </c>
      <c r="S171" s="75">
        <f t="shared" si="449"/>
        <v>17835</v>
      </c>
      <c r="T171" s="75">
        <f t="shared" si="449"/>
        <v>17835</v>
      </c>
      <c r="U171" s="75">
        <f t="shared" si="449"/>
        <v>20807.5</v>
      </c>
      <c r="V171" s="75">
        <f t="shared" si="449"/>
        <v>23780</v>
      </c>
      <c r="W171" s="75">
        <f t="shared" si="449"/>
        <v>29725</v>
      </c>
      <c r="X171" s="75">
        <f t="shared" si="449"/>
        <v>35670</v>
      </c>
      <c r="Y171" s="75">
        <f t="shared" si="449"/>
        <v>35670</v>
      </c>
      <c r="Z171" s="70">
        <f t="shared" ref="Z171:Z194" si="450">IF($M171="","",SUM(N171:Y171))</f>
        <v>252662.5</v>
      </c>
      <c r="AA171" s="107"/>
      <c r="AB171" s="118" t="str">
        <f t="shared" ref="AB171:AB172" si="451">AB89</f>
        <v>Product 3</v>
      </c>
      <c r="AC171" s="117">
        <f t="shared" ref="AC171:AC172" si="452">INDEX(N$170:N$194,MATCH($AB171,$M$170:$M$194,0))</f>
        <v>7266.0000000000009</v>
      </c>
      <c r="AD171" s="117">
        <f t="shared" ref="AD171:AD172" si="453">INDEX(O$170:O$194,MATCH($AB171,$M$170:$M$194,0))</f>
        <v>9688.0000000000018</v>
      </c>
      <c r="AE171" s="117">
        <f t="shared" ref="AE171:AE172" si="454">INDEX(P$170:P$194,MATCH($AB171,$M$170:$M$194,0))</f>
        <v>12110.000000000002</v>
      </c>
      <c r="AF171" s="117">
        <f t="shared" ref="AF171:AF172" si="455">INDEX(Q$170:Q$194,MATCH($AB171,$M$170:$M$194,0))</f>
        <v>14532.000000000002</v>
      </c>
      <c r="AG171" s="117">
        <f t="shared" ref="AG171:AG172" si="456">INDEX(R$170:R$194,MATCH($AB171,$M$170:$M$194,0))</f>
        <v>16954</v>
      </c>
      <c r="AH171" s="117">
        <f t="shared" ref="AH171:AH172" si="457">INDEX(S$170:S$194,MATCH($AB171,$M$170:$M$194,0))</f>
        <v>19376.000000000004</v>
      </c>
      <c r="AI171" s="117">
        <f t="shared" ref="AI171:AI172" si="458">INDEX(T$170:T$194,MATCH($AB171,$M$170:$M$194,0))</f>
        <v>19376.000000000004</v>
      </c>
      <c r="AJ171" s="117">
        <f t="shared" ref="AJ171:AJ172" si="459">INDEX(U$170:U$194,MATCH($AB171,$M$170:$M$194,0))</f>
        <v>16954</v>
      </c>
      <c r="AK171" s="117">
        <f t="shared" ref="AK171:AK172" si="460">INDEX(V$170:V$194,MATCH($AB171,$M$170:$M$194,0))</f>
        <v>16954</v>
      </c>
      <c r="AL171" s="117">
        <f t="shared" ref="AL171:AL172" si="461">INDEX(W$170:W$194,MATCH($AB171,$M$170:$M$194,0))</f>
        <v>14532.000000000002</v>
      </c>
      <c r="AM171" s="117">
        <f t="shared" ref="AM171:AM172" si="462">INDEX(X$170:X$194,MATCH($AB171,$M$170:$M$194,0))</f>
        <v>14532.000000000002</v>
      </c>
      <c r="AN171" s="117">
        <f t="shared" ref="AN171:AN172" si="463">INDEX(Y$170:Y$194,MATCH($AB171,$M$170:$M$194,0))</f>
        <v>14532.000000000002</v>
      </c>
      <c r="AP171" s="65" t="str">
        <f t="shared" si="433"/>
        <v>Product 2</v>
      </c>
      <c r="AQ171" s="75">
        <f t="shared" ref="AQ171:BB171" si="464">IF($M171="","",AQ8*AQ144)</f>
        <v>11890</v>
      </c>
      <c r="AR171" s="75">
        <f t="shared" si="464"/>
        <v>8917.5</v>
      </c>
      <c r="AS171" s="75">
        <f t="shared" si="464"/>
        <v>11890</v>
      </c>
      <c r="AT171" s="75">
        <f t="shared" si="464"/>
        <v>17339.583333333336</v>
      </c>
      <c r="AU171" s="75">
        <f t="shared" si="464"/>
        <v>14862.5</v>
      </c>
      <c r="AV171" s="75">
        <f t="shared" si="464"/>
        <v>20382.857142857141</v>
      </c>
      <c r="AW171" s="75">
        <f t="shared" si="464"/>
        <v>17835</v>
      </c>
      <c r="AX171" s="75">
        <f t="shared" si="464"/>
        <v>23408.4375</v>
      </c>
      <c r="AY171" s="75">
        <f t="shared" si="464"/>
        <v>26422.222222222223</v>
      </c>
      <c r="AZ171" s="75">
        <f t="shared" si="464"/>
        <v>36270</v>
      </c>
      <c r="BA171" s="75">
        <f t="shared" si="464"/>
        <v>42315</v>
      </c>
      <c r="BB171" s="75">
        <f t="shared" si="464"/>
        <v>36270</v>
      </c>
      <c r="BC171" s="70">
        <f t="shared" ref="BC171:BC194" si="465">IF($M171="","",SUM(AQ171:BB171))</f>
        <v>267803.10019841266</v>
      </c>
      <c r="BD171" s="107"/>
      <c r="BE171" s="118" t="str">
        <f t="shared" ref="BE171:BE172" si="466">BE89</f>
        <v>Product 3</v>
      </c>
      <c r="BF171" s="123">
        <f t="shared" ref="BF171:BF172" si="467">INDEX(AQ$170:AQ$194,MATCH($BE171,$AP$170:$AP$194,0))</f>
        <v>8016.0000000000009</v>
      </c>
      <c r="BG171" s="123">
        <f t="shared" ref="BG171:BG172" si="468">INDEX(AR$170:AR$194,MATCH($BE171,$AP$170:$AP$194,0))</f>
        <v>8906.6666666666679</v>
      </c>
      <c r="BH171" s="123">
        <f t="shared" ref="BH171:BH172" si="469">INDEX(AS$170:AS$194,MATCH($BE171,$AP$170:$AP$194,0))</f>
        <v>16032.000000000002</v>
      </c>
      <c r="BI171" s="123">
        <f t="shared" ref="BI171:BI172" si="470">INDEX(AT$170:AT$194,MATCH($BE171,$AP$170:$AP$194,0))</f>
        <v>18704</v>
      </c>
      <c r="BJ171" s="123">
        <f t="shared" ref="BJ171:BJ172" si="471">INDEX(AU$170:AU$194,MATCH($BE171,$AP$170:$AP$194,0))</f>
        <v>21376.000000000004</v>
      </c>
      <c r="BK171" s="123">
        <f t="shared" ref="BK171:BK172" si="472">INDEX(AV$170:AV$194,MATCH($BE171,$AP$170:$AP$194,0))</f>
        <v>24048.000000000004</v>
      </c>
      <c r="BL171" s="123">
        <f t="shared" ref="BL171:BL172" si="473">INDEX(AW$170:AW$194,MATCH($BE171,$AP$170:$AP$194,0))</f>
        <v>23951.111111111113</v>
      </c>
      <c r="BM171" s="123">
        <f t="shared" ref="BM171:BM172" si="474">INDEX(AX$170:AX$194,MATCH($BE171,$AP$170:$AP$194,0))</f>
        <v>14963.2</v>
      </c>
      <c r="BN171" s="123">
        <f t="shared" ref="BN171:BN172" si="475">INDEX(AY$170:AY$194,MATCH($BE171,$AP$170:$AP$194,0))</f>
        <v>18704</v>
      </c>
      <c r="BO171" s="123">
        <f t="shared" ref="BO171:BO172" si="476">INDEX(AZ$170:AZ$194,MATCH($BE171,$AP$170:$AP$194,0))</f>
        <v>14028.000000000002</v>
      </c>
      <c r="BP171" s="123">
        <f t="shared" ref="BP171:BP172" si="477">INDEX(BA$170:BA$194,MATCH($BE171,$AP$170:$AP$194,0))</f>
        <v>16032.000000000002</v>
      </c>
      <c r="BQ171" s="123">
        <f t="shared" ref="BQ171:BQ172" si="478">INDEX(BB$170:BB$194,MATCH($BE171,$AP$170:$AP$194,0))</f>
        <v>14886.857142857143</v>
      </c>
      <c r="BS171" s="65" t="str">
        <f t="shared" si="436"/>
        <v>Product 2</v>
      </c>
      <c r="BT171" s="75">
        <f t="shared" ref="BT171:CE171" si="479">IF($M171="","",BT8*BT144)</f>
        <v>10362.857142857143</v>
      </c>
      <c r="BU171" s="75">
        <f t="shared" si="479"/>
        <v>5945</v>
      </c>
      <c r="BV171" s="75">
        <f t="shared" si="479"/>
        <v>11890</v>
      </c>
      <c r="BW171" s="75">
        <f t="shared" si="479"/>
        <v>19507.031250000004</v>
      </c>
      <c r="BX171" s="75">
        <f t="shared" si="479"/>
        <v>14862.5</v>
      </c>
      <c r="BY171" s="75">
        <f t="shared" si="479"/>
        <v>22647.61904761905</v>
      </c>
      <c r="BZ171" s="75">
        <f t="shared" si="479"/>
        <v>17835</v>
      </c>
      <c r="CA171" s="75">
        <f t="shared" si="479"/>
        <v>25749.28125</v>
      </c>
      <c r="CB171" s="75">
        <f t="shared" si="479"/>
        <v>29309.090909090904</v>
      </c>
      <c r="CC171" s="75">
        <f t="shared" si="479"/>
        <v>42315</v>
      </c>
      <c r="CD171" s="75">
        <f t="shared" si="479"/>
        <v>48560</v>
      </c>
      <c r="CE171" s="75">
        <f t="shared" si="479"/>
        <v>36420</v>
      </c>
      <c r="CF171" s="70">
        <f t="shared" ref="CF171:CF194" si="480">IF($M171="","",SUM(BT171:CE171))</f>
        <v>285403.3795995671</v>
      </c>
      <c r="CG171" s="107"/>
      <c r="CH171" s="118" t="str">
        <f t="shared" ref="CH171:CH172" si="481">CH89</f>
        <v>Product 3</v>
      </c>
      <c r="CI171" s="123">
        <f t="shared" ref="CI171:CI172" si="482">INDEX(BT$170:BT$194,MATCH($CH171,$BS$170:$BS$194,0))</f>
        <v>8766</v>
      </c>
      <c r="CJ171" s="123">
        <f t="shared" ref="CJ171:CJ172" si="483">INDEX(BU$170:BU$194,MATCH($CH171,$BS$170:$BS$194,0))</f>
        <v>10489.230769230771</v>
      </c>
      <c r="CK171" s="123">
        <f t="shared" ref="CK171:CK172" si="484">INDEX(BV$170:BV$194,MATCH($CH171,$BS$170:$BS$194,0))</f>
        <v>20036.571428571428</v>
      </c>
      <c r="CL171" s="123">
        <f t="shared" ref="CL171:CL172" si="485">INDEX(BW$170:BW$194,MATCH($CH171,$BS$170:$BS$194,0))</f>
        <v>23010.750000000004</v>
      </c>
      <c r="CM171" s="123">
        <f t="shared" ref="CM171:CM172" si="486">INDEX(BX$170:BX$194,MATCH($CH171,$BS$170:$BS$194,0))</f>
        <v>26173.333333333336</v>
      </c>
      <c r="CN171" s="123">
        <f t="shared" ref="CN171:CN172" si="487">INDEX(BY$170:BY$194,MATCH($CH171,$BS$170:$BS$194,0))</f>
        <v>29150.550000000003</v>
      </c>
      <c r="CO171" s="123">
        <f t="shared" ref="CO171:CO172" si="488">INDEX(BZ$170:BZ$194,MATCH($CH171,$BS$170:$BS$194,0))</f>
        <v>28552.727272727272</v>
      </c>
      <c r="CP171" s="123">
        <f t="shared" ref="CP171:CP172" si="489">INDEX(CA$170:CA$194,MATCH($CH171,$BS$170:$BS$194,0))</f>
        <v>13741</v>
      </c>
      <c r="CQ171" s="123">
        <f t="shared" ref="CQ171:CQ172" si="490">INDEX(CB$170:CB$194,MATCH($CH171,$BS$170:$BS$194,0))</f>
        <v>20611.5</v>
      </c>
      <c r="CR171" s="123">
        <f>INDEX(CC$170:CC$194,MATCH($CH171,$BS$170:$BS$194,0))</f>
        <v>13806.45</v>
      </c>
      <c r="CS171" s="123">
        <f t="shared" ref="CS171:CS172" si="491">INDEX(CD$170:CD$194,MATCH($CH171,$BS$170:$BS$194,0))</f>
        <v>17532</v>
      </c>
      <c r="CT171" s="123">
        <f t="shared" ref="CT171:CT172" si="492">INDEX(CE$170:CE$194,MATCH($CH171,$BS$170:$BS$194,0))</f>
        <v>15375.285714285714</v>
      </c>
      <c r="CV171" s="65" t="str">
        <f t="shared" si="439"/>
        <v>Product 2</v>
      </c>
      <c r="CW171" s="66">
        <f t="shared" si="440"/>
        <v>15140.600198412663</v>
      </c>
      <c r="CX171" s="66">
        <f t="shared" si="441"/>
        <v>216392.5</v>
      </c>
      <c r="CY171" s="66">
        <f t="shared" ref="CY171:CY194" si="493">IF(CV171="","",CF171-BC171)</f>
        <v>17600.279401154432</v>
      </c>
    </row>
    <row r="172" spans="1:103" s="31" customFormat="1" ht="15" customHeight="1" x14ac:dyDescent="0.2">
      <c r="A172" s="31" t="str">
        <f t="shared" si="442"/>
        <v>Product 3</v>
      </c>
      <c r="B172" s="96">
        <f t="shared" si="443"/>
        <v>176806</v>
      </c>
      <c r="C172" s="96" t="str">
        <f t="shared" si="444"/>
        <v>Product 3</v>
      </c>
      <c r="D172" s="96">
        <f t="shared" si="445"/>
        <v>199647.83492063492</v>
      </c>
      <c r="E172" s="96" t="str">
        <f t="shared" si="446"/>
        <v>Product 3</v>
      </c>
      <c r="F172" s="96">
        <f t="shared" si="447"/>
        <v>227245.39851814855</v>
      </c>
      <c r="G172" s="96">
        <v>105894.75</v>
      </c>
      <c r="H172" s="96" t="str">
        <v>Product 1</v>
      </c>
      <c r="I172" s="96">
        <v>109057.64042673109</v>
      </c>
      <c r="J172" s="96" t="str">
        <v>Product 1</v>
      </c>
      <c r="K172" s="96">
        <v>113843.74153947461</v>
      </c>
      <c r="L172" s="26" t="str">
        <v>Product 1</v>
      </c>
      <c r="M172" s="82" t="str">
        <f t="shared" si="448"/>
        <v>Product 3</v>
      </c>
      <c r="N172" s="75">
        <f t="shared" ref="N172:Y172" si="494">IF($M172="","",N9*N145)</f>
        <v>7266.0000000000009</v>
      </c>
      <c r="O172" s="75">
        <f t="shared" si="494"/>
        <v>9688.0000000000018</v>
      </c>
      <c r="P172" s="75">
        <f t="shared" si="494"/>
        <v>12110.000000000002</v>
      </c>
      <c r="Q172" s="75">
        <f t="shared" si="494"/>
        <v>14532.000000000002</v>
      </c>
      <c r="R172" s="75">
        <f t="shared" si="494"/>
        <v>16954</v>
      </c>
      <c r="S172" s="75">
        <f t="shared" si="494"/>
        <v>19376.000000000004</v>
      </c>
      <c r="T172" s="75">
        <f t="shared" si="494"/>
        <v>19376.000000000004</v>
      </c>
      <c r="U172" s="75">
        <f t="shared" si="494"/>
        <v>16954</v>
      </c>
      <c r="V172" s="75">
        <f t="shared" si="494"/>
        <v>16954</v>
      </c>
      <c r="W172" s="75">
        <f t="shared" si="494"/>
        <v>14532.000000000002</v>
      </c>
      <c r="X172" s="75">
        <f t="shared" si="494"/>
        <v>14532.000000000002</v>
      </c>
      <c r="Y172" s="75">
        <f t="shared" si="494"/>
        <v>14532.000000000002</v>
      </c>
      <c r="Z172" s="70">
        <f t="shared" si="450"/>
        <v>176806</v>
      </c>
      <c r="AA172" s="107"/>
      <c r="AB172" s="118" t="str">
        <f t="shared" si="451"/>
        <v>Product 1</v>
      </c>
      <c r="AC172" s="117">
        <f t="shared" si="452"/>
        <v>7744.9999999999991</v>
      </c>
      <c r="AD172" s="117">
        <f t="shared" si="453"/>
        <v>8132.2499999999991</v>
      </c>
      <c r="AE172" s="117">
        <f t="shared" si="454"/>
        <v>8519.5</v>
      </c>
      <c r="AF172" s="117">
        <f t="shared" si="455"/>
        <v>8906.75</v>
      </c>
      <c r="AG172" s="117">
        <f t="shared" si="456"/>
        <v>8519.5</v>
      </c>
      <c r="AH172" s="117">
        <f t="shared" si="457"/>
        <v>8132.2499999999991</v>
      </c>
      <c r="AI172" s="117">
        <f t="shared" si="458"/>
        <v>8132.2499999999991</v>
      </c>
      <c r="AJ172" s="117">
        <f t="shared" si="459"/>
        <v>8519.5</v>
      </c>
      <c r="AK172" s="117">
        <f t="shared" si="460"/>
        <v>8906.75</v>
      </c>
      <c r="AL172" s="117">
        <f t="shared" si="461"/>
        <v>9593.9999999999982</v>
      </c>
      <c r="AM172" s="117">
        <f t="shared" si="462"/>
        <v>10393.499999999998</v>
      </c>
      <c r="AN172" s="117">
        <f t="shared" si="463"/>
        <v>10393.499999999998</v>
      </c>
      <c r="AP172" s="65" t="str">
        <f t="shared" si="433"/>
        <v>Product 3</v>
      </c>
      <c r="AQ172" s="75">
        <f t="shared" ref="AQ172:BB172" si="495">IF($M172="","",AQ9*AQ145)</f>
        <v>8016.0000000000009</v>
      </c>
      <c r="AR172" s="75">
        <f t="shared" si="495"/>
        <v>8906.6666666666679</v>
      </c>
      <c r="AS172" s="75">
        <f t="shared" si="495"/>
        <v>16032.000000000002</v>
      </c>
      <c r="AT172" s="75">
        <f t="shared" si="495"/>
        <v>18704</v>
      </c>
      <c r="AU172" s="75">
        <f t="shared" si="495"/>
        <v>21376.000000000004</v>
      </c>
      <c r="AV172" s="75">
        <f t="shared" si="495"/>
        <v>24048.000000000004</v>
      </c>
      <c r="AW172" s="75">
        <f t="shared" si="495"/>
        <v>23951.111111111113</v>
      </c>
      <c r="AX172" s="75">
        <f t="shared" si="495"/>
        <v>14963.2</v>
      </c>
      <c r="AY172" s="75">
        <f t="shared" si="495"/>
        <v>18704</v>
      </c>
      <c r="AZ172" s="75">
        <f t="shared" si="495"/>
        <v>14028.000000000002</v>
      </c>
      <c r="BA172" s="75">
        <f t="shared" si="495"/>
        <v>16032.000000000002</v>
      </c>
      <c r="BB172" s="75">
        <f t="shared" si="495"/>
        <v>14886.857142857143</v>
      </c>
      <c r="BC172" s="70">
        <f t="shared" si="465"/>
        <v>199647.83492063492</v>
      </c>
      <c r="BD172" s="107"/>
      <c r="BE172" s="118" t="str">
        <f t="shared" si="466"/>
        <v>Product 1</v>
      </c>
      <c r="BF172" s="123">
        <f t="shared" si="467"/>
        <v>7687.4999999999991</v>
      </c>
      <c r="BG172" s="123">
        <f t="shared" si="468"/>
        <v>8058.9599999999991</v>
      </c>
      <c r="BH172" s="123">
        <f t="shared" si="469"/>
        <v>8164.520833333333</v>
      </c>
      <c r="BI172" s="123">
        <f t="shared" si="470"/>
        <v>8519.5</v>
      </c>
      <c r="BJ172" s="123">
        <f t="shared" si="471"/>
        <v>8906.75</v>
      </c>
      <c r="BK172" s="123">
        <f t="shared" si="472"/>
        <v>8759.7391304347821</v>
      </c>
      <c r="BL172" s="123">
        <f t="shared" si="473"/>
        <v>8394.75</v>
      </c>
      <c r="BM172" s="123">
        <f t="shared" si="474"/>
        <v>9160.9375</v>
      </c>
      <c r="BN172" s="123">
        <f t="shared" si="475"/>
        <v>9562.0199999999986</v>
      </c>
      <c r="BO172" s="123">
        <f t="shared" si="476"/>
        <v>9963</v>
      </c>
      <c r="BP172" s="123">
        <f t="shared" si="477"/>
        <v>10946.962962962962</v>
      </c>
      <c r="BQ172" s="123">
        <f t="shared" si="478"/>
        <v>10933</v>
      </c>
      <c r="BS172" s="65" t="str">
        <f t="shared" si="436"/>
        <v>Product 3</v>
      </c>
      <c r="BT172" s="75">
        <f t="shared" ref="BT172:CE172" si="496">IF($M172="","",BT9*BT145)</f>
        <v>8766</v>
      </c>
      <c r="BU172" s="75">
        <f t="shared" si="496"/>
        <v>10489.230769230771</v>
      </c>
      <c r="BV172" s="75">
        <f t="shared" si="496"/>
        <v>20036.571428571428</v>
      </c>
      <c r="BW172" s="75">
        <f t="shared" si="496"/>
        <v>23010.750000000004</v>
      </c>
      <c r="BX172" s="75">
        <f t="shared" si="496"/>
        <v>26173.333333333336</v>
      </c>
      <c r="BY172" s="75">
        <f t="shared" si="496"/>
        <v>29150.550000000003</v>
      </c>
      <c r="BZ172" s="75">
        <f t="shared" si="496"/>
        <v>28552.727272727272</v>
      </c>
      <c r="CA172" s="75">
        <f t="shared" si="496"/>
        <v>13741</v>
      </c>
      <c r="CB172" s="75">
        <f t="shared" si="496"/>
        <v>20611.5</v>
      </c>
      <c r="CC172" s="75">
        <f t="shared" si="496"/>
        <v>13806.45</v>
      </c>
      <c r="CD172" s="75">
        <f t="shared" si="496"/>
        <v>17532</v>
      </c>
      <c r="CE172" s="75">
        <f t="shared" si="496"/>
        <v>15375.285714285714</v>
      </c>
      <c r="CF172" s="70">
        <f t="shared" si="480"/>
        <v>227245.39851814855</v>
      </c>
      <c r="CG172" s="107"/>
      <c r="CH172" s="118" t="str">
        <f t="shared" si="481"/>
        <v>Product 1</v>
      </c>
      <c r="CI172" s="123">
        <f t="shared" si="482"/>
        <v>8076.9230769230762</v>
      </c>
      <c r="CJ172" s="123">
        <f t="shared" si="483"/>
        <v>7639.2959999999994</v>
      </c>
      <c r="CK172" s="123">
        <f t="shared" si="484"/>
        <v>7826.0580357142853</v>
      </c>
      <c r="CL172" s="123">
        <f t="shared" si="485"/>
        <v>8794.5</v>
      </c>
      <c r="CM172" s="123">
        <f t="shared" si="486"/>
        <v>9547.875</v>
      </c>
      <c r="CN172" s="123">
        <f t="shared" si="487"/>
        <v>9226.2028985507241</v>
      </c>
      <c r="CO172" s="123">
        <f t="shared" si="488"/>
        <v>8526</v>
      </c>
      <c r="CP172" s="123">
        <f t="shared" si="489"/>
        <v>9636.4583333333358</v>
      </c>
      <c r="CQ172" s="123">
        <f t="shared" si="490"/>
        <v>10046.4</v>
      </c>
      <c r="CR172" s="123">
        <f t="shared" ref="CR172" si="497">INDEX(CC$170:CC$194,MATCH($CH172,$BS$170:$BS$194,0))</f>
        <v>10959.507692307692</v>
      </c>
      <c r="CS172" s="123">
        <f t="shared" si="491"/>
        <v>11810.199074074073</v>
      </c>
      <c r="CT172" s="123">
        <f t="shared" si="492"/>
        <v>11754.321428571428</v>
      </c>
      <c r="CV172" s="65" t="str">
        <f t="shared" si="439"/>
        <v>Product 3</v>
      </c>
      <c r="CW172" s="66">
        <f t="shared" si="440"/>
        <v>22841.834920634923</v>
      </c>
      <c r="CX172" s="66">
        <f t="shared" si="441"/>
        <v>161919.14285714287</v>
      </c>
      <c r="CY172" s="66">
        <f t="shared" si="493"/>
        <v>27597.563597513625</v>
      </c>
    </row>
    <row r="173" spans="1:103" s="31" customFormat="1" ht="15" customHeight="1" x14ac:dyDescent="0.2">
      <c r="A173" s="31" t="str">
        <f t="shared" si="442"/>
        <v/>
      </c>
      <c r="B173" s="96" t="str">
        <f t="shared" si="443"/>
        <v/>
      </c>
      <c r="C173" s="96" t="str">
        <f t="shared" si="444"/>
        <v/>
      </c>
      <c r="D173" s="96" t="str">
        <f t="shared" si="445"/>
        <v/>
      </c>
      <c r="E173" s="96" t="str">
        <f t="shared" si="446"/>
        <v/>
      </c>
      <c r="F173" s="96" t="str">
        <f t="shared" si="447"/>
        <v/>
      </c>
      <c r="G173" s="96" t="str">
        <v/>
      </c>
      <c r="H173" s="96" t="str">
        <v/>
      </c>
      <c r="I173" s="96" t="str">
        <v/>
      </c>
      <c r="J173" s="96" t="str">
        <v/>
      </c>
      <c r="K173" s="96" t="str">
        <v/>
      </c>
      <c r="L173" s="26" t="str">
        <v/>
      </c>
      <c r="M173" s="82" t="str">
        <f t="shared" si="448"/>
        <v/>
      </c>
      <c r="N173" s="75" t="str">
        <f t="shared" ref="N173:Y173" si="498">IF($M173="","",N10*N146)</f>
        <v/>
      </c>
      <c r="O173" s="75" t="str">
        <f t="shared" si="498"/>
        <v/>
      </c>
      <c r="P173" s="75" t="str">
        <f t="shared" si="498"/>
        <v/>
      </c>
      <c r="Q173" s="75" t="str">
        <f t="shared" si="498"/>
        <v/>
      </c>
      <c r="R173" s="75" t="str">
        <f t="shared" si="498"/>
        <v/>
      </c>
      <c r="S173" s="75" t="str">
        <f t="shared" si="498"/>
        <v/>
      </c>
      <c r="T173" s="75" t="str">
        <f t="shared" si="498"/>
        <v/>
      </c>
      <c r="U173" s="75" t="str">
        <f t="shared" si="498"/>
        <v/>
      </c>
      <c r="V173" s="75" t="str">
        <f t="shared" si="498"/>
        <v/>
      </c>
      <c r="W173" s="75" t="str">
        <f t="shared" si="498"/>
        <v/>
      </c>
      <c r="X173" s="75" t="str">
        <f t="shared" si="498"/>
        <v/>
      </c>
      <c r="Y173" s="75" t="str">
        <f t="shared" si="498"/>
        <v/>
      </c>
      <c r="Z173" s="70" t="str">
        <f t="shared" si="450"/>
        <v/>
      </c>
      <c r="AA173" s="107"/>
      <c r="AB173" s="107"/>
      <c r="AC173" s="107"/>
      <c r="AD173" s="107"/>
      <c r="AE173" s="107"/>
      <c r="AF173" s="107"/>
      <c r="AG173" s="107"/>
      <c r="AH173" s="107"/>
      <c r="AI173" s="107"/>
      <c r="AJ173" s="107"/>
      <c r="AK173" s="107"/>
      <c r="AL173" s="107"/>
      <c r="AM173" s="107"/>
      <c r="AN173" s="107"/>
      <c r="AP173" s="65" t="str">
        <f t="shared" si="433"/>
        <v/>
      </c>
      <c r="AQ173" s="75" t="str">
        <f t="shared" ref="AQ173:BB173" si="499">IF($M173="","",AQ10*AQ146)</f>
        <v/>
      </c>
      <c r="AR173" s="75" t="str">
        <f t="shared" si="499"/>
        <v/>
      </c>
      <c r="AS173" s="75" t="str">
        <f t="shared" si="499"/>
        <v/>
      </c>
      <c r="AT173" s="75" t="str">
        <f t="shared" si="499"/>
        <v/>
      </c>
      <c r="AU173" s="75" t="str">
        <f t="shared" si="499"/>
        <v/>
      </c>
      <c r="AV173" s="75" t="str">
        <f t="shared" si="499"/>
        <v/>
      </c>
      <c r="AW173" s="75" t="str">
        <f t="shared" si="499"/>
        <v/>
      </c>
      <c r="AX173" s="75" t="str">
        <f t="shared" si="499"/>
        <v/>
      </c>
      <c r="AY173" s="75" t="str">
        <f t="shared" si="499"/>
        <v/>
      </c>
      <c r="AZ173" s="75" t="str">
        <f t="shared" si="499"/>
        <v/>
      </c>
      <c r="BA173" s="75" t="str">
        <f t="shared" si="499"/>
        <v/>
      </c>
      <c r="BB173" s="75" t="str">
        <f t="shared" si="499"/>
        <v/>
      </c>
      <c r="BC173" s="70" t="str">
        <f t="shared" si="465"/>
        <v/>
      </c>
      <c r="BD173" s="107"/>
      <c r="BE173" s="107"/>
      <c r="BF173" s="107"/>
      <c r="BG173" s="107"/>
      <c r="BH173" s="107"/>
      <c r="BI173" s="107"/>
      <c r="BJ173" s="107"/>
      <c r="BK173" s="107"/>
      <c r="BL173" s="107"/>
      <c r="BM173" s="107"/>
      <c r="BN173" s="107"/>
      <c r="BO173" s="107"/>
      <c r="BP173" s="107"/>
      <c r="BQ173" s="107"/>
      <c r="BS173" s="65" t="str">
        <f t="shared" si="436"/>
        <v/>
      </c>
      <c r="BT173" s="75" t="str">
        <f t="shared" ref="BT173:CE173" si="500">IF($M173="","",BT10*BT146)</f>
        <v/>
      </c>
      <c r="BU173" s="75" t="str">
        <f t="shared" si="500"/>
        <v/>
      </c>
      <c r="BV173" s="75" t="str">
        <f t="shared" si="500"/>
        <v/>
      </c>
      <c r="BW173" s="75" t="str">
        <f t="shared" si="500"/>
        <v/>
      </c>
      <c r="BX173" s="75" t="str">
        <f t="shared" si="500"/>
        <v/>
      </c>
      <c r="BY173" s="75" t="str">
        <f t="shared" si="500"/>
        <v/>
      </c>
      <c r="BZ173" s="75" t="str">
        <f t="shared" si="500"/>
        <v/>
      </c>
      <c r="CA173" s="75" t="str">
        <f t="shared" si="500"/>
        <v/>
      </c>
      <c r="CB173" s="75" t="str">
        <f t="shared" si="500"/>
        <v/>
      </c>
      <c r="CC173" s="75" t="str">
        <f t="shared" si="500"/>
        <v/>
      </c>
      <c r="CD173" s="75" t="str">
        <f t="shared" si="500"/>
        <v/>
      </c>
      <c r="CE173" s="75" t="str">
        <f t="shared" si="500"/>
        <v/>
      </c>
      <c r="CF173" s="70" t="str">
        <f t="shared" si="480"/>
        <v/>
      </c>
      <c r="CG173" s="107"/>
      <c r="CH173" s="107"/>
      <c r="CI173" s="107"/>
      <c r="CJ173" s="107"/>
      <c r="CK173" s="107"/>
      <c r="CL173" s="107"/>
      <c r="CM173" s="107"/>
      <c r="CN173" s="107"/>
      <c r="CO173" s="107"/>
      <c r="CP173" s="107"/>
      <c r="CQ173" s="107"/>
      <c r="CR173" s="107"/>
      <c r="CS173" s="107"/>
      <c r="CT173" s="107"/>
      <c r="CV173" s="65" t="str">
        <f t="shared" si="439"/>
        <v/>
      </c>
      <c r="CW173" s="66" t="str">
        <f t="shared" si="440"/>
        <v/>
      </c>
      <c r="CX173" s="66" t="str">
        <f t="shared" si="441"/>
        <v/>
      </c>
      <c r="CY173" s="66" t="str">
        <f t="shared" si="493"/>
        <v/>
      </c>
    </row>
    <row r="174" spans="1:103" s="31" customFormat="1" ht="15" customHeight="1" x14ac:dyDescent="0.2">
      <c r="A174" s="31" t="str">
        <f t="shared" si="442"/>
        <v/>
      </c>
      <c r="B174" s="96" t="str">
        <f t="shared" si="443"/>
        <v/>
      </c>
      <c r="C174" s="96" t="str">
        <f t="shared" si="444"/>
        <v/>
      </c>
      <c r="D174" s="96" t="str">
        <f t="shared" si="445"/>
        <v/>
      </c>
      <c r="E174" s="96" t="str">
        <f t="shared" si="446"/>
        <v/>
      </c>
      <c r="F174" s="96" t="str">
        <f t="shared" si="447"/>
        <v/>
      </c>
      <c r="G174" s="96" t="str">
        <v/>
      </c>
      <c r="H174" s="96" t="str">
        <v/>
      </c>
      <c r="I174" s="96" t="str">
        <v/>
      </c>
      <c r="J174" s="96" t="str">
        <v/>
      </c>
      <c r="K174" s="96" t="str">
        <v/>
      </c>
      <c r="L174" s="26" t="str">
        <v/>
      </c>
      <c r="M174" s="82" t="str">
        <f t="shared" si="448"/>
        <v/>
      </c>
      <c r="N174" s="75" t="str">
        <f t="shared" ref="N174:Y174" si="501">IF($M174="","",N11*N147)</f>
        <v/>
      </c>
      <c r="O174" s="75" t="str">
        <f t="shared" si="501"/>
        <v/>
      </c>
      <c r="P174" s="75" t="str">
        <f t="shared" si="501"/>
        <v/>
      </c>
      <c r="Q174" s="75" t="str">
        <f t="shared" si="501"/>
        <v/>
      </c>
      <c r="R174" s="75" t="str">
        <f t="shared" si="501"/>
        <v/>
      </c>
      <c r="S174" s="75" t="str">
        <f t="shared" si="501"/>
        <v/>
      </c>
      <c r="T174" s="75" t="str">
        <f t="shared" si="501"/>
        <v/>
      </c>
      <c r="U174" s="75" t="str">
        <f t="shared" si="501"/>
        <v/>
      </c>
      <c r="V174" s="75" t="str">
        <f t="shared" si="501"/>
        <v/>
      </c>
      <c r="W174" s="75" t="str">
        <f t="shared" si="501"/>
        <v/>
      </c>
      <c r="X174" s="75" t="str">
        <f t="shared" si="501"/>
        <v/>
      </c>
      <c r="Y174" s="75" t="str">
        <f t="shared" si="501"/>
        <v/>
      </c>
      <c r="Z174" s="70" t="str">
        <f t="shared" si="450"/>
        <v/>
      </c>
      <c r="AA174" s="107"/>
      <c r="AB174" s="107"/>
      <c r="AC174" s="107"/>
      <c r="AD174" s="107"/>
      <c r="AE174" s="107"/>
      <c r="AF174" s="107"/>
      <c r="AG174" s="107"/>
      <c r="AH174" s="107"/>
      <c r="AI174" s="107"/>
      <c r="AJ174" s="107"/>
      <c r="AK174" s="107"/>
      <c r="AL174" s="107"/>
      <c r="AM174" s="107"/>
      <c r="AN174" s="107"/>
      <c r="AP174" s="65" t="str">
        <f t="shared" si="433"/>
        <v/>
      </c>
      <c r="AQ174" s="75" t="str">
        <f t="shared" ref="AQ174:BB174" si="502">IF($M174="","",AQ11*AQ147)</f>
        <v/>
      </c>
      <c r="AR174" s="75" t="str">
        <f t="shared" si="502"/>
        <v/>
      </c>
      <c r="AS174" s="75" t="str">
        <f t="shared" si="502"/>
        <v/>
      </c>
      <c r="AT174" s="75" t="str">
        <f t="shared" si="502"/>
        <v/>
      </c>
      <c r="AU174" s="75" t="str">
        <f t="shared" si="502"/>
        <v/>
      </c>
      <c r="AV174" s="75" t="str">
        <f t="shared" si="502"/>
        <v/>
      </c>
      <c r="AW174" s="75" t="str">
        <f t="shared" si="502"/>
        <v/>
      </c>
      <c r="AX174" s="75" t="str">
        <f t="shared" si="502"/>
        <v/>
      </c>
      <c r="AY174" s="75" t="str">
        <f t="shared" si="502"/>
        <v/>
      </c>
      <c r="AZ174" s="75" t="str">
        <f t="shared" si="502"/>
        <v/>
      </c>
      <c r="BA174" s="75" t="str">
        <f t="shared" si="502"/>
        <v/>
      </c>
      <c r="BB174" s="75" t="str">
        <f t="shared" si="502"/>
        <v/>
      </c>
      <c r="BC174" s="70" t="str">
        <f t="shared" si="465"/>
        <v/>
      </c>
      <c r="BD174" s="107"/>
      <c r="BE174" s="107"/>
      <c r="BF174" s="107"/>
      <c r="BG174" s="107"/>
      <c r="BH174" s="107"/>
      <c r="BI174" s="107"/>
      <c r="BJ174" s="107"/>
      <c r="BK174" s="107"/>
      <c r="BL174" s="107"/>
      <c r="BM174" s="107"/>
      <c r="BN174" s="107"/>
      <c r="BO174" s="107"/>
      <c r="BP174" s="107"/>
      <c r="BQ174" s="107"/>
      <c r="BS174" s="65" t="str">
        <f t="shared" si="436"/>
        <v/>
      </c>
      <c r="BT174" s="75" t="str">
        <f t="shared" ref="BT174:CE174" si="503">IF($M174="","",BT11*BT147)</f>
        <v/>
      </c>
      <c r="BU174" s="75" t="str">
        <f t="shared" si="503"/>
        <v/>
      </c>
      <c r="BV174" s="75" t="str">
        <f t="shared" si="503"/>
        <v/>
      </c>
      <c r="BW174" s="75" t="str">
        <f t="shared" si="503"/>
        <v/>
      </c>
      <c r="BX174" s="75" t="str">
        <f t="shared" si="503"/>
        <v/>
      </c>
      <c r="BY174" s="75" t="str">
        <f t="shared" si="503"/>
        <v/>
      </c>
      <c r="BZ174" s="75" t="str">
        <f t="shared" si="503"/>
        <v/>
      </c>
      <c r="CA174" s="75" t="str">
        <f t="shared" si="503"/>
        <v/>
      </c>
      <c r="CB174" s="75" t="str">
        <f t="shared" si="503"/>
        <v/>
      </c>
      <c r="CC174" s="75" t="str">
        <f t="shared" si="503"/>
        <v/>
      </c>
      <c r="CD174" s="75" t="str">
        <f t="shared" si="503"/>
        <v/>
      </c>
      <c r="CE174" s="75" t="str">
        <f t="shared" si="503"/>
        <v/>
      </c>
      <c r="CF174" s="70" t="str">
        <f t="shared" si="480"/>
        <v/>
      </c>
      <c r="CG174" s="107"/>
      <c r="CH174" s="107"/>
      <c r="CI174" s="107"/>
      <c r="CJ174" s="107"/>
      <c r="CK174" s="107"/>
      <c r="CL174" s="107"/>
      <c r="CM174" s="107"/>
      <c r="CN174" s="107"/>
      <c r="CO174" s="107"/>
      <c r="CP174" s="107"/>
      <c r="CQ174" s="107"/>
      <c r="CR174" s="107"/>
      <c r="CS174" s="107"/>
      <c r="CT174" s="107"/>
      <c r="CV174" s="65" t="str">
        <f t="shared" si="439"/>
        <v/>
      </c>
      <c r="CW174" s="66" t="str">
        <f t="shared" si="440"/>
        <v/>
      </c>
      <c r="CX174" s="66" t="str">
        <f t="shared" si="441"/>
        <v/>
      </c>
      <c r="CY174" s="66" t="str">
        <f t="shared" si="493"/>
        <v/>
      </c>
    </row>
    <row r="175" spans="1:103" s="31" customFormat="1" ht="15" customHeight="1" x14ac:dyDescent="0.2">
      <c r="A175" s="31" t="str">
        <f t="shared" si="442"/>
        <v/>
      </c>
      <c r="B175" s="96" t="str">
        <f t="shared" si="443"/>
        <v/>
      </c>
      <c r="C175" s="96" t="str">
        <f t="shared" si="444"/>
        <v/>
      </c>
      <c r="D175" s="96" t="str">
        <f t="shared" si="445"/>
        <v/>
      </c>
      <c r="E175" s="96" t="str">
        <f t="shared" si="446"/>
        <v/>
      </c>
      <c r="F175" s="96" t="str">
        <f t="shared" si="447"/>
        <v/>
      </c>
      <c r="G175" s="96" t="str">
        <v/>
      </c>
      <c r="H175" s="96" t="str">
        <v/>
      </c>
      <c r="I175" s="96" t="str">
        <v/>
      </c>
      <c r="J175" s="96" t="str">
        <v/>
      </c>
      <c r="K175" s="96" t="str">
        <v/>
      </c>
      <c r="L175" s="26" t="str">
        <v/>
      </c>
      <c r="M175" s="82" t="str">
        <f t="shared" si="448"/>
        <v/>
      </c>
      <c r="N175" s="75" t="str">
        <f t="shared" ref="N175:Y175" si="504">IF($M175="","",N12*N148)</f>
        <v/>
      </c>
      <c r="O175" s="75" t="str">
        <f t="shared" si="504"/>
        <v/>
      </c>
      <c r="P175" s="75" t="str">
        <f t="shared" si="504"/>
        <v/>
      </c>
      <c r="Q175" s="75" t="str">
        <f t="shared" si="504"/>
        <v/>
      </c>
      <c r="R175" s="75" t="str">
        <f t="shared" si="504"/>
        <v/>
      </c>
      <c r="S175" s="75" t="str">
        <f t="shared" si="504"/>
        <v/>
      </c>
      <c r="T175" s="75" t="str">
        <f t="shared" si="504"/>
        <v/>
      </c>
      <c r="U175" s="75" t="str">
        <f t="shared" si="504"/>
        <v/>
      </c>
      <c r="V175" s="75" t="str">
        <f t="shared" si="504"/>
        <v/>
      </c>
      <c r="W175" s="75" t="str">
        <f t="shared" si="504"/>
        <v/>
      </c>
      <c r="X175" s="75" t="str">
        <f t="shared" si="504"/>
        <v/>
      </c>
      <c r="Y175" s="75" t="str">
        <f t="shared" si="504"/>
        <v/>
      </c>
      <c r="Z175" s="70" t="str">
        <f t="shared" si="450"/>
        <v/>
      </c>
      <c r="AA175" s="107"/>
      <c r="AB175" s="107"/>
      <c r="AC175" s="107"/>
      <c r="AD175" s="107"/>
      <c r="AE175" s="107"/>
      <c r="AF175" s="107"/>
      <c r="AG175" s="107"/>
      <c r="AH175" s="107"/>
      <c r="AI175" s="107"/>
      <c r="AJ175" s="107"/>
      <c r="AK175" s="107"/>
      <c r="AL175" s="107"/>
      <c r="AM175" s="107"/>
      <c r="AN175" s="107"/>
      <c r="AP175" s="65" t="str">
        <f t="shared" si="433"/>
        <v/>
      </c>
      <c r="AQ175" s="75" t="str">
        <f t="shared" ref="AQ175:BB175" si="505">IF($M175="","",AQ12*AQ148)</f>
        <v/>
      </c>
      <c r="AR175" s="75" t="str">
        <f t="shared" si="505"/>
        <v/>
      </c>
      <c r="AS175" s="75" t="str">
        <f t="shared" si="505"/>
        <v/>
      </c>
      <c r="AT175" s="75" t="str">
        <f t="shared" si="505"/>
        <v/>
      </c>
      <c r="AU175" s="75" t="str">
        <f t="shared" si="505"/>
        <v/>
      </c>
      <c r="AV175" s="75" t="str">
        <f t="shared" si="505"/>
        <v/>
      </c>
      <c r="AW175" s="75" t="str">
        <f t="shared" si="505"/>
        <v/>
      </c>
      <c r="AX175" s="75" t="str">
        <f t="shared" si="505"/>
        <v/>
      </c>
      <c r="AY175" s="75" t="str">
        <f t="shared" si="505"/>
        <v/>
      </c>
      <c r="AZ175" s="75" t="str">
        <f t="shared" si="505"/>
        <v/>
      </c>
      <c r="BA175" s="75" t="str">
        <f t="shared" si="505"/>
        <v/>
      </c>
      <c r="BB175" s="75" t="str">
        <f t="shared" si="505"/>
        <v/>
      </c>
      <c r="BC175" s="70" t="str">
        <f t="shared" si="465"/>
        <v/>
      </c>
      <c r="BD175" s="107"/>
      <c r="BE175" s="107"/>
      <c r="BF175" s="107"/>
      <c r="BG175" s="107"/>
      <c r="BH175" s="107"/>
      <c r="BI175" s="107"/>
      <c r="BJ175" s="107"/>
      <c r="BK175" s="107"/>
      <c r="BL175" s="107"/>
      <c r="BM175" s="107"/>
      <c r="BN175" s="107"/>
      <c r="BO175" s="107"/>
      <c r="BP175" s="107"/>
      <c r="BQ175" s="107"/>
      <c r="BS175" s="65" t="str">
        <f t="shared" si="436"/>
        <v/>
      </c>
      <c r="BT175" s="75" t="str">
        <f t="shared" ref="BT175:CE175" si="506">IF($M175="","",BT12*BT148)</f>
        <v/>
      </c>
      <c r="BU175" s="75" t="str">
        <f t="shared" si="506"/>
        <v/>
      </c>
      <c r="BV175" s="75" t="str">
        <f t="shared" si="506"/>
        <v/>
      </c>
      <c r="BW175" s="75" t="str">
        <f t="shared" si="506"/>
        <v/>
      </c>
      <c r="BX175" s="75" t="str">
        <f t="shared" si="506"/>
        <v/>
      </c>
      <c r="BY175" s="75" t="str">
        <f t="shared" si="506"/>
        <v/>
      </c>
      <c r="BZ175" s="75" t="str">
        <f t="shared" si="506"/>
        <v/>
      </c>
      <c r="CA175" s="75" t="str">
        <f t="shared" si="506"/>
        <v/>
      </c>
      <c r="CB175" s="75" t="str">
        <f t="shared" si="506"/>
        <v/>
      </c>
      <c r="CC175" s="75" t="str">
        <f t="shared" si="506"/>
        <v/>
      </c>
      <c r="CD175" s="75" t="str">
        <f t="shared" si="506"/>
        <v/>
      </c>
      <c r="CE175" s="75" t="str">
        <f t="shared" si="506"/>
        <v/>
      </c>
      <c r="CF175" s="70" t="str">
        <f t="shared" si="480"/>
        <v/>
      </c>
      <c r="CG175" s="107"/>
      <c r="CH175" s="107"/>
      <c r="CI175" s="107"/>
      <c r="CJ175" s="107"/>
      <c r="CK175" s="107"/>
      <c r="CL175" s="107"/>
      <c r="CM175" s="107"/>
      <c r="CN175" s="107"/>
      <c r="CO175" s="107"/>
      <c r="CP175" s="107"/>
      <c r="CQ175" s="107"/>
      <c r="CR175" s="107"/>
      <c r="CS175" s="107"/>
      <c r="CT175" s="107"/>
      <c r="CV175" s="65" t="str">
        <f t="shared" si="439"/>
        <v/>
      </c>
      <c r="CW175" s="66" t="str">
        <f t="shared" si="440"/>
        <v/>
      </c>
      <c r="CX175" s="66" t="str">
        <f t="shared" si="441"/>
        <v/>
      </c>
      <c r="CY175" s="66" t="str">
        <f t="shared" si="493"/>
        <v/>
      </c>
    </row>
    <row r="176" spans="1:103" s="31" customFormat="1" ht="15" customHeight="1" x14ac:dyDescent="0.2">
      <c r="A176" s="31" t="str">
        <f t="shared" si="442"/>
        <v/>
      </c>
      <c r="B176" s="96" t="str">
        <f t="shared" si="443"/>
        <v/>
      </c>
      <c r="C176" s="96" t="str">
        <f t="shared" si="444"/>
        <v/>
      </c>
      <c r="D176" s="96" t="str">
        <f t="shared" si="445"/>
        <v/>
      </c>
      <c r="E176" s="96" t="str">
        <f t="shared" si="446"/>
        <v/>
      </c>
      <c r="F176" s="96" t="str">
        <f t="shared" si="447"/>
        <v/>
      </c>
      <c r="G176" s="96" t="str">
        <v/>
      </c>
      <c r="H176" s="96" t="str">
        <v/>
      </c>
      <c r="I176" s="96" t="str">
        <v/>
      </c>
      <c r="J176" s="96" t="str">
        <v/>
      </c>
      <c r="K176" s="96" t="str">
        <v/>
      </c>
      <c r="L176" s="26" t="str">
        <v/>
      </c>
      <c r="M176" s="82" t="str">
        <f t="shared" si="448"/>
        <v/>
      </c>
      <c r="N176" s="75" t="str">
        <f t="shared" ref="N176:Y176" si="507">IF($M176="","",N13*N149)</f>
        <v/>
      </c>
      <c r="O176" s="75" t="str">
        <f t="shared" si="507"/>
        <v/>
      </c>
      <c r="P176" s="75" t="str">
        <f t="shared" si="507"/>
        <v/>
      </c>
      <c r="Q176" s="75" t="str">
        <f t="shared" si="507"/>
        <v/>
      </c>
      <c r="R176" s="75" t="str">
        <f t="shared" si="507"/>
        <v/>
      </c>
      <c r="S176" s="75" t="str">
        <f t="shared" si="507"/>
        <v/>
      </c>
      <c r="T176" s="75" t="str">
        <f t="shared" si="507"/>
        <v/>
      </c>
      <c r="U176" s="75" t="str">
        <f t="shared" si="507"/>
        <v/>
      </c>
      <c r="V176" s="75" t="str">
        <f t="shared" si="507"/>
        <v/>
      </c>
      <c r="W176" s="75" t="str">
        <f t="shared" si="507"/>
        <v/>
      </c>
      <c r="X176" s="75" t="str">
        <f t="shared" si="507"/>
        <v/>
      </c>
      <c r="Y176" s="75" t="str">
        <f t="shared" si="507"/>
        <v/>
      </c>
      <c r="Z176" s="70" t="str">
        <f t="shared" si="450"/>
        <v/>
      </c>
      <c r="AA176" s="107"/>
      <c r="AB176" s="107"/>
      <c r="AC176" s="107"/>
      <c r="AD176" s="107"/>
      <c r="AE176" s="107"/>
      <c r="AF176" s="107"/>
      <c r="AG176" s="107"/>
      <c r="AH176" s="107"/>
      <c r="AI176" s="107"/>
      <c r="AJ176" s="107"/>
      <c r="AK176" s="107"/>
      <c r="AL176" s="107"/>
      <c r="AM176" s="107"/>
      <c r="AN176" s="107"/>
      <c r="AP176" s="65" t="str">
        <f t="shared" si="433"/>
        <v/>
      </c>
      <c r="AQ176" s="75" t="str">
        <f t="shared" ref="AQ176:BB176" si="508">IF($M176="","",AQ13*AQ149)</f>
        <v/>
      </c>
      <c r="AR176" s="75" t="str">
        <f t="shared" si="508"/>
        <v/>
      </c>
      <c r="AS176" s="75" t="str">
        <f t="shared" si="508"/>
        <v/>
      </c>
      <c r="AT176" s="75" t="str">
        <f t="shared" si="508"/>
        <v/>
      </c>
      <c r="AU176" s="75" t="str">
        <f t="shared" si="508"/>
        <v/>
      </c>
      <c r="AV176" s="75" t="str">
        <f t="shared" si="508"/>
        <v/>
      </c>
      <c r="AW176" s="75" t="str">
        <f t="shared" si="508"/>
        <v/>
      </c>
      <c r="AX176" s="75" t="str">
        <f t="shared" si="508"/>
        <v/>
      </c>
      <c r="AY176" s="75" t="str">
        <f t="shared" si="508"/>
        <v/>
      </c>
      <c r="AZ176" s="75" t="str">
        <f t="shared" si="508"/>
        <v/>
      </c>
      <c r="BA176" s="75" t="str">
        <f t="shared" si="508"/>
        <v/>
      </c>
      <c r="BB176" s="75" t="str">
        <f t="shared" si="508"/>
        <v/>
      </c>
      <c r="BC176" s="70" t="str">
        <f t="shared" si="465"/>
        <v/>
      </c>
      <c r="BD176" s="107"/>
      <c r="BE176" s="107"/>
      <c r="BF176" s="107"/>
      <c r="BG176" s="107"/>
      <c r="BH176" s="107"/>
      <c r="BI176" s="107"/>
      <c r="BJ176" s="107"/>
      <c r="BK176" s="107"/>
      <c r="BL176" s="107"/>
      <c r="BM176" s="107"/>
      <c r="BN176" s="107"/>
      <c r="BO176" s="107"/>
      <c r="BP176" s="107"/>
      <c r="BQ176" s="107"/>
      <c r="BS176" s="65" t="str">
        <f t="shared" si="436"/>
        <v/>
      </c>
      <c r="BT176" s="75" t="str">
        <f t="shared" ref="BT176:CE176" si="509">IF($M176="","",BT13*BT149)</f>
        <v/>
      </c>
      <c r="BU176" s="75" t="str">
        <f t="shared" si="509"/>
        <v/>
      </c>
      <c r="BV176" s="75" t="str">
        <f t="shared" si="509"/>
        <v/>
      </c>
      <c r="BW176" s="75" t="str">
        <f t="shared" si="509"/>
        <v/>
      </c>
      <c r="BX176" s="75" t="str">
        <f t="shared" si="509"/>
        <v/>
      </c>
      <c r="BY176" s="75" t="str">
        <f t="shared" si="509"/>
        <v/>
      </c>
      <c r="BZ176" s="75" t="str">
        <f t="shared" si="509"/>
        <v/>
      </c>
      <c r="CA176" s="75" t="str">
        <f t="shared" si="509"/>
        <v/>
      </c>
      <c r="CB176" s="75" t="str">
        <f t="shared" si="509"/>
        <v/>
      </c>
      <c r="CC176" s="75" t="str">
        <f t="shared" si="509"/>
        <v/>
      </c>
      <c r="CD176" s="75" t="str">
        <f t="shared" si="509"/>
        <v/>
      </c>
      <c r="CE176" s="75" t="str">
        <f t="shared" si="509"/>
        <v/>
      </c>
      <c r="CF176" s="70" t="str">
        <f t="shared" si="480"/>
        <v/>
      </c>
      <c r="CG176" s="107"/>
      <c r="CH176" s="107"/>
      <c r="CI176" s="107"/>
      <c r="CJ176" s="107"/>
      <c r="CK176" s="107"/>
      <c r="CL176" s="107"/>
      <c r="CM176" s="107"/>
      <c r="CN176" s="107"/>
      <c r="CO176" s="107"/>
      <c r="CP176" s="107"/>
      <c r="CQ176" s="107"/>
      <c r="CR176" s="107"/>
      <c r="CS176" s="107"/>
      <c r="CT176" s="107"/>
      <c r="CV176" s="65" t="str">
        <f t="shared" si="439"/>
        <v/>
      </c>
      <c r="CW176" s="66" t="str">
        <f t="shared" si="440"/>
        <v/>
      </c>
      <c r="CX176" s="66" t="str">
        <f t="shared" si="441"/>
        <v/>
      </c>
      <c r="CY176" s="66" t="str">
        <f t="shared" si="493"/>
        <v/>
      </c>
    </row>
    <row r="177" spans="1:103" s="31" customFormat="1" ht="15" customHeight="1" x14ac:dyDescent="0.2">
      <c r="A177" s="31" t="str">
        <f t="shared" si="442"/>
        <v/>
      </c>
      <c r="B177" s="96" t="str">
        <f t="shared" si="443"/>
        <v/>
      </c>
      <c r="C177" s="96" t="str">
        <f t="shared" si="444"/>
        <v/>
      </c>
      <c r="D177" s="96" t="str">
        <f t="shared" si="445"/>
        <v/>
      </c>
      <c r="E177" s="96" t="str">
        <f t="shared" si="446"/>
        <v/>
      </c>
      <c r="F177" s="96" t="str">
        <f t="shared" si="447"/>
        <v/>
      </c>
      <c r="G177" s="96" t="str">
        <v/>
      </c>
      <c r="H177" s="96" t="str">
        <v/>
      </c>
      <c r="I177" s="96" t="str">
        <v/>
      </c>
      <c r="J177" s="96" t="str">
        <v/>
      </c>
      <c r="K177" s="96" t="str">
        <v/>
      </c>
      <c r="L177" s="26" t="str">
        <v/>
      </c>
      <c r="M177" s="82" t="str">
        <f t="shared" si="448"/>
        <v/>
      </c>
      <c r="N177" s="75" t="str">
        <f t="shared" ref="N177:Y177" si="510">IF($M177="","",N14*N150)</f>
        <v/>
      </c>
      <c r="O177" s="75" t="str">
        <f t="shared" si="510"/>
        <v/>
      </c>
      <c r="P177" s="75" t="str">
        <f t="shared" si="510"/>
        <v/>
      </c>
      <c r="Q177" s="75" t="str">
        <f t="shared" si="510"/>
        <v/>
      </c>
      <c r="R177" s="75" t="str">
        <f t="shared" si="510"/>
        <v/>
      </c>
      <c r="S177" s="75" t="str">
        <f t="shared" si="510"/>
        <v/>
      </c>
      <c r="T177" s="75" t="str">
        <f t="shared" si="510"/>
        <v/>
      </c>
      <c r="U177" s="75" t="str">
        <f t="shared" si="510"/>
        <v/>
      </c>
      <c r="V177" s="75" t="str">
        <f t="shared" si="510"/>
        <v/>
      </c>
      <c r="W177" s="75" t="str">
        <f t="shared" si="510"/>
        <v/>
      </c>
      <c r="X177" s="75" t="str">
        <f t="shared" si="510"/>
        <v/>
      </c>
      <c r="Y177" s="75" t="str">
        <f t="shared" si="510"/>
        <v/>
      </c>
      <c r="Z177" s="70" t="str">
        <f t="shared" si="450"/>
        <v/>
      </c>
      <c r="AA177" s="107"/>
      <c r="AB177" s="107"/>
      <c r="AC177" s="107"/>
      <c r="AD177" s="107"/>
      <c r="AE177" s="107"/>
      <c r="AF177" s="107"/>
      <c r="AG177" s="107"/>
      <c r="AH177" s="107"/>
      <c r="AI177" s="107"/>
      <c r="AJ177" s="107"/>
      <c r="AK177" s="107"/>
      <c r="AL177" s="107"/>
      <c r="AM177" s="107"/>
      <c r="AN177" s="107"/>
      <c r="AP177" s="65" t="str">
        <f t="shared" si="433"/>
        <v/>
      </c>
      <c r="AQ177" s="75" t="str">
        <f t="shared" ref="AQ177:BB177" si="511">IF($M177="","",AQ14*AQ150)</f>
        <v/>
      </c>
      <c r="AR177" s="75" t="str">
        <f t="shared" si="511"/>
        <v/>
      </c>
      <c r="AS177" s="75" t="str">
        <f t="shared" si="511"/>
        <v/>
      </c>
      <c r="AT177" s="75" t="str">
        <f t="shared" si="511"/>
        <v/>
      </c>
      <c r="AU177" s="75" t="str">
        <f t="shared" si="511"/>
        <v/>
      </c>
      <c r="AV177" s="75" t="str">
        <f t="shared" si="511"/>
        <v/>
      </c>
      <c r="AW177" s="75" t="str">
        <f t="shared" si="511"/>
        <v/>
      </c>
      <c r="AX177" s="75" t="str">
        <f t="shared" si="511"/>
        <v/>
      </c>
      <c r="AY177" s="75" t="str">
        <f t="shared" si="511"/>
        <v/>
      </c>
      <c r="AZ177" s="75" t="str">
        <f t="shared" si="511"/>
        <v/>
      </c>
      <c r="BA177" s="75" t="str">
        <f t="shared" si="511"/>
        <v/>
      </c>
      <c r="BB177" s="75" t="str">
        <f t="shared" si="511"/>
        <v/>
      </c>
      <c r="BC177" s="70" t="str">
        <f t="shared" si="465"/>
        <v/>
      </c>
      <c r="BD177" s="107"/>
      <c r="BE177" s="107"/>
      <c r="BF177" s="107"/>
      <c r="BG177" s="107"/>
      <c r="BH177" s="107"/>
      <c r="BI177" s="107"/>
      <c r="BJ177" s="107"/>
      <c r="BK177" s="107"/>
      <c r="BL177" s="107"/>
      <c r="BM177" s="107"/>
      <c r="BN177" s="107"/>
      <c r="BO177" s="107"/>
      <c r="BP177" s="107"/>
      <c r="BQ177" s="107"/>
      <c r="BS177" s="65" t="str">
        <f t="shared" si="436"/>
        <v/>
      </c>
      <c r="BT177" s="75" t="str">
        <f t="shared" ref="BT177:CE177" si="512">IF($M177="","",BT14*BT150)</f>
        <v/>
      </c>
      <c r="BU177" s="75" t="str">
        <f t="shared" si="512"/>
        <v/>
      </c>
      <c r="BV177" s="75" t="str">
        <f t="shared" si="512"/>
        <v/>
      </c>
      <c r="BW177" s="75" t="str">
        <f t="shared" si="512"/>
        <v/>
      </c>
      <c r="BX177" s="75" t="str">
        <f t="shared" si="512"/>
        <v/>
      </c>
      <c r="BY177" s="75" t="str">
        <f t="shared" si="512"/>
        <v/>
      </c>
      <c r="BZ177" s="75" t="str">
        <f t="shared" si="512"/>
        <v/>
      </c>
      <c r="CA177" s="75" t="str">
        <f t="shared" si="512"/>
        <v/>
      </c>
      <c r="CB177" s="75" t="str">
        <f t="shared" si="512"/>
        <v/>
      </c>
      <c r="CC177" s="75" t="str">
        <f t="shared" si="512"/>
        <v/>
      </c>
      <c r="CD177" s="75" t="str">
        <f t="shared" si="512"/>
        <v/>
      </c>
      <c r="CE177" s="75" t="str">
        <f t="shared" si="512"/>
        <v/>
      </c>
      <c r="CF177" s="70" t="str">
        <f t="shared" si="480"/>
        <v/>
      </c>
      <c r="CG177" s="107"/>
      <c r="CH177" s="107"/>
      <c r="CI177" s="107"/>
      <c r="CJ177" s="107"/>
      <c r="CK177" s="107"/>
      <c r="CL177" s="107"/>
      <c r="CM177" s="107"/>
      <c r="CN177" s="107"/>
      <c r="CO177" s="107"/>
      <c r="CP177" s="107"/>
      <c r="CQ177" s="107"/>
      <c r="CR177" s="107"/>
      <c r="CS177" s="107"/>
      <c r="CT177" s="107"/>
      <c r="CV177" s="65" t="str">
        <f t="shared" si="439"/>
        <v/>
      </c>
      <c r="CW177" s="66" t="str">
        <f t="shared" si="440"/>
        <v/>
      </c>
      <c r="CX177" s="66" t="str">
        <f t="shared" si="441"/>
        <v/>
      </c>
      <c r="CY177" s="66" t="str">
        <f t="shared" si="493"/>
        <v/>
      </c>
    </row>
    <row r="178" spans="1:103" s="31" customFormat="1" ht="15" customHeight="1" x14ac:dyDescent="0.2">
      <c r="A178" s="31" t="str">
        <f t="shared" si="442"/>
        <v/>
      </c>
      <c r="B178" s="96" t="str">
        <f t="shared" si="443"/>
        <v/>
      </c>
      <c r="C178" s="96" t="str">
        <f t="shared" si="444"/>
        <v/>
      </c>
      <c r="D178" s="96" t="str">
        <f t="shared" si="445"/>
        <v/>
      </c>
      <c r="E178" s="96" t="str">
        <f t="shared" si="446"/>
        <v/>
      </c>
      <c r="F178" s="96" t="str">
        <f t="shared" si="447"/>
        <v/>
      </c>
      <c r="G178" s="96" t="str">
        <v/>
      </c>
      <c r="H178" s="96" t="str">
        <v/>
      </c>
      <c r="I178" s="96" t="str">
        <v/>
      </c>
      <c r="J178" s="96" t="str">
        <v/>
      </c>
      <c r="K178" s="96" t="str">
        <v/>
      </c>
      <c r="L178" s="26" t="str">
        <v/>
      </c>
      <c r="M178" s="82" t="str">
        <f t="shared" si="448"/>
        <v/>
      </c>
      <c r="N178" s="75" t="str">
        <f t="shared" ref="N178:Y178" si="513">IF($M178="","",N15*N151)</f>
        <v/>
      </c>
      <c r="O178" s="75" t="str">
        <f t="shared" si="513"/>
        <v/>
      </c>
      <c r="P178" s="75" t="str">
        <f t="shared" si="513"/>
        <v/>
      </c>
      <c r="Q178" s="75" t="str">
        <f t="shared" si="513"/>
        <v/>
      </c>
      <c r="R178" s="75" t="str">
        <f t="shared" si="513"/>
        <v/>
      </c>
      <c r="S178" s="75" t="str">
        <f t="shared" si="513"/>
        <v/>
      </c>
      <c r="T178" s="75" t="str">
        <f t="shared" si="513"/>
        <v/>
      </c>
      <c r="U178" s="75" t="str">
        <f t="shared" si="513"/>
        <v/>
      </c>
      <c r="V178" s="75" t="str">
        <f t="shared" si="513"/>
        <v/>
      </c>
      <c r="W178" s="75" t="str">
        <f t="shared" si="513"/>
        <v/>
      </c>
      <c r="X178" s="75" t="str">
        <f t="shared" si="513"/>
        <v/>
      </c>
      <c r="Y178" s="75" t="str">
        <f t="shared" si="513"/>
        <v/>
      </c>
      <c r="Z178" s="70" t="str">
        <f t="shared" si="450"/>
        <v/>
      </c>
      <c r="AA178" s="107"/>
      <c r="AB178" s="107"/>
      <c r="AC178" s="107"/>
      <c r="AD178" s="107"/>
      <c r="AE178" s="107"/>
      <c r="AF178" s="107"/>
      <c r="AG178" s="107"/>
      <c r="AH178" s="107"/>
      <c r="AI178" s="107"/>
      <c r="AJ178" s="107"/>
      <c r="AK178" s="107"/>
      <c r="AL178" s="107"/>
      <c r="AM178" s="107"/>
      <c r="AN178" s="107"/>
      <c r="AP178" s="65" t="str">
        <f t="shared" si="433"/>
        <v/>
      </c>
      <c r="AQ178" s="75" t="str">
        <f t="shared" ref="AQ178:BB178" si="514">IF($M178="","",AQ15*AQ151)</f>
        <v/>
      </c>
      <c r="AR178" s="75" t="str">
        <f t="shared" si="514"/>
        <v/>
      </c>
      <c r="AS178" s="75" t="str">
        <f t="shared" si="514"/>
        <v/>
      </c>
      <c r="AT178" s="75" t="str">
        <f t="shared" si="514"/>
        <v/>
      </c>
      <c r="AU178" s="75" t="str">
        <f t="shared" si="514"/>
        <v/>
      </c>
      <c r="AV178" s="75" t="str">
        <f t="shared" si="514"/>
        <v/>
      </c>
      <c r="AW178" s="75" t="str">
        <f t="shared" si="514"/>
        <v/>
      </c>
      <c r="AX178" s="75" t="str">
        <f t="shared" si="514"/>
        <v/>
      </c>
      <c r="AY178" s="75" t="str">
        <f t="shared" si="514"/>
        <v/>
      </c>
      <c r="AZ178" s="75" t="str">
        <f t="shared" si="514"/>
        <v/>
      </c>
      <c r="BA178" s="75" t="str">
        <f t="shared" si="514"/>
        <v/>
      </c>
      <c r="BB178" s="75" t="str">
        <f t="shared" si="514"/>
        <v/>
      </c>
      <c r="BC178" s="70" t="str">
        <f t="shared" si="465"/>
        <v/>
      </c>
      <c r="BD178" s="107"/>
      <c r="BE178" s="107"/>
      <c r="BF178" s="107"/>
      <c r="BG178" s="107"/>
      <c r="BH178" s="107"/>
      <c r="BI178" s="107"/>
      <c r="BJ178" s="107"/>
      <c r="BK178" s="107"/>
      <c r="BL178" s="107"/>
      <c r="BM178" s="107"/>
      <c r="BN178" s="107"/>
      <c r="BO178" s="107"/>
      <c r="BP178" s="107"/>
      <c r="BQ178" s="107"/>
      <c r="BS178" s="65" t="str">
        <f t="shared" si="436"/>
        <v/>
      </c>
      <c r="BT178" s="75" t="str">
        <f t="shared" ref="BT178:CE178" si="515">IF($M178="","",BT15*BT151)</f>
        <v/>
      </c>
      <c r="BU178" s="75" t="str">
        <f t="shared" si="515"/>
        <v/>
      </c>
      <c r="BV178" s="75" t="str">
        <f t="shared" si="515"/>
        <v/>
      </c>
      <c r="BW178" s="75" t="str">
        <f t="shared" si="515"/>
        <v/>
      </c>
      <c r="BX178" s="75" t="str">
        <f t="shared" si="515"/>
        <v/>
      </c>
      <c r="BY178" s="75" t="str">
        <f t="shared" si="515"/>
        <v/>
      </c>
      <c r="BZ178" s="75" t="str">
        <f t="shared" si="515"/>
        <v/>
      </c>
      <c r="CA178" s="75" t="str">
        <f t="shared" si="515"/>
        <v/>
      </c>
      <c r="CB178" s="75" t="str">
        <f t="shared" si="515"/>
        <v/>
      </c>
      <c r="CC178" s="75" t="str">
        <f t="shared" si="515"/>
        <v/>
      </c>
      <c r="CD178" s="75" t="str">
        <f t="shared" si="515"/>
        <v/>
      </c>
      <c r="CE178" s="75" t="str">
        <f t="shared" si="515"/>
        <v/>
      </c>
      <c r="CF178" s="70" t="str">
        <f t="shared" si="480"/>
        <v/>
      </c>
      <c r="CG178" s="107"/>
      <c r="CH178" s="107"/>
      <c r="CI178" s="107"/>
      <c r="CJ178" s="107"/>
      <c r="CK178" s="107"/>
      <c r="CL178" s="107"/>
      <c r="CM178" s="107"/>
      <c r="CN178" s="107"/>
      <c r="CO178" s="107"/>
      <c r="CP178" s="107"/>
      <c r="CQ178" s="107"/>
      <c r="CR178" s="107"/>
      <c r="CS178" s="107"/>
      <c r="CT178" s="107"/>
      <c r="CV178" s="65" t="str">
        <f t="shared" si="439"/>
        <v/>
      </c>
      <c r="CW178" s="66" t="str">
        <f t="shared" si="440"/>
        <v/>
      </c>
      <c r="CX178" s="66" t="str">
        <f t="shared" si="441"/>
        <v/>
      </c>
      <c r="CY178" s="66" t="str">
        <f t="shared" si="493"/>
        <v/>
      </c>
    </row>
    <row r="179" spans="1:103" s="31" customFormat="1" ht="15" customHeight="1" x14ac:dyDescent="0.2">
      <c r="A179" s="31" t="str">
        <f t="shared" si="442"/>
        <v/>
      </c>
      <c r="B179" s="96" t="str">
        <f t="shared" si="443"/>
        <v/>
      </c>
      <c r="C179" s="96" t="str">
        <f t="shared" si="444"/>
        <v/>
      </c>
      <c r="D179" s="96" t="str">
        <f t="shared" si="445"/>
        <v/>
      </c>
      <c r="E179" s="96" t="str">
        <f t="shared" si="446"/>
        <v/>
      </c>
      <c r="F179" s="96" t="str">
        <f t="shared" si="447"/>
        <v/>
      </c>
      <c r="G179" s="96" t="str">
        <v/>
      </c>
      <c r="H179" s="96" t="str">
        <v/>
      </c>
      <c r="I179" s="96" t="str">
        <v/>
      </c>
      <c r="J179" s="96" t="str">
        <v/>
      </c>
      <c r="K179" s="96" t="str">
        <v/>
      </c>
      <c r="L179" s="26" t="str">
        <v/>
      </c>
      <c r="M179" s="82" t="str">
        <f t="shared" si="448"/>
        <v/>
      </c>
      <c r="N179" s="75" t="str">
        <f t="shared" ref="N179:Y179" si="516">IF($M179="","",N16*N152)</f>
        <v/>
      </c>
      <c r="O179" s="75" t="str">
        <f t="shared" si="516"/>
        <v/>
      </c>
      <c r="P179" s="75" t="str">
        <f t="shared" si="516"/>
        <v/>
      </c>
      <c r="Q179" s="75" t="str">
        <f t="shared" si="516"/>
        <v/>
      </c>
      <c r="R179" s="75" t="str">
        <f t="shared" si="516"/>
        <v/>
      </c>
      <c r="S179" s="75" t="str">
        <f t="shared" si="516"/>
        <v/>
      </c>
      <c r="T179" s="75" t="str">
        <f t="shared" si="516"/>
        <v/>
      </c>
      <c r="U179" s="75" t="str">
        <f t="shared" si="516"/>
        <v/>
      </c>
      <c r="V179" s="75" t="str">
        <f t="shared" si="516"/>
        <v/>
      </c>
      <c r="W179" s="75" t="str">
        <f t="shared" si="516"/>
        <v/>
      </c>
      <c r="X179" s="75" t="str">
        <f t="shared" si="516"/>
        <v/>
      </c>
      <c r="Y179" s="75" t="str">
        <f t="shared" si="516"/>
        <v/>
      </c>
      <c r="Z179" s="70" t="str">
        <f t="shared" si="450"/>
        <v/>
      </c>
      <c r="AA179" s="107"/>
      <c r="AB179" s="107"/>
      <c r="AC179" s="107"/>
      <c r="AD179" s="107"/>
      <c r="AE179" s="107"/>
      <c r="AF179" s="107"/>
      <c r="AG179" s="107"/>
      <c r="AH179" s="107"/>
      <c r="AI179" s="107"/>
      <c r="AJ179" s="107"/>
      <c r="AK179" s="107"/>
      <c r="AL179" s="107"/>
      <c r="AM179" s="107"/>
      <c r="AN179" s="107"/>
      <c r="AP179" s="65" t="str">
        <f t="shared" si="433"/>
        <v/>
      </c>
      <c r="AQ179" s="75" t="str">
        <f t="shared" ref="AQ179:BB179" si="517">IF($M179="","",AQ16*AQ152)</f>
        <v/>
      </c>
      <c r="AR179" s="75" t="str">
        <f t="shared" si="517"/>
        <v/>
      </c>
      <c r="AS179" s="75" t="str">
        <f t="shared" si="517"/>
        <v/>
      </c>
      <c r="AT179" s="75" t="str">
        <f t="shared" si="517"/>
        <v/>
      </c>
      <c r="AU179" s="75" t="str">
        <f t="shared" si="517"/>
        <v/>
      </c>
      <c r="AV179" s="75" t="str">
        <f t="shared" si="517"/>
        <v/>
      </c>
      <c r="AW179" s="75" t="str">
        <f t="shared" si="517"/>
        <v/>
      </c>
      <c r="AX179" s="75" t="str">
        <f t="shared" si="517"/>
        <v/>
      </c>
      <c r="AY179" s="75" t="str">
        <f t="shared" si="517"/>
        <v/>
      </c>
      <c r="AZ179" s="75" t="str">
        <f t="shared" si="517"/>
        <v/>
      </c>
      <c r="BA179" s="75" t="str">
        <f t="shared" si="517"/>
        <v/>
      </c>
      <c r="BB179" s="75" t="str">
        <f t="shared" si="517"/>
        <v/>
      </c>
      <c r="BC179" s="70" t="str">
        <f t="shared" si="465"/>
        <v/>
      </c>
      <c r="BD179" s="107"/>
      <c r="BE179" s="107"/>
      <c r="BF179" s="107"/>
      <c r="BG179" s="107"/>
      <c r="BH179" s="107"/>
      <c r="BI179" s="107"/>
      <c r="BJ179" s="107"/>
      <c r="BK179" s="107"/>
      <c r="BL179" s="107"/>
      <c r="BM179" s="107"/>
      <c r="BN179" s="107"/>
      <c r="BO179" s="107"/>
      <c r="BP179" s="107"/>
      <c r="BQ179" s="107"/>
      <c r="BS179" s="65" t="str">
        <f t="shared" si="436"/>
        <v/>
      </c>
      <c r="BT179" s="75" t="str">
        <f t="shared" ref="BT179:CE179" si="518">IF($M179="","",BT16*BT152)</f>
        <v/>
      </c>
      <c r="BU179" s="75" t="str">
        <f t="shared" si="518"/>
        <v/>
      </c>
      <c r="BV179" s="75" t="str">
        <f t="shared" si="518"/>
        <v/>
      </c>
      <c r="BW179" s="75" t="str">
        <f t="shared" si="518"/>
        <v/>
      </c>
      <c r="BX179" s="75" t="str">
        <f t="shared" si="518"/>
        <v/>
      </c>
      <c r="BY179" s="75" t="str">
        <f t="shared" si="518"/>
        <v/>
      </c>
      <c r="BZ179" s="75" t="str">
        <f t="shared" si="518"/>
        <v/>
      </c>
      <c r="CA179" s="75" t="str">
        <f t="shared" si="518"/>
        <v/>
      </c>
      <c r="CB179" s="75" t="str">
        <f t="shared" si="518"/>
        <v/>
      </c>
      <c r="CC179" s="75" t="str">
        <f t="shared" si="518"/>
        <v/>
      </c>
      <c r="CD179" s="75" t="str">
        <f t="shared" si="518"/>
        <v/>
      </c>
      <c r="CE179" s="75" t="str">
        <f t="shared" si="518"/>
        <v/>
      </c>
      <c r="CF179" s="70" t="str">
        <f t="shared" si="480"/>
        <v/>
      </c>
      <c r="CG179" s="107"/>
      <c r="CH179" s="107"/>
      <c r="CI179" s="107"/>
      <c r="CJ179" s="107"/>
      <c r="CK179" s="107"/>
      <c r="CL179" s="107"/>
      <c r="CM179" s="107"/>
      <c r="CN179" s="107"/>
      <c r="CO179" s="107"/>
      <c r="CP179" s="107"/>
      <c r="CQ179" s="107"/>
      <c r="CR179" s="107"/>
      <c r="CS179" s="107"/>
      <c r="CT179" s="107"/>
      <c r="CV179" s="65" t="str">
        <f t="shared" si="439"/>
        <v/>
      </c>
      <c r="CW179" s="66" t="str">
        <f t="shared" si="440"/>
        <v/>
      </c>
      <c r="CX179" s="66" t="str">
        <f t="shared" si="441"/>
        <v/>
      </c>
      <c r="CY179" s="66" t="str">
        <f t="shared" si="493"/>
        <v/>
      </c>
    </row>
    <row r="180" spans="1:103" s="31" customFormat="1" ht="15" hidden="1" customHeight="1" x14ac:dyDescent="0.2">
      <c r="A180" s="31" t="str">
        <f t="shared" si="442"/>
        <v/>
      </c>
      <c r="B180" s="96" t="str">
        <f t="shared" si="443"/>
        <v/>
      </c>
      <c r="C180" s="96" t="str">
        <f t="shared" si="444"/>
        <v/>
      </c>
      <c r="D180" s="96" t="str">
        <f t="shared" si="445"/>
        <v/>
      </c>
      <c r="E180" s="96" t="str">
        <f t="shared" si="446"/>
        <v/>
      </c>
      <c r="F180" s="96" t="str">
        <f t="shared" si="447"/>
        <v/>
      </c>
      <c r="G180" s="96" t="str">
        <v/>
      </c>
      <c r="H180" s="96" t="str">
        <v/>
      </c>
      <c r="I180" s="96" t="str">
        <v/>
      </c>
      <c r="J180" s="96" t="str">
        <v/>
      </c>
      <c r="K180" s="96" t="str">
        <v/>
      </c>
      <c r="L180" s="26" t="str">
        <v/>
      </c>
      <c r="M180" s="82" t="str">
        <f t="shared" si="448"/>
        <v/>
      </c>
      <c r="N180" s="75" t="str">
        <f t="shared" ref="N180:Y180" si="519">IF($M180="","",N17*N153)</f>
        <v/>
      </c>
      <c r="O180" s="75" t="str">
        <f t="shared" si="519"/>
        <v/>
      </c>
      <c r="P180" s="75" t="str">
        <f t="shared" si="519"/>
        <v/>
      </c>
      <c r="Q180" s="75" t="str">
        <f t="shared" si="519"/>
        <v/>
      </c>
      <c r="R180" s="75" t="str">
        <f t="shared" si="519"/>
        <v/>
      </c>
      <c r="S180" s="75" t="str">
        <f t="shared" si="519"/>
        <v/>
      </c>
      <c r="T180" s="75" t="str">
        <f t="shared" si="519"/>
        <v/>
      </c>
      <c r="U180" s="75" t="str">
        <f t="shared" si="519"/>
        <v/>
      </c>
      <c r="V180" s="75" t="str">
        <f t="shared" si="519"/>
        <v/>
      </c>
      <c r="W180" s="75" t="str">
        <f t="shared" si="519"/>
        <v/>
      </c>
      <c r="X180" s="75" t="str">
        <f t="shared" si="519"/>
        <v/>
      </c>
      <c r="Y180" s="75" t="str">
        <f t="shared" si="519"/>
        <v/>
      </c>
      <c r="Z180" s="70" t="str">
        <f t="shared" si="450"/>
        <v/>
      </c>
      <c r="AA180" s="107"/>
      <c r="AB180" s="107"/>
      <c r="AC180" s="107"/>
      <c r="AD180" s="107"/>
      <c r="AE180" s="107"/>
      <c r="AF180" s="107"/>
      <c r="AG180" s="107"/>
      <c r="AH180" s="107"/>
      <c r="AI180" s="107"/>
      <c r="AJ180" s="107"/>
      <c r="AK180" s="107"/>
      <c r="AL180" s="107"/>
      <c r="AM180" s="107"/>
      <c r="AN180" s="107"/>
      <c r="AP180" s="65" t="str">
        <f t="shared" si="433"/>
        <v/>
      </c>
      <c r="AQ180" s="75" t="str">
        <f t="shared" ref="AQ180:BB180" si="520">IF($M180="","",AQ17*AQ153)</f>
        <v/>
      </c>
      <c r="AR180" s="75" t="str">
        <f t="shared" si="520"/>
        <v/>
      </c>
      <c r="AS180" s="75" t="str">
        <f t="shared" si="520"/>
        <v/>
      </c>
      <c r="AT180" s="75" t="str">
        <f t="shared" si="520"/>
        <v/>
      </c>
      <c r="AU180" s="75" t="str">
        <f t="shared" si="520"/>
        <v/>
      </c>
      <c r="AV180" s="75" t="str">
        <f t="shared" si="520"/>
        <v/>
      </c>
      <c r="AW180" s="75" t="str">
        <f t="shared" si="520"/>
        <v/>
      </c>
      <c r="AX180" s="75" t="str">
        <f t="shared" si="520"/>
        <v/>
      </c>
      <c r="AY180" s="75" t="str">
        <f t="shared" si="520"/>
        <v/>
      </c>
      <c r="AZ180" s="75" t="str">
        <f t="shared" si="520"/>
        <v/>
      </c>
      <c r="BA180" s="75" t="str">
        <f t="shared" si="520"/>
        <v/>
      </c>
      <c r="BB180" s="75" t="str">
        <f t="shared" si="520"/>
        <v/>
      </c>
      <c r="BC180" s="70" t="str">
        <f t="shared" si="465"/>
        <v/>
      </c>
      <c r="BD180" s="107"/>
      <c r="BE180" s="107"/>
      <c r="BF180" s="107"/>
      <c r="BG180" s="107"/>
      <c r="BH180" s="107"/>
      <c r="BI180" s="107"/>
      <c r="BJ180" s="107"/>
      <c r="BK180" s="107"/>
      <c r="BL180" s="107"/>
      <c r="BM180" s="107"/>
      <c r="BN180" s="107"/>
      <c r="BO180" s="107"/>
      <c r="BP180" s="107"/>
      <c r="BQ180" s="107"/>
      <c r="BS180" s="65" t="str">
        <f t="shared" si="436"/>
        <v/>
      </c>
      <c r="BT180" s="75" t="str">
        <f t="shared" ref="BT180:CE180" si="521">IF($M180="","",BT17*BT153)</f>
        <v/>
      </c>
      <c r="BU180" s="75" t="str">
        <f t="shared" si="521"/>
        <v/>
      </c>
      <c r="BV180" s="75" t="str">
        <f t="shared" si="521"/>
        <v/>
      </c>
      <c r="BW180" s="75" t="str">
        <f t="shared" si="521"/>
        <v/>
      </c>
      <c r="BX180" s="75" t="str">
        <f t="shared" si="521"/>
        <v/>
      </c>
      <c r="BY180" s="75" t="str">
        <f t="shared" si="521"/>
        <v/>
      </c>
      <c r="BZ180" s="75" t="str">
        <f t="shared" si="521"/>
        <v/>
      </c>
      <c r="CA180" s="75" t="str">
        <f t="shared" si="521"/>
        <v/>
      </c>
      <c r="CB180" s="75" t="str">
        <f t="shared" si="521"/>
        <v/>
      </c>
      <c r="CC180" s="75" t="str">
        <f t="shared" si="521"/>
        <v/>
      </c>
      <c r="CD180" s="75" t="str">
        <f t="shared" si="521"/>
        <v/>
      </c>
      <c r="CE180" s="75" t="str">
        <f t="shared" si="521"/>
        <v/>
      </c>
      <c r="CF180" s="70" t="str">
        <f t="shared" si="480"/>
        <v/>
      </c>
      <c r="CG180" s="107"/>
      <c r="CH180" s="107"/>
      <c r="CI180" s="107"/>
      <c r="CJ180" s="107"/>
      <c r="CK180" s="107"/>
      <c r="CL180" s="107"/>
      <c r="CM180" s="107"/>
      <c r="CN180" s="107"/>
      <c r="CO180" s="107"/>
      <c r="CP180" s="107"/>
      <c r="CQ180" s="107"/>
      <c r="CR180" s="107"/>
      <c r="CS180" s="107"/>
      <c r="CT180" s="107"/>
      <c r="CV180" s="65" t="str">
        <f t="shared" si="439"/>
        <v/>
      </c>
      <c r="CW180" s="66" t="str">
        <f t="shared" si="440"/>
        <v/>
      </c>
      <c r="CX180" s="66" t="str">
        <f t="shared" si="441"/>
        <v/>
      </c>
      <c r="CY180" s="66" t="str">
        <f t="shared" si="493"/>
        <v/>
      </c>
    </row>
    <row r="181" spans="1:103" s="31" customFormat="1" ht="15" hidden="1" customHeight="1" x14ac:dyDescent="0.2">
      <c r="A181" s="31" t="str">
        <f t="shared" si="442"/>
        <v/>
      </c>
      <c r="B181" s="96" t="str">
        <f t="shared" si="443"/>
        <v/>
      </c>
      <c r="C181" s="96" t="str">
        <f t="shared" si="444"/>
        <v/>
      </c>
      <c r="D181" s="96" t="str">
        <f t="shared" si="445"/>
        <v/>
      </c>
      <c r="E181" s="96" t="str">
        <f t="shared" si="446"/>
        <v/>
      </c>
      <c r="F181" s="96" t="str">
        <f t="shared" si="447"/>
        <v/>
      </c>
      <c r="G181" s="96" t="str">
        <v/>
      </c>
      <c r="H181" s="96" t="str">
        <v/>
      </c>
      <c r="I181" s="96" t="str">
        <v/>
      </c>
      <c r="J181" s="96" t="str">
        <v/>
      </c>
      <c r="K181" s="96" t="str">
        <v/>
      </c>
      <c r="L181" s="26" t="str">
        <v/>
      </c>
      <c r="M181" s="82" t="str">
        <f t="shared" si="448"/>
        <v/>
      </c>
      <c r="N181" s="75" t="str">
        <f t="shared" ref="N181:Y181" si="522">IF($M181="","",N18*N154)</f>
        <v/>
      </c>
      <c r="O181" s="75" t="str">
        <f t="shared" si="522"/>
        <v/>
      </c>
      <c r="P181" s="75" t="str">
        <f t="shared" si="522"/>
        <v/>
      </c>
      <c r="Q181" s="75" t="str">
        <f t="shared" si="522"/>
        <v/>
      </c>
      <c r="R181" s="75" t="str">
        <f t="shared" si="522"/>
        <v/>
      </c>
      <c r="S181" s="75" t="str">
        <f t="shared" si="522"/>
        <v/>
      </c>
      <c r="T181" s="75" t="str">
        <f t="shared" si="522"/>
        <v/>
      </c>
      <c r="U181" s="75" t="str">
        <f t="shared" si="522"/>
        <v/>
      </c>
      <c r="V181" s="75" t="str">
        <f t="shared" si="522"/>
        <v/>
      </c>
      <c r="W181" s="75" t="str">
        <f t="shared" si="522"/>
        <v/>
      </c>
      <c r="X181" s="75" t="str">
        <f t="shared" si="522"/>
        <v/>
      </c>
      <c r="Y181" s="75" t="str">
        <f t="shared" si="522"/>
        <v/>
      </c>
      <c r="Z181" s="70" t="str">
        <f t="shared" si="450"/>
        <v/>
      </c>
      <c r="AA181" s="107"/>
      <c r="AB181" s="107"/>
      <c r="AC181" s="107"/>
      <c r="AD181" s="107"/>
      <c r="AE181" s="107"/>
      <c r="AF181" s="107"/>
      <c r="AG181" s="107"/>
      <c r="AH181" s="107"/>
      <c r="AI181" s="107"/>
      <c r="AJ181" s="107"/>
      <c r="AK181" s="107"/>
      <c r="AL181" s="107"/>
      <c r="AM181" s="107"/>
      <c r="AN181" s="107"/>
      <c r="AP181" s="65" t="str">
        <f t="shared" si="433"/>
        <v/>
      </c>
      <c r="AQ181" s="75" t="str">
        <f t="shared" ref="AQ181:BB181" si="523">IF($M181="","",AQ18*AQ154)</f>
        <v/>
      </c>
      <c r="AR181" s="75" t="str">
        <f t="shared" si="523"/>
        <v/>
      </c>
      <c r="AS181" s="75" t="str">
        <f t="shared" si="523"/>
        <v/>
      </c>
      <c r="AT181" s="75" t="str">
        <f t="shared" si="523"/>
        <v/>
      </c>
      <c r="AU181" s="75" t="str">
        <f t="shared" si="523"/>
        <v/>
      </c>
      <c r="AV181" s="75" t="str">
        <f t="shared" si="523"/>
        <v/>
      </c>
      <c r="AW181" s="75" t="str">
        <f t="shared" si="523"/>
        <v/>
      </c>
      <c r="AX181" s="75" t="str">
        <f t="shared" si="523"/>
        <v/>
      </c>
      <c r="AY181" s="75" t="str">
        <f t="shared" si="523"/>
        <v/>
      </c>
      <c r="AZ181" s="75" t="str">
        <f t="shared" si="523"/>
        <v/>
      </c>
      <c r="BA181" s="75" t="str">
        <f t="shared" si="523"/>
        <v/>
      </c>
      <c r="BB181" s="75" t="str">
        <f t="shared" si="523"/>
        <v/>
      </c>
      <c r="BC181" s="70" t="str">
        <f t="shared" si="465"/>
        <v/>
      </c>
      <c r="BD181" s="107"/>
      <c r="BE181" s="107"/>
      <c r="BF181" s="107"/>
      <c r="BG181" s="107"/>
      <c r="BH181" s="107"/>
      <c r="BI181" s="107"/>
      <c r="BJ181" s="107"/>
      <c r="BK181" s="107"/>
      <c r="BL181" s="107"/>
      <c r="BM181" s="107"/>
      <c r="BN181" s="107"/>
      <c r="BO181" s="107"/>
      <c r="BP181" s="107"/>
      <c r="BQ181" s="107"/>
      <c r="BS181" s="65" t="str">
        <f t="shared" si="436"/>
        <v/>
      </c>
      <c r="BT181" s="75" t="str">
        <f t="shared" ref="BT181:CE181" si="524">IF($M181="","",BT18*BT154)</f>
        <v/>
      </c>
      <c r="BU181" s="75" t="str">
        <f t="shared" si="524"/>
        <v/>
      </c>
      <c r="BV181" s="75" t="str">
        <f t="shared" si="524"/>
        <v/>
      </c>
      <c r="BW181" s="75" t="str">
        <f t="shared" si="524"/>
        <v/>
      </c>
      <c r="BX181" s="75" t="str">
        <f t="shared" si="524"/>
        <v/>
      </c>
      <c r="BY181" s="75" t="str">
        <f t="shared" si="524"/>
        <v/>
      </c>
      <c r="BZ181" s="75" t="str">
        <f t="shared" si="524"/>
        <v/>
      </c>
      <c r="CA181" s="75" t="str">
        <f t="shared" si="524"/>
        <v/>
      </c>
      <c r="CB181" s="75" t="str">
        <f t="shared" si="524"/>
        <v/>
      </c>
      <c r="CC181" s="75" t="str">
        <f t="shared" si="524"/>
        <v/>
      </c>
      <c r="CD181" s="75" t="str">
        <f t="shared" si="524"/>
        <v/>
      </c>
      <c r="CE181" s="75" t="str">
        <f t="shared" si="524"/>
        <v/>
      </c>
      <c r="CF181" s="70" t="str">
        <f t="shared" si="480"/>
        <v/>
      </c>
      <c r="CG181" s="107"/>
      <c r="CH181" s="107"/>
      <c r="CI181" s="107"/>
      <c r="CJ181" s="107"/>
      <c r="CK181" s="107"/>
      <c r="CL181" s="107"/>
      <c r="CM181" s="107"/>
      <c r="CN181" s="107"/>
      <c r="CO181" s="107"/>
      <c r="CP181" s="107"/>
      <c r="CQ181" s="107"/>
      <c r="CR181" s="107"/>
      <c r="CS181" s="107"/>
      <c r="CT181" s="107"/>
      <c r="CV181" s="65" t="str">
        <f t="shared" si="439"/>
        <v/>
      </c>
      <c r="CW181" s="66" t="str">
        <f t="shared" si="440"/>
        <v/>
      </c>
      <c r="CX181" s="66" t="str">
        <f t="shared" si="441"/>
        <v/>
      </c>
      <c r="CY181" s="66" t="str">
        <f t="shared" si="493"/>
        <v/>
      </c>
    </row>
    <row r="182" spans="1:103" s="31" customFormat="1" ht="15" hidden="1" customHeight="1" x14ac:dyDescent="0.2">
      <c r="A182" s="31" t="str">
        <f t="shared" si="442"/>
        <v/>
      </c>
      <c r="B182" s="96" t="str">
        <f t="shared" si="443"/>
        <v/>
      </c>
      <c r="C182" s="96" t="str">
        <f t="shared" si="444"/>
        <v/>
      </c>
      <c r="D182" s="96" t="str">
        <f t="shared" si="445"/>
        <v/>
      </c>
      <c r="E182" s="96" t="str">
        <f t="shared" si="446"/>
        <v/>
      </c>
      <c r="F182" s="96" t="str">
        <f t="shared" si="447"/>
        <v/>
      </c>
      <c r="G182" s="96" t="str">
        <v/>
      </c>
      <c r="H182" s="96" t="str">
        <v/>
      </c>
      <c r="I182" s="96" t="str">
        <v/>
      </c>
      <c r="J182" s="96" t="str">
        <v/>
      </c>
      <c r="K182" s="96" t="str">
        <v/>
      </c>
      <c r="L182" s="26" t="str">
        <v/>
      </c>
      <c r="M182" s="82" t="str">
        <f t="shared" si="448"/>
        <v/>
      </c>
      <c r="N182" s="75" t="str">
        <f t="shared" ref="N182:Y182" si="525">IF($M182="","",N19*N155)</f>
        <v/>
      </c>
      <c r="O182" s="75" t="str">
        <f t="shared" si="525"/>
        <v/>
      </c>
      <c r="P182" s="75" t="str">
        <f t="shared" si="525"/>
        <v/>
      </c>
      <c r="Q182" s="75" t="str">
        <f t="shared" si="525"/>
        <v/>
      </c>
      <c r="R182" s="75" t="str">
        <f t="shared" si="525"/>
        <v/>
      </c>
      <c r="S182" s="75" t="str">
        <f t="shared" si="525"/>
        <v/>
      </c>
      <c r="T182" s="75" t="str">
        <f t="shared" si="525"/>
        <v/>
      </c>
      <c r="U182" s="75" t="str">
        <f t="shared" si="525"/>
        <v/>
      </c>
      <c r="V182" s="75" t="str">
        <f t="shared" si="525"/>
        <v/>
      </c>
      <c r="W182" s="75" t="str">
        <f t="shared" si="525"/>
        <v/>
      </c>
      <c r="X182" s="75" t="str">
        <f t="shared" si="525"/>
        <v/>
      </c>
      <c r="Y182" s="75" t="str">
        <f t="shared" si="525"/>
        <v/>
      </c>
      <c r="Z182" s="70" t="str">
        <f t="shared" si="450"/>
        <v/>
      </c>
      <c r="AA182" s="107"/>
      <c r="AB182" s="107"/>
      <c r="AC182" s="107"/>
      <c r="AD182" s="107"/>
      <c r="AE182" s="107"/>
      <c r="AF182" s="107"/>
      <c r="AG182" s="107"/>
      <c r="AH182" s="107"/>
      <c r="AI182" s="107"/>
      <c r="AJ182" s="107"/>
      <c r="AK182" s="107"/>
      <c r="AL182" s="107"/>
      <c r="AM182" s="107"/>
      <c r="AN182" s="107"/>
      <c r="AP182" s="65" t="str">
        <f t="shared" si="433"/>
        <v/>
      </c>
      <c r="AQ182" s="75" t="str">
        <f t="shared" ref="AQ182:BB182" si="526">IF($M182="","",AQ19*AQ155)</f>
        <v/>
      </c>
      <c r="AR182" s="75" t="str">
        <f t="shared" si="526"/>
        <v/>
      </c>
      <c r="AS182" s="75" t="str">
        <f t="shared" si="526"/>
        <v/>
      </c>
      <c r="AT182" s="75" t="str">
        <f t="shared" si="526"/>
        <v/>
      </c>
      <c r="AU182" s="75" t="str">
        <f t="shared" si="526"/>
        <v/>
      </c>
      <c r="AV182" s="75" t="str">
        <f t="shared" si="526"/>
        <v/>
      </c>
      <c r="AW182" s="75" t="str">
        <f t="shared" si="526"/>
        <v/>
      </c>
      <c r="AX182" s="75" t="str">
        <f t="shared" si="526"/>
        <v/>
      </c>
      <c r="AY182" s="75" t="str">
        <f t="shared" si="526"/>
        <v/>
      </c>
      <c r="AZ182" s="75" t="str">
        <f t="shared" si="526"/>
        <v/>
      </c>
      <c r="BA182" s="75" t="str">
        <f t="shared" si="526"/>
        <v/>
      </c>
      <c r="BB182" s="75" t="str">
        <f t="shared" si="526"/>
        <v/>
      </c>
      <c r="BC182" s="70" t="str">
        <f t="shared" si="465"/>
        <v/>
      </c>
      <c r="BD182" s="107"/>
      <c r="BE182" s="107"/>
      <c r="BF182" s="107"/>
      <c r="BG182" s="107"/>
      <c r="BH182" s="107"/>
      <c r="BI182" s="107"/>
      <c r="BJ182" s="107"/>
      <c r="BK182" s="107"/>
      <c r="BL182" s="107"/>
      <c r="BM182" s="107"/>
      <c r="BN182" s="107"/>
      <c r="BO182" s="107"/>
      <c r="BP182" s="107"/>
      <c r="BQ182" s="107"/>
      <c r="BS182" s="65" t="str">
        <f t="shared" si="436"/>
        <v/>
      </c>
      <c r="BT182" s="75" t="str">
        <f t="shared" ref="BT182:CE182" si="527">IF($M182="","",BT19*BT155)</f>
        <v/>
      </c>
      <c r="BU182" s="75" t="str">
        <f t="shared" si="527"/>
        <v/>
      </c>
      <c r="BV182" s="75" t="str">
        <f t="shared" si="527"/>
        <v/>
      </c>
      <c r="BW182" s="75" t="str">
        <f t="shared" si="527"/>
        <v/>
      </c>
      <c r="BX182" s="75" t="str">
        <f t="shared" si="527"/>
        <v/>
      </c>
      <c r="BY182" s="75" t="str">
        <f t="shared" si="527"/>
        <v/>
      </c>
      <c r="BZ182" s="75" t="str">
        <f t="shared" si="527"/>
        <v/>
      </c>
      <c r="CA182" s="75" t="str">
        <f t="shared" si="527"/>
        <v/>
      </c>
      <c r="CB182" s="75" t="str">
        <f t="shared" si="527"/>
        <v/>
      </c>
      <c r="CC182" s="75" t="str">
        <f t="shared" si="527"/>
        <v/>
      </c>
      <c r="CD182" s="75" t="str">
        <f t="shared" si="527"/>
        <v/>
      </c>
      <c r="CE182" s="75" t="str">
        <f t="shared" si="527"/>
        <v/>
      </c>
      <c r="CF182" s="70" t="str">
        <f t="shared" si="480"/>
        <v/>
      </c>
      <c r="CG182" s="107"/>
      <c r="CH182" s="107"/>
      <c r="CI182" s="107"/>
      <c r="CJ182" s="107"/>
      <c r="CK182" s="107"/>
      <c r="CL182" s="107"/>
      <c r="CM182" s="107"/>
      <c r="CN182" s="107"/>
      <c r="CO182" s="107"/>
      <c r="CP182" s="107"/>
      <c r="CQ182" s="107"/>
      <c r="CR182" s="107"/>
      <c r="CS182" s="107"/>
      <c r="CT182" s="107"/>
      <c r="CV182" s="65" t="str">
        <f t="shared" si="439"/>
        <v/>
      </c>
      <c r="CW182" s="66" t="str">
        <f t="shared" si="440"/>
        <v/>
      </c>
      <c r="CX182" s="66" t="str">
        <f t="shared" si="441"/>
        <v/>
      </c>
      <c r="CY182" s="66" t="str">
        <f t="shared" si="493"/>
        <v/>
      </c>
    </row>
    <row r="183" spans="1:103" s="31" customFormat="1" ht="15" hidden="1" customHeight="1" x14ac:dyDescent="0.2">
      <c r="A183" s="31" t="str">
        <f t="shared" si="442"/>
        <v/>
      </c>
      <c r="B183" s="96" t="str">
        <f t="shared" si="443"/>
        <v/>
      </c>
      <c r="C183" s="96" t="str">
        <f t="shared" si="444"/>
        <v/>
      </c>
      <c r="D183" s="96" t="str">
        <f t="shared" si="445"/>
        <v/>
      </c>
      <c r="E183" s="96" t="str">
        <f t="shared" si="446"/>
        <v/>
      </c>
      <c r="F183" s="96" t="str">
        <f t="shared" si="447"/>
        <v/>
      </c>
      <c r="G183" s="96" t="str">
        <v/>
      </c>
      <c r="H183" s="96" t="str">
        <v/>
      </c>
      <c r="I183" s="96" t="str">
        <v/>
      </c>
      <c r="J183" s="96" t="str">
        <v/>
      </c>
      <c r="K183" s="96" t="str">
        <v/>
      </c>
      <c r="L183" s="26" t="str">
        <v/>
      </c>
      <c r="M183" s="82" t="str">
        <f t="shared" si="448"/>
        <v/>
      </c>
      <c r="N183" s="75" t="str">
        <f t="shared" ref="N183:Y183" si="528">IF($M183="","",N20*N156)</f>
        <v/>
      </c>
      <c r="O183" s="75" t="str">
        <f t="shared" si="528"/>
        <v/>
      </c>
      <c r="P183" s="75" t="str">
        <f t="shared" si="528"/>
        <v/>
      </c>
      <c r="Q183" s="75" t="str">
        <f t="shared" si="528"/>
        <v/>
      </c>
      <c r="R183" s="75" t="str">
        <f t="shared" si="528"/>
        <v/>
      </c>
      <c r="S183" s="75" t="str">
        <f t="shared" si="528"/>
        <v/>
      </c>
      <c r="T183" s="75" t="str">
        <f t="shared" si="528"/>
        <v/>
      </c>
      <c r="U183" s="75" t="str">
        <f t="shared" si="528"/>
        <v/>
      </c>
      <c r="V183" s="75" t="str">
        <f t="shared" si="528"/>
        <v/>
      </c>
      <c r="W183" s="75" t="str">
        <f t="shared" si="528"/>
        <v/>
      </c>
      <c r="X183" s="75" t="str">
        <f t="shared" si="528"/>
        <v/>
      </c>
      <c r="Y183" s="75" t="str">
        <f t="shared" si="528"/>
        <v/>
      </c>
      <c r="Z183" s="70" t="str">
        <f t="shared" si="450"/>
        <v/>
      </c>
      <c r="AA183" s="107"/>
      <c r="AB183" s="107"/>
      <c r="AC183" s="107"/>
      <c r="AD183" s="107"/>
      <c r="AE183" s="107"/>
      <c r="AF183" s="107"/>
      <c r="AG183" s="107"/>
      <c r="AH183" s="107"/>
      <c r="AI183" s="107"/>
      <c r="AJ183" s="107"/>
      <c r="AK183" s="107"/>
      <c r="AL183" s="107"/>
      <c r="AM183" s="107"/>
      <c r="AN183" s="107"/>
      <c r="AP183" s="65" t="str">
        <f t="shared" si="433"/>
        <v/>
      </c>
      <c r="AQ183" s="75" t="str">
        <f t="shared" ref="AQ183:BB183" si="529">IF($M183="","",AQ20*AQ156)</f>
        <v/>
      </c>
      <c r="AR183" s="75" t="str">
        <f t="shared" si="529"/>
        <v/>
      </c>
      <c r="AS183" s="75" t="str">
        <f t="shared" si="529"/>
        <v/>
      </c>
      <c r="AT183" s="75" t="str">
        <f t="shared" si="529"/>
        <v/>
      </c>
      <c r="AU183" s="75" t="str">
        <f t="shared" si="529"/>
        <v/>
      </c>
      <c r="AV183" s="75" t="str">
        <f t="shared" si="529"/>
        <v/>
      </c>
      <c r="AW183" s="75" t="str">
        <f t="shared" si="529"/>
        <v/>
      </c>
      <c r="AX183" s="75" t="str">
        <f t="shared" si="529"/>
        <v/>
      </c>
      <c r="AY183" s="75" t="str">
        <f t="shared" si="529"/>
        <v/>
      </c>
      <c r="AZ183" s="75" t="str">
        <f t="shared" si="529"/>
        <v/>
      </c>
      <c r="BA183" s="75" t="str">
        <f t="shared" si="529"/>
        <v/>
      </c>
      <c r="BB183" s="75" t="str">
        <f t="shared" si="529"/>
        <v/>
      </c>
      <c r="BC183" s="70" t="str">
        <f t="shared" si="465"/>
        <v/>
      </c>
      <c r="BD183" s="107"/>
      <c r="BE183" s="107"/>
      <c r="BF183" s="107"/>
      <c r="BG183" s="107"/>
      <c r="BH183" s="107"/>
      <c r="BI183" s="107"/>
      <c r="BJ183" s="107"/>
      <c r="BK183" s="107"/>
      <c r="BL183" s="107"/>
      <c r="BM183" s="107"/>
      <c r="BN183" s="107"/>
      <c r="BO183" s="107"/>
      <c r="BP183" s="107"/>
      <c r="BQ183" s="107"/>
      <c r="BS183" s="65" t="str">
        <f t="shared" si="436"/>
        <v/>
      </c>
      <c r="BT183" s="75" t="str">
        <f t="shared" ref="BT183:CE183" si="530">IF($M183="","",BT20*BT156)</f>
        <v/>
      </c>
      <c r="BU183" s="75" t="str">
        <f t="shared" si="530"/>
        <v/>
      </c>
      <c r="BV183" s="75" t="str">
        <f t="shared" si="530"/>
        <v/>
      </c>
      <c r="BW183" s="75" t="str">
        <f t="shared" si="530"/>
        <v/>
      </c>
      <c r="BX183" s="75" t="str">
        <f t="shared" si="530"/>
        <v/>
      </c>
      <c r="BY183" s="75" t="str">
        <f t="shared" si="530"/>
        <v/>
      </c>
      <c r="BZ183" s="75" t="str">
        <f t="shared" si="530"/>
        <v/>
      </c>
      <c r="CA183" s="75" t="str">
        <f t="shared" si="530"/>
        <v/>
      </c>
      <c r="CB183" s="75" t="str">
        <f t="shared" si="530"/>
        <v/>
      </c>
      <c r="CC183" s="75" t="str">
        <f t="shared" si="530"/>
        <v/>
      </c>
      <c r="CD183" s="75" t="str">
        <f t="shared" si="530"/>
        <v/>
      </c>
      <c r="CE183" s="75" t="str">
        <f t="shared" si="530"/>
        <v/>
      </c>
      <c r="CF183" s="70" t="str">
        <f t="shared" si="480"/>
        <v/>
      </c>
      <c r="CG183" s="107"/>
      <c r="CH183" s="107"/>
      <c r="CI183" s="107"/>
      <c r="CJ183" s="107"/>
      <c r="CK183" s="107"/>
      <c r="CL183" s="107"/>
      <c r="CM183" s="107"/>
      <c r="CN183" s="107"/>
      <c r="CO183" s="107"/>
      <c r="CP183" s="107"/>
      <c r="CQ183" s="107"/>
      <c r="CR183" s="107"/>
      <c r="CS183" s="107"/>
      <c r="CT183" s="107"/>
      <c r="CV183" s="65" t="str">
        <f t="shared" si="439"/>
        <v/>
      </c>
      <c r="CW183" s="66" t="str">
        <f t="shared" si="440"/>
        <v/>
      </c>
      <c r="CX183" s="66" t="str">
        <f t="shared" si="441"/>
        <v/>
      </c>
      <c r="CY183" s="66" t="str">
        <f t="shared" si="493"/>
        <v/>
      </c>
    </row>
    <row r="184" spans="1:103" s="31" customFormat="1" ht="15" hidden="1" customHeight="1" x14ac:dyDescent="0.2">
      <c r="A184" s="31" t="str">
        <f t="shared" si="442"/>
        <v/>
      </c>
      <c r="B184" s="96" t="str">
        <f t="shared" si="443"/>
        <v/>
      </c>
      <c r="C184" s="96" t="str">
        <f t="shared" si="444"/>
        <v/>
      </c>
      <c r="D184" s="96" t="str">
        <f t="shared" si="445"/>
        <v/>
      </c>
      <c r="E184" s="96" t="str">
        <f t="shared" si="446"/>
        <v/>
      </c>
      <c r="F184" s="96" t="str">
        <f t="shared" si="447"/>
        <v/>
      </c>
      <c r="G184" s="96" t="str">
        <v/>
      </c>
      <c r="H184" s="96" t="str">
        <v/>
      </c>
      <c r="I184" s="96" t="str">
        <v/>
      </c>
      <c r="J184" s="96" t="str">
        <v/>
      </c>
      <c r="K184" s="96" t="str">
        <v/>
      </c>
      <c r="L184" s="26" t="str">
        <v/>
      </c>
      <c r="M184" s="82" t="str">
        <f t="shared" si="448"/>
        <v/>
      </c>
      <c r="N184" s="75" t="str">
        <f t="shared" ref="N184:Y184" si="531">IF($M184="","",N21*N157)</f>
        <v/>
      </c>
      <c r="O184" s="75" t="str">
        <f t="shared" si="531"/>
        <v/>
      </c>
      <c r="P184" s="75" t="str">
        <f t="shared" si="531"/>
        <v/>
      </c>
      <c r="Q184" s="75" t="str">
        <f t="shared" si="531"/>
        <v/>
      </c>
      <c r="R184" s="75" t="str">
        <f t="shared" si="531"/>
        <v/>
      </c>
      <c r="S184" s="75" t="str">
        <f t="shared" si="531"/>
        <v/>
      </c>
      <c r="T184" s="75" t="str">
        <f t="shared" si="531"/>
        <v/>
      </c>
      <c r="U184" s="75" t="str">
        <f t="shared" si="531"/>
        <v/>
      </c>
      <c r="V184" s="75" t="str">
        <f t="shared" si="531"/>
        <v/>
      </c>
      <c r="W184" s="75" t="str">
        <f t="shared" si="531"/>
        <v/>
      </c>
      <c r="X184" s="75" t="str">
        <f t="shared" si="531"/>
        <v/>
      </c>
      <c r="Y184" s="75" t="str">
        <f t="shared" si="531"/>
        <v/>
      </c>
      <c r="Z184" s="70" t="str">
        <f t="shared" si="450"/>
        <v/>
      </c>
      <c r="AA184" s="107"/>
      <c r="AB184" s="107"/>
      <c r="AC184" s="107"/>
      <c r="AD184" s="107"/>
      <c r="AE184" s="107"/>
      <c r="AF184" s="107"/>
      <c r="AG184" s="107"/>
      <c r="AH184" s="107"/>
      <c r="AI184" s="107"/>
      <c r="AJ184" s="107"/>
      <c r="AK184" s="107"/>
      <c r="AL184" s="107"/>
      <c r="AM184" s="107"/>
      <c r="AN184" s="107"/>
      <c r="AP184" s="65" t="str">
        <f t="shared" si="433"/>
        <v/>
      </c>
      <c r="AQ184" s="75" t="str">
        <f t="shared" ref="AQ184:BB184" si="532">IF($M184="","",AQ21*AQ157)</f>
        <v/>
      </c>
      <c r="AR184" s="75" t="str">
        <f t="shared" si="532"/>
        <v/>
      </c>
      <c r="AS184" s="75" t="str">
        <f t="shared" si="532"/>
        <v/>
      </c>
      <c r="AT184" s="75" t="str">
        <f t="shared" si="532"/>
        <v/>
      </c>
      <c r="AU184" s="75" t="str">
        <f t="shared" si="532"/>
        <v/>
      </c>
      <c r="AV184" s="75" t="str">
        <f t="shared" si="532"/>
        <v/>
      </c>
      <c r="AW184" s="75" t="str">
        <f t="shared" si="532"/>
        <v/>
      </c>
      <c r="AX184" s="75" t="str">
        <f t="shared" si="532"/>
        <v/>
      </c>
      <c r="AY184" s="75" t="str">
        <f t="shared" si="532"/>
        <v/>
      </c>
      <c r="AZ184" s="75" t="str">
        <f t="shared" si="532"/>
        <v/>
      </c>
      <c r="BA184" s="75" t="str">
        <f t="shared" si="532"/>
        <v/>
      </c>
      <c r="BB184" s="75" t="str">
        <f t="shared" si="532"/>
        <v/>
      </c>
      <c r="BC184" s="70" t="str">
        <f t="shared" si="465"/>
        <v/>
      </c>
      <c r="BD184" s="107"/>
      <c r="BE184" s="107"/>
      <c r="BF184" s="107"/>
      <c r="BG184" s="107"/>
      <c r="BH184" s="107"/>
      <c r="BI184" s="107"/>
      <c r="BJ184" s="107"/>
      <c r="BK184" s="107"/>
      <c r="BL184" s="107"/>
      <c r="BM184" s="107"/>
      <c r="BN184" s="107"/>
      <c r="BO184" s="107"/>
      <c r="BP184" s="107"/>
      <c r="BQ184" s="107"/>
      <c r="BS184" s="65" t="str">
        <f t="shared" si="436"/>
        <v/>
      </c>
      <c r="BT184" s="75" t="str">
        <f t="shared" ref="BT184:CE184" si="533">IF($M184="","",BT21*BT157)</f>
        <v/>
      </c>
      <c r="BU184" s="75" t="str">
        <f t="shared" si="533"/>
        <v/>
      </c>
      <c r="BV184" s="75" t="str">
        <f t="shared" si="533"/>
        <v/>
      </c>
      <c r="BW184" s="75" t="str">
        <f t="shared" si="533"/>
        <v/>
      </c>
      <c r="BX184" s="75" t="str">
        <f t="shared" si="533"/>
        <v/>
      </c>
      <c r="BY184" s="75" t="str">
        <f t="shared" si="533"/>
        <v/>
      </c>
      <c r="BZ184" s="75" t="str">
        <f t="shared" si="533"/>
        <v/>
      </c>
      <c r="CA184" s="75" t="str">
        <f t="shared" si="533"/>
        <v/>
      </c>
      <c r="CB184" s="75" t="str">
        <f t="shared" si="533"/>
        <v/>
      </c>
      <c r="CC184" s="75" t="str">
        <f t="shared" si="533"/>
        <v/>
      </c>
      <c r="CD184" s="75" t="str">
        <f t="shared" si="533"/>
        <v/>
      </c>
      <c r="CE184" s="75" t="str">
        <f t="shared" si="533"/>
        <v/>
      </c>
      <c r="CF184" s="70" t="str">
        <f t="shared" si="480"/>
        <v/>
      </c>
      <c r="CG184" s="107"/>
      <c r="CH184" s="107"/>
      <c r="CI184" s="107"/>
      <c r="CJ184" s="107"/>
      <c r="CK184" s="107"/>
      <c r="CL184" s="107"/>
      <c r="CM184" s="107"/>
      <c r="CN184" s="107"/>
      <c r="CO184" s="107"/>
      <c r="CP184" s="107"/>
      <c r="CQ184" s="107"/>
      <c r="CR184" s="107"/>
      <c r="CS184" s="107"/>
      <c r="CT184" s="107"/>
      <c r="CV184" s="65" t="str">
        <f t="shared" si="439"/>
        <v/>
      </c>
      <c r="CW184" s="66" t="str">
        <f t="shared" si="440"/>
        <v/>
      </c>
      <c r="CX184" s="66" t="str">
        <f t="shared" si="441"/>
        <v/>
      </c>
      <c r="CY184" s="66" t="str">
        <f t="shared" si="493"/>
        <v/>
      </c>
    </row>
    <row r="185" spans="1:103" s="31" customFormat="1" ht="15" hidden="1" customHeight="1" x14ac:dyDescent="0.2">
      <c r="A185" s="31" t="str">
        <f t="shared" si="442"/>
        <v/>
      </c>
      <c r="B185" s="96" t="str">
        <f t="shared" si="443"/>
        <v/>
      </c>
      <c r="C185" s="96" t="str">
        <f t="shared" si="444"/>
        <v/>
      </c>
      <c r="D185" s="96" t="str">
        <f t="shared" si="445"/>
        <v/>
      </c>
      <c r="E185" s="96" t="str">
        <f t="shared" si="446"/>
        <v/>
      </c>
      <c r="F185" s="96" t="str">
        <f t="shared" si="447"/>
        <v/>
      </c>
      <c r="G185" s="96" t="str">
        <v/>
      </c>
      <c r="H185" s="96" t="str">
        <v/>
      </c>
      <c r="I185" s="96" t="str">
        <v/>
      </c>
      <c r="J185" s="96" t="str">
        <v/>
      </c>
      <c r="K185" s="96" t="str">
        <v/>
      </c>
      <c r="L185" s="26" t="str">
        <v/>
      </c>
      <c r="M185" s="82" t="str">
        <f t="shared" si="448"/>
        <v/>
      </c>
      <c r="N185" s="75" t="str">
        <f t="shared" ref="N185:Y185" si="534">IF($M185="","",N22*N158)</f>
        <v/>
      </c>
      <c r="O185" s="75" t="str">
        <f t="shared" si="534"/>
        <v/>
      </c>
      <c r="P185" s="75" t="str">
        <f t="shared" si="534"/>
        <v/>
      </c>
      <c r="Q185" s="75" t="str">
        <f t="shared" si="534"/>
        <v/>
      </c>
      <c r="R185" s="75" t="str">
        <f t="shared" si="534"/>
        <v/>
      </c>
      <c r="S185" s="75" t="str">
        <f t="shared" si="534"/>
        <v/>
      </c>
      <c r="T185" s="75" t="str">
        <f t="shared" si="534"/>
        <v/>
      </c>
      <c r="U185" s="75" t="str">
        <f t="shared" si="534"/>
        <v/>
      </c>
      <c r="V185" s="75" t="str">
        <f t="shared" si="534"/>
        <v/>
      </c>
      <c r="W185" s="75" t="str">
        <f t="shared" si="534"/>
        <v/>
      </c>
      <c r="X185" s="75" t="str">
        <f t="shared" si="534"/>
        <v/>
      </c>
      <c r="Y185" s="75" t="str">
        <f t="shared" si="534"/>
        <v/>
      </c>
      <c r="Z185" s="70" t="str">
        <f t="shared" si="450"/>
        <v/>
      </c>
      <c r="AA185" s="107"/>
      <c r="AB185" s="107"/>
      <c r="AC185" s="107"/>
      <c r="AD185" s="107"/>
      <c r="AE185" s="107"/>
      <c r="AF185" s="107"/>
      <c r="AG185" s="107"/>
      <c r="AH185" s="107"/>
      <c r="AI185" s="107"/>
      <c r="AJ185" s="107"/>
      <c r="AK185" s="107"/>
      <c r="AL185" s="107"/>
      <c r="AM185" s="107"/>
      <c r="AN185" s="107"/>
      <c r="AP185" s="65" t="str">
        <f t="shared" si="433"/>
        <v/>
      </c>
      <c r="AQ185" s="75" t="str">
        <f t="shared" ref="AQ185:BB185" si="535">IF($M185="","",AQ22*AQ158)</f>
        <v/>
      </c>
      <c r="AR185" s="75" t="str">
        <f t="shared" si="535"/>
        <v/>
      </c>
      <c r="AS185" s="75" t="str">
        <f t="shared" si="535"/>
        <v/>
      </c>
      <c r="AT185" s="75" t="str">
        <f t="shared" si="535"/>
        <v/>
      </c>
      <c r="AU185" s="75" t="str">
        <f t="shared" si="535"/>
        <v/>
      </c>
      <c r="AV185" s="75" t="str">
        <f t="shared" si="535"/>
        <v/>
      </c>
      <c r="AW185" s="75" t="str">
        <f t="shared" si="535"/>
        <v/>
      </c>
      <c r="AX185" s="75" t="str">
        <f t="shared" si="535"/>
        <v/>
      </c>
      <c r="AY185" s="75" t="str">
        <f t="shared" si="535"/>
        <v/>
      </c>
      <c r="AZ185" s="75" t="str">
        <f t="shared" si="535"/>
        <v/>
      </c>
      <c r="BA185" s="75" t="str">
        <f t="shared" si="535"/>
        <v/>
      </c>
      <c r="BB185" s="75" t="str">
        <f t="shared" si="535"/>
        <v/>
      </c>
      <c r="BC185" s="70" t="str">
        <f t="shared" si="465"/>
        <v/>
      </c>
      <c r="BD185" s="107"/>
      <c r="BE185" s="107"/>
      <c r="BF185" s="107"/>
      <c r="BG185" s="107"/>
      <c r="BH185" s="107"/>
      <c r="BI185" s="107"/>
      <c r="BJ185" s="107"/>
      <c r="BK185" s="107"/>
      <c r="BL185" s="107"/>
      <c r="BM185" s="107"/>
      <c r="BN185" s="107"/>
      <c r="BO185" s="107"/>
      <c r="BP185" s="107"/>
      <c r="BQ185" s="107"/>
      <c r="BS185" s="65" t="str">
        <f t="shared" si="436"/>
        <v/>
      </c>
      <c r="BT185" s="75" t="str">
        <f t="shared" ref="BT185:CE185" si="536">IF($M185="","",BT22*BT158)</f>
        <v/>
      </c>
      <c r="BU185" s="75" t="str">
        <f t="shared" si="536"/>
        <v/>
      </c>
      <c r="BV185" s="75" t="str">
        <f t="shared" si="536"/>
        <v/>
      </c>
      <c r="BW185" s="75" t="str">
        <f t="shared" si="536"/>
        <v/>
      </c>
      <c r="BX185" s="75" t="str">
        <f t="shared" si="536"/>
        <v/>
      </c>
      <c r="BY185" s="75" t="str">
        <f t="shared" si="536"/>
        <v/>
      </c>
      <c r="BZ185" s="75" t="str">
        <f t="shared" si="536"/>
        <v/>
      </c>
      <c r="CA185" s="75" t="str">
        <f t="shared" si="536"/>
        <v/>
      </c>
      <c r="CB185" s="75" t="str">
        <f t="shared" si="536"/>
        <v/>
      </c>
      <c r="CC185" s="75" t="str">
        <f t="shared" si="536"/>
        <v/>
      </c>
      <c r="CD185" s="75" t="str">
        <f t="shared" si="536"/>
        <v/>
      </c>
      <c r="CE185" s="75" t="str">
        <f t="shared" si="536"/>
        <v/>
      </c>
      <c r="CF185" s="70" t="str">
        <f t="shared" si="480"/>
        <v/>
      </c>
      <c r="CG185" s="107"/>
      <c r="CH185" s="107"/>
      <c r="CI185" s="107"/>
      <c r="CJ185" s="107"/>
      <c r="CK185" s="107"/>
      <c r="CL185" s="107"/>
      <c r="CM185" s="107"/>
      <c r="CN185" s="107"/>
      <c r="CO185" s="107"/>
      <c r="CP185" s="107"/>
      <c r="CQ185" s="107"/>
      <c r="CR185" s="107"/>
      <c r="CS185" s="107"/>
      <c r="CT185" s="107"/>
      <c r="CV185" s="65" t="str">
        <f t="shared" si="439"/>
        <v/>
      </c>
      <c r="CW185" s="66" t="str">
        <f t="shared" si="440"/>
        <v/>
      </c>
      <c r="CX185" s="66" t="str">
        <f t="shared" si="441"/>
        <v/>
      </c>
      <c r="CY185" s="66" t="str">
        <f t="shared" si="493"/>
        <v/>
      </c>
    </row>
    <row r="186" spans="1:103" s="31" customFormat="1" ht="15" hidden="1" customHeight="1" x14ac:dyDescent="0.2">
      <c r="A186" s="31" t="str">
        <f t="shared" si="442"/>
        <v/>
      </c>
      <c r="B186" s="96" t="str">
        <f t="shared" si="443"/>
        <v/>
      </c>
      <c r="C186" s="96" t="str">
        <f t="shared" si="444"/>
        <v/>
      </c>
      <c r="D186" s="96" t="str">
        <f t="shared" si="445"/>
        <v/>
      </c>
      <c r="E186" s="96" t="str">
        <f t="shared" si="446"/>
        <v/>
      </c>
      <c r="F186" s="96" t="str">
        <f t="shared" si="447"/>
        <v/>
      </c>
      <c r="G186" s="96" t="str">
        <v/>
      </c>
      <c r="H186" s="96" t="str">
        <v/>
      </c>
      <c r="I186" s="96" t="str">
        <v/>
      </c>
      <c r="J186" s="96" t="str">
        <v/>
      </c>
      <c r="K186" s="96" t="str">
        <v/>
      </c>
      <c r="L186" s="26" t="str">
        <v/>
      </c>
      <c r="M186" s="82" t="str">
        <f t="shared" si="448"/>
        <v/>
      </c>
      <c r="N186" s="75" t="str">
        <f t="shared" ref="N186:Y186" si="537">IF($M186="","",N23*N159)</f>
        <v/>
      </c>
      <c r="O186" s="75" t="str">
        <f t="shared" si="537"/>
        <v/>
      </c>
      <c r="P186" s="75" t="str">
        <f t="shared" si="537"/>
        <v/>
      </c>
      <c r="Q186" s="75" t="str">
        <f t="shared" si="537"/>
        <v/>
      </c>
      <c r="R186" s="75" t="str">
        <f t="shared" si="537"/>
        <v/>
      </c>
      <c r="S186" s="75" t="str">
        <f t="shared" si="537"/>
        <v/>
      </c>
      <c r="T186" s="75" t="str">
        <f t="shared" si="537"/>
        <v/>
      </c>
      <c r="U186" s="75" t="str">
        <f t="shared" si="537"/>
        <v/>
      </c>
      <c r="V186" s="75" t="str">
        <f t="shared" si="537"/>
        <v/>
      </c>
      <c r="W186" s="75" t="str">
        <f t="shared" si="537"/>
        <v/>
      </c>
      <c r="X186" s="75" t="str">
        <f t="shared" si="537"/>
        <v/>
      </c>
      <c r="Y186" s="75" t="str">
        <f t="shared" si="537"/>
        <v/>
      </c>
      <c r="Z186" s="70" t="str">
        <f t="shared" si="450"/>
        <v/>
      </c>
      <c r="AA186" s="107"/>
      <c r="AB186" s="107"/>
      <c r="AC186" s="107"/>
      <c r="AD186" s="107"/>
      <c r="AE186" s="107"/>
      <c r="AF186" s="107"/>
      <c r="AG186" s="107"/>
      <c r="AH186" s="107"/>
      <c r="AI186" s="107"/>
      <c r="AJ186" s="107"/>
      <c r="AK186" s="107"/>
      <c r="AL186" s="107"/>
      <c r="AM186" s="107"/>
      <c r="AN186" s="107"/>
      <c r="AP186" s="65" t="str">
        <f t="shared" si="433"/>
        <v/>
      </c>
      <c r="AQ186" s="75" t="str">
        <f t="shared" ref="AQ186:BB186" si="538">IF($M186="","",AQ23*AQ159)</f>
        <v/>
      </c>
      <c r="AR186" s="75" t="str">
        <f t="shared" si="538"/>
        <v/>
      </c>
      <c r="AS186" s="75" t="str">
        <f t="shared" si="538"/>
        <v/>
      </c>
      <c r="AT186" s="75" t="str">
        <f t="shared" si="538"/>
        <v/>
      </c>
      <c r="AU186" s="75" t="str">
        <f t="shared" si="538"/>
        <v/>
      </c>
      <c r="AV186" s="75" t="str">
        <f t="shared" si="538"/>
        <v/>
      </c>
      <c r="AW186" s="75" t="str">
        <f t="shared" si="538"/>
        <v/>
      </c>
      <c r="AX186" s="75" t="str">
        <f t="shared" si="538"/>
        <v/>
      </c>
      <c r="AY186" s="75" t="str">
        <f t="shared" si="538"/>
        <v/>
      </c>
      <c r="AZ186" s="75" t="str">
        <f t="shared" si="538"/>
        <v/>
      </c>
      <c r="BA186" s="75" t="str">
        <f t="shared" si="538"/>
        <v/>
      </c>
      <c r="BB186" s="75" t="str">
        <f t="shared" si="538"/>
        <v/>
      </c>
      <c r="BC186" s="70" t="str">
        <f t="shared" si="465"/>
        <v/>
      </c>
      <c r="BD186" s="107"/>
      <c r="BE186" s="107"/>
      <c r="BF186" s="107"/>
      <c r="BG186" s="107"/>
      <c r="BH186" s="107"/>
      <c r="BI186" s="107"/>
      <c r="BJ186" s="107"/>
      <c r="BK186" s="107"/>
      <c r="BL186" s="107"/>
      <c r="BM186" s="107"/>
      <c r="BN186" s="107"/>
      <c r="BO186" s="107"/>
      <c r="BP186" s="107"/>
      <c r="BQ186" s="107"/>
      <c r="BS186" s="65" t="str">
        <f t="shared" si="436"/>
        <v/>
      </c>
      <c r="BT186" s="75" t="str">
        <f t="shared" ref="BT186:CE186" si="539">IF($M186="","",BT23*BT159)</f>
        <v/>
      </c>
      <c r="BU186" s="75" t="str">
        <f t="shared" si="539"/>
        <v/>
      </c>
      <c r="BV186" s="75" t="str">
        <f t="shared" si="539"/>
        <v/>
      </c>
      <c r="BW186" s="75" t="str">
        <f t="shared" si="539"/>
        <v/>
      </c>
      <c r="BX186" s="75" t="str">
        <f t="shared" si="539"/>
        <v/>
      </c>
      <c r="BY186" s="75" t="str">
        <f t="shared" si="539"/>
        <v/>
      </c>
      <c r="BZ186" s="75" t="str">
        <f t="shared" si="539"/>
        <v/>
      </c>
      <c r="CA186" s="75" t="str">
        <f t="shared" si="539"/>
        <v/>
      </c>
      <c r="CB186" s="75" t="str">
        <f t="shared" si="539"/>
        <v/>
      </c>
      <c r="CC186" s="75" t="str">
        <f t="shared" si="539"/>
        <v/>
      </c>
      <c r="CD186" s="75" t="str">
        <f t="shared" si="539"/>
        <v/>
      </c>
      <c r="CE186" s="75" t="str">
        <f t="shared" si="539"/>
        <v/>
      </c>
      <c r="CF186" s="70" t="str">
        <f t="shared" si="480"/>
        <v/>
      </c>
      <c r="CG186" s="107"/>
      <c r="CH186" s="107"/>
      <c r="CI186" s="107"/>
      <c r="CJ186" s="107"/>
      <c r="CK186" s="107"/>
      <c r="CL186" s="107"/>
      <c r="CM186" s="107"/>
      <c r="CN186" s="107"/>
      <c r="CO186" s="107"/>
      <c r="CP186" s="107"/>
      <c r="CQ186" s="107"/>
      <c r="CR186" s="107"/>
      <c r="CS186" s="107"/>
      <c r="CT186" s="107"/>
      <c r="CV186" s="65" t="str">
        <f t="shared" si="439"/>
        <v/>
      </c>
      <c r="CW186" s="66" t="str">
        <f t="shared" si="440"/>
        <v/>
      </c>
      <c r="CX186" s="66" t="str">
        <f t="shared" si="441"/>
        <v/>
      </c>
      <c r="CY186" s="66" t="str">
        <f t="shared" si="493"/>
        <v/>
      </c>
    </row>
    <row r="187" spans="1:103" s="38" customFormat="1" ht="15" hidden="1" customHeight="1" x14ac:dyDescent="0.2">
      <c r="A187" s="31" t="str">
        <f t="shared" si="442"/>
        <v/>
      </c>
      <c r="B187" s="96" t="str">
        <f t="shared" si="443"/>
        <v/>
      </c>
      <c r="C187" s="96" t="str">
        <f t="shared" si="444"/>
        <v/>
      </c>
      <c r="D187" s="96" t="str">
        <f t="shared" si="445"/>
        <v/>
      </c>
      <c r="E187" s="96" t="str">
        <f t="shared" si="446"/>
        <v/>
      </c>
      <c r="F187" s="96" t="str">
        <f t="shared" si="447"/>
        <v/>
      </c>
      <c r="G187" s="96" t="str">
        <v/>
      </c>
      <c r="H187" s="96" t="str">
        <v/>
      </c>
      <c r="I187" s="96" t="str">
        <v/>
      </c>
      <c r="J187" s="96" t="str">
        <v/>
      </c>
      <c r="K187" s="96" t="str">
        <v/>
      </c>
      <c r="L187" s="28" t="str">
        <v/>
      </c>
      <c r="M187" s="82" t="str">
        <f t="shared" si="448"/>
        <v/>
      </c>
      <c r="N187" s="75" t="str">
        <f t="shared" ref="N187:Y187" si="540">IF($M187="","",N24*N160)</f>
        <v/>
      </c>
      <c r="O187" s="75" t="str">
        <f t="shared" si="540"/>
        <v/>
      </c>
      <c r="P187" s="75" t="str">
        <f t="shared" si="540"/>
        <v/>
      </c>
      <c r="Q187" s="75" t="str">
        <f t="shared" si="540"/>
        <v/>
      </c>
      <c r="R187" s="75" t="str">
        <f t="shared" si="540"/>
        <v/>
      </c>
      <c r="S187" s="75" t="str">
        <f t="shared" si="540"/>
        <v/>
      </c>
      <c r="T187" s="75" t="str">
        <f t="shared" si="540"/>
        <v/>
      </c>
      <c r="U187" s="75" t="str">
        <f t="shared" si="540"/>
        <v/>
      </c>
      <c r="V187" s="75" t="str">
        <f t="shared" si="540"/>
        <v/>
      </c>
      <c r="W187" s="75" t="str">
        <f t="shared" si="540"/>
        <v/>
      </c>
      <c r="X187" s="75" t="str">
        <f t="shared" si="540"/>
        <v/>
      </c>
      <c r="Y187" s="75" t="str">
        <f t="shared" si="540"/>
        <v/>
      </c>
      <c r="Z187" s="70" t="str">
        <f t="shared" si="450"/>
        <v/>
      </c>
      <c r="AA187" s="107"/>
      <c r="AB187" s="107"/>
      <c r="AC187" s="107"/>
      <c r="AD187" s="107"/>
      <c r="AE187" s="107"/>
      <c r="AF187" s="107"/>
      <c r="AG187" s="107"/>
      <c r="AH187" s="107"/>
      <c r="AI187" s="107"/>
      <c r="AJ187" s="107"/>
      <c r="AK187" s="107"/>
      <c r="AL187" s="107"/>
      <c r="AM187" s="107"/>
      <c r="AN187" s="107"/>
      <c r="AP187" s="65" t="str">
        <f t="shared" si="433"/>
        <v/>
      </c>
      <c r="AQ187" s="75" t="str">
        <f t="shared" ref="AQ187:BB187" si="541">IF($M187="","",AQ24*AQ160)</f>
        <v/>
      </c>
      <c r="AR187" s="75" t="str">
        <f t="shared" si="541"/>
        <v/>
      </c>
      <c r="AS187" s="75" t="str">
        <f t="shared" si="541"/>
        <v/>
      </c>
      <c r="AT187" s="75" t="str">
        <f t="shared" si="541"/>
        <v/>
      </c>
      <c r="AU187" s="75" t="str">
        <f t="shared" si="541"/>
        <v/>
      </c>
      <c r="AV187" s="75" t="str">
        <f t="shared" si="541"/>
        <v/>
      </c>
      <c r="AW187" s="75" t="str">
        <f t="shared" si="541"/>
        <v/>
      </c>
      <c r="AX187" s="75" t="str">
        <f t="shared" si="541"/>
        <v/>
      </c>
      <c r="AY187" s="75" t="str">
        <f t="shared" si="541"/>
        <v/>
      </c>
      <c r="AZ187" s="75" t="str">
        <f t="shared" si="541"/>
        <v/>
      </c>
      <c r="BA187" s="75" t="str">
        <f t="shared" si="541"/>
        <v/>
      </c>
      <c r="BB187" s="75" t="str">
        <f t="shared" si="541"/>
        <v/>
      </c>
      <c r="BC187" s="70" t="str">
        <f t="shared" si="465"/>
        <v/>
      </c>
      <c r="BD187" s="107"/>
      <c r="BE187" s="107"/>
      <c r="BF187" s="107"/>
      <c r="BG187" s="107"/>
      <c r="BH187" s="107"/>
      <c r="BI187" s="107"/>
      <c r="BJ187" s="107"/>
      <c r="BK187" s="107"/>
      <c r="BL187" s="107"/>
      <c r="BM187" s="107"/>
      <c r="BN187" s="107"/>
      <c r="BO187" s="107"/>
      <c r="BP187" s="107"/>
      <c r="BQ187" s="107"/>
      <c r="BS187" s="65" t="str">
        <f t="shared" si="436"/>
        <v/>
      </c>
      <c r="BT187" s="75" t="str">
        <f t="shared" ref="BT187:CE187" si="542">IF($M187="","",BT24*BT160)</f>
        <v/>
      </c>
      <c r="BU187" s="75" t="str">
        <f t="shared" si="542"/>
        <v/>
      </c>
      <c r="BV187" s="75" t="str">
        <f t="shared" si="542"/>
        <v/>
      </c>
      <c r="BW187" s="75" t="str">
        <f t="shared" si="542"/>
        <v/>
      </c>
      <c r="BX187" s="75" t="str">
        <f t="shared" si="542"/>
        <v/>
      </c>
      <c r="BY187" s="75" t="str">
        <f t="shared" si="542"/>
        <v/>
      </c>
      <c r="BZ187" s="75" t="str">
        <f t="shared" si="542"/>
        <v/>
      </c>
      <c r="CA187" s="75" t="str">
        <f t="shared" si="542"/>
        <v/>
      </c>
      <c r="CB187" s="75" t="str">
        <f t="shared" si="542"/>
        <v/>
      </c>
      <c r="CC187" s="75" t="str">
        <f t="shared" si="542"/>
        <v/>
      </c>
      <c r="CD187" s="75" t="str">
        <f t="shared" si="542"/>
        <v/>
      </c>
      <c r="CE187" s="75" t="str">
        <f t="shared" si="542"/>
        <v/>
      </c>
      <c r="CF187" s="70" t="str">
        <f t="shared" si="480"/>
        <v/>
      </c>
      <c r="CG187" s="107"/>
      <c r="CH187" s="107"/>
      <c r="CI187" s="107"/>
      <c r="CJ187" s="107"/>
      <c r="CK187" s="107"/>
      <c r="CL187" s="107"/>
      <c r="CM187" s="107"/>
      <c r="CN187" s="107"/>
      <c r="CO187" s="107"/>
      <c r="CP187" s="107"/>
      <c r="CQ187" s="107"/>
      <c r="CR187" s="107"/>
      <c r="CS187" s="107"/>
      <c r="CT187" s="107"/>
      <c r="CU187" s="40"/>
      <c r="CV187" s="65" t="str">
        <f t="shared" si="439"/>
        <v/>
      </c>
      <c r="CW187" s="66" t="str">
        <f t="shared" si="440"/>
        <v/>
      </c>
      <c r="CX187" s="66" t="str">
        <f t="shared" si="441"/>
        <v/>
      </c>
      <c r="CY187" s="66" t="str">
        <f t="shared" si="493"/>
        <v/>
      </c>
    </row>
    <row r="188" spans="1:103" s="38" customFormat="1" ht="15" hidden="1" customHeight="1" x14ac:dyDescent="0.2">
      <c r="A188" s="31" t="str">
        <f t="shared" si="442"/>
        <v/>
      </c>
      <c r="B188" s="96" t="str">
        <f t="shared" si="443"/>
        <v/>
      </c>
      <c r="C188" s="96" t="str">
        <f t="shared" si="444"/>
        <v/>
      </c>
      <c r="D188" s="96" t="str">
        <f t="shared" si="445"/>
        <v/>
      </c>
      <c r="E188" s="96" t="str">
        <f t="shared" si="446"/>
        <v/>
      </c>
      <c r="F188" s="96" t="str">
        <f t="shared" si="447"/>
        <v/>
      </c>
      <c r="G188" s="96" t="str">
        <v/>
      </c>
      <c r="H188" s="96" t="str">
        <v/>
      </c>
      <c r="I188" s="96" t="str">
        <v/>
      </c>
      <c r="J188" s="96" t="str">
        <v/>
      </c>
      <c r="K188" s="96" t="str">
        <v/>
      </c>
      <c r="L188" s="28" t="str">
        <v/>
      </c>
      <c r="M188" s="82" t="str">
        <f t="shared" si="448"/>
        <v/>
      </c>
      <c r="N188" s="75" t="str">
        <f t="shared" ref="N188:Y188" si="543">IF($M188="","",N25*N161)</f>
        <v/>
      </c>
      <c r="O188" s="75" t="str">
        <f t="shared" si="543"/>
        <v/>
      </c>
      <c r="P188" s="75" t="str">
        <f t="shared" si="543"/>
        <v/>
      </c>
      <c r="Q188" s="75" t="str">
        <f t="shared" si="543"/>
        <v/>
      </c>
      <c r="R188" s="75" t="str">
        <f t="shared" si="543"/>
        <v/>
      </c>
      <c r="S188" s="75" t="str">
        <f t="shared" si="543"/>
        <v/>
      </c>
      <c r="T188" s="75" t="str">
        <f t="shared" si="543"/>
        <v/>
      </c>
      <c r="U188" s="75" t="str">
        <f t="shared" si="543"/>
        <v/>
      </c>
      <c r="V188" s="75" t="str">
        <f t="shared" si="543"/>
        <v/>
      </c>
      <c r="W188" s="75" t="str">
        <f t="shared" si="543"/>
        <v/>
      </c>
      <c r="X188" s="75" t="str">
        <f t="shared" si="543"/>
        <v/>
      </c>
      <c r="Y188" s="75" t="str">
        <f t="shared" si="543"/>
        <v/>
      </c>
      <c r="Z188" s="70" t="str">
        <f t="shared" si="450"/>
        <v/>
      </c>
      <c r="AA188" s="107"/>
      <c r="AB188" s="107"/>
      <c r="AC188" s="107"/>
      <c r="AD188" s="107"/>
      <c r="AE188" s="107"/>
      <c r="AF188" s="107"/>
      <c r="AG188" s="107"/>
      <c r="AH188" s="107"/>
      <c r="AI188" s="107"/>
      <c r="AJ188" s="107"/>
      <c r="AK188" s="107"/>
      <c r="AL188" s="107"/>
      <c r="AM188" s="107"/>
      <c r="AN188" s="107"/>
      <c r="AP188" s="65" t="str">
        <f t="shared" si="433"/>
        <v/>
      </c>
      <c r="AQ188" s="75" t="str">
        <f t="shared" ref="AQ188:BB188" si="544">IF($M188="","",AQ25*AQ161)</f>
        <v/>
      </c>
      <c r="AR188" s="75" t="str">
        <f t="shared" si="544"/>
        <v/>
      </c>
      <c r="AS188" s="75" t="str">
        <f t="shared" si="544"/>
        <v/>
      </c>
      <c r="AT188" s="75" t="str">
        <f t="shared" si="544"/>
        <v/>
      </c>
      <c r="AU188" s="75" t="str">
        <f t="shared" si="544"/>
        <v/>
      </c>
      <c r="AV188" s="75" t="str">
        <f t="shared" si="544"/>
        <v/>
      </c>
      <c r="AW188" s="75" t="str">
        <f t="shared" si="544"/>
        <v/>
      </c>
      <c r="AX188" s="75" t="str">
        <f t="shared" si="544"/>
        <v/>
      </c>
      <c r="AY188" s="75" t="str">
        <f t="shared" si="544"/>
        <v/>
      </c>
      <c r="AZ188" s="75" t="str">
        <f t="shared" si="544"/>
        <v/>
      </c>
      <c r="BA188" s="75" t="str">
        <f t="shared" si="544"/>
        <v/>
      </c>
      <c r="BB188" s="75" t="str">
        <f t="shared" si="544"/>
        <v/>
      </c>
      <c r="BC188" s="70" t="str">
        <f t="shared" si="465"/>
        <v/>
      </c>
      <c r="BD188" s="107"/>
      <c r="BE188" s="107"/>
      <c r="BF188" s="107"/>
      <c r="BG188" s="107"/>
      <c r="BH188" s="107"/>
      <c r="BI188" s="107"/>
      <c r="BJ188" s="107"/>
      <c r="BK188" s="107"/>
      <c r="BL188" s="107"/>
      <c r="BM188" s="107"/>
      <c r="BN188" s="107"/>
      <c r="BO188" s="107"/>
      <c r="BP188" s="107"/>
      <c r="BQ188" s="107"/>
      <c r="BS188" s="65" t="str">
        <f t="shared" si="436"/>
        <v/>
      </c>
      <c r="BT188" s="75" t="str">
        <f t="shared" ref="BT188:CE188" si="545">IF($M188="","",BT25*BT161)</f>
        <v/>
      </c>
      <c r="BU188" s="75" t="str">
        <f t="shared" si="545"/>
        <v/>
      </c>
      <c r="BV188" s="75" t="str">
        <f t="shared" si="545"/>
        <v/>
      </c>
      <c r="BW188" s="75" t="str">
        <f t="shared" si="545"/>
        <v/>
      </c>
      <c r="BX188" s="75" t="str">
        <f t="shared" si="545"/>
        <v/>
      </c>
      <c r="BY188" s="75" t="str">
        <f t="shared" si="545"/>
        <v/>
      </c>
      <c r="BZ188" s="75" t="str">
        <f t="shared" si="545"/>
        <v/>
      </c>
      <c r="CA188" s="75" t="str">
        <f t="shared" si="545"/>
        <v/>
      </c>
      <c r="CB188" s="75" t="str">
        <f t="shared" si="545"/>
        <v/>
      </c>
      <c r="CC188" s="75" t="str">
        <f t="shared" si="545"/>
        <v/>
      </c>
      <c r="CD188" s="75" t="str">
        <f t="shared" si="545"/>
        <v/>
      </c>
      <c r="CE188" s="75" t="str">
        <f t="shared" si="545"/>
        <v/>
      </c>
      <c r="CF188" s="70" t="str">
        <f t="shared" si="480"/>
        <v/>
      </c>
      <c r="CG188" s="107"/>
      <c r="CH188" s="107"/>
      <c r="CI188" s="107"/>
      <c r="CJ188" s="107"/>
      <c r="CK188" s="107"/>
      <c r="CL188" s="107"/>
      <c r="CM188" s="107"/>
      <c r="CN188" s="107"/>
      <c r="CO188" s="107"/>
      <c r="CP188" s="107"/>
      <c r="CQ188" s="107"/>
      <c r="CR188" s="107"/>
      <c r="CS188" s="107"/>
      <c r="CT188" s="107"/>
      <c r="CU188" s="40"/>
      <c r="CV188" s="65" t="str">
        <f t="shared" si="439"/>
        <v/>
      </c>
      <c r="CW188" s="66" t="str">
        <f t="shared" si="440"/>
        <v/>
      </c>
      <c r="CX188" s="66" t="str">
        <f t="shared" si="441"/>
        <v/>
      </c>
      <c r="CY188" s="66" t="str">
        <f t="shared" si="493"/>
        <v/>
      </c>
    </row>
    <row r="189" spans="1:103" s="38" customFormat="1" ht="15" hidden="1" customHeight="1" x14ac:dyDescent="0.2">
      <c r="A189" s="31" t="str">
        <f t="shared" si="442"/>
        <v/>
      </c>
      <c r="B189" s="96" t="str">
        <f t="shared" si="443"/>
        <v/>
      </c>
      <c r="C189" s="96" t="str">
        <f t="shared" si="444"/>
        <v/>
      </c>
      <c r="D189" s="96" t="str">
        <f t="shared" si="445"/>
        <v/>
      </c>
      <c r="E189" s="96" t="str">
        <f t="shared" si="446"/>
        <v/>
      </c>
      <c r="F189" s="96" t="str">
        <f t="shared" si="447"/>
        <v/>
      </c>
      <c r="G189" s="96" t="str">
        <v/>
      </c>
      <c r="H189" s="96" t="str">
        <v/>
      </c>
      <c r="I189" s="96" t="str">
        <v/>
      </c>
      <c r="J189" s="96" t="str">
        <v/>
      </c>
      <c r="K189" s="96" t="str">
        <v/>
      </c>
      <c r="L189" s="28" t="str">
        <v/>
      </c>
      <c r="M189" s="82" t="str">
        <f t="shared" si="448"/>
        <v/>
      </c>
      <c r="N189" s="75" t="str">
        <f t="shared" ref="N189:Y189" si="546">IF($M189="","",N26*N162)</f>
        <v/>
      </c>
      <c r="O189" s="75" t="str">
        <f t="shared" si="546"/>
        <v/>
      </c>
      <c r="P189" s="75" t="str">
        <f t="shared" si="546"/>
        <v/>
      </c>
      <c r="Q189" s="75" t="str">
        <f t="shared" si="546"/>
        <v/>
      </c>
      <c r="R189" s="75" t="str">
        <f t="shared" si="546"/>
        <v/>
      </c>
      <c r="S189" s="75" t="str">
        <f t="shared" si="546"/>
        <v/>
      </c>
      <c r="T189" s="75" t="str">
        <f t="shared" si="546"/>
        <v/>
      </c>
      <c r="U189" s="75" t="str">
        <f t="shared" si="546"/>
        <v/>
      </c>
      <c r="V189" s="75" t="str">
        <f t="shared" si="546"/>
        <v/>
      </c>
      <c r="W189" s="75" t="str">
        <f t="shared" si="546"/>
        <v/>
      </c>
      <c r="X189" s="75" t="str">
        <f t="shared" si="546"/>
        <v/>
      </c>
      <c r="Y189" s="75" t="str">
        <f t="shared" si="546"/>
        <v/>
      </c>
      <c r="Z189" s="70" t="str">
        <f t="shared" si="450"/>
        <v/>
      </c>
      <c r="AA189" s="107"/>
      <c r="AB189" s="107"/>
      <c r="AC189" s="107"/>
      <c r="AD189" s="107"/>
      <c r="AE189" s="107"/>
      <c r="AF189" s="107"/>
      <c r="AG189" s="107"/>
      <c r="AH189" s="107"/>
      <c r="AI189" s="107"/>
      <c r="AJ189" s="107"/>
      <c r="AK189" s="107"/>
      <c r="AL189" s="107"/>
      <c r="AM189" s="107"/>
      <c r="AN189" s="107"/>
      <c r="AP189" s="65" t="str">
        <f t="shared" si="433"/>
        <v/>
      </c>
      <c r="AQ189" s="75" t="str">
        <f t="shared" ref="AQ189:BB189" si="547">IF($M189="","",AQ26*AQ162)</f>
        <v/>
      </c>
      <c r="AR189" s="75" t="str">
        <f t="shared" si="547"/>
        <v/>
      </c>
      <c r="AS189" s="75" t="str">
        <f t="shared" si="547"/>
        <v/>
      </c>
      <c r="AT189" s="75" t="str">
        <f t="shared" si="547"/>
        <v/>
      </c>
      <c r="AU189" s="75" t="str">
        <f t="shared" si="547"/>
        <v/>
      </c>
      <c r="AV189" s="75" t="str">
        <f t="shared" si="547"/>
        <v/>
      </c>
      <c r="AW189" s="75" t="str">
        <f t="shared" si="547"/>
        <v/>
      </c>
      <c r="AX189" s="75" t="str">
        <f t="shared" si="547"/>
        <v/>
      </c>
      <c r="AY189" s="75" t="str">
        <f t="shared" si="547"/>
        <v/>
      </c>
      <c r="AZ189" s="75" t="str">
        <f t="shared" si="547"/>
        <v/>
      </c>
      <c r="BA189" s="75" t="str">
        <f t="shared" si="547"/>
        <v/>
      </c>
      <c r="BB189" s="75" t="str">
        <f t="shared" si="547"/>
        <v/>
      </c>
      <c r="BC189" s="70" t="str">
        <f t="shared" si="465"/>
        <v/>
      </c>
      <c r="BD189" s="107"/>
      <c r="BE189" s="107"/>
      <c r="BF189" s="107"/>
      <c r="BG189" s="107"/>
      <c r="BH189" s="107"/>
      <c r="BI189" s="107"/>
      <c r="BJ189" s="107"/>
      <c r="BK189" s="107"/>
      <c r="BL189" s="107"/>
      <c r="BM189" s="107"/>
      <c r="BN189" s="107"/>
      <c r="BO189" s="107"/>
      <c r="BP189" s="107"/>
      <c r="BQ189" s="107"/>
      <c r="BS189" s="65" t="str">
        <f t="shared" si="436"/>
        <v/>
      </c>
      <c r="BT189" s="75" t="str">
        <f t="shared" ref="BT189:CE189" si="548">IF($M189="","",BT26*BT162)</f>
        <v/>
      </c>
      <c r="BU189" s="75" t="str">
        <f t="shared" si="548"/>
        <v/>
      </c>
      <c r="BV189" s="75" t="str">
        <f t="shared" si="548"/>
        <v/>
      </c>
      <c r="BW189" s="75" t="str">
        <f t="shared" si="548"/>
        <v/>
      </c>
      <c r="BX189" s="75" t="str">
        <f t="shared" si="548"/>
        <v/>
      </c>
      <c r="BY189" s="75" t="str">
        <f t="shared" si="548"/>
        <v/>
      </c>
      <c r="BZ189" s="75" t="str">
        <f t="shared" si="548"/>
        <v/>
      </c>
      <c r="CA189" s="75" t="str">
        <f t="shared" si="548"/>
        <v/>
      </c>
      <c r="CB189" s="75" t="str">
        <f t="shared" si="548"/>
        <v/>
      </c>
      <c r="CC189" s="75" t="str">
        <f t="shared" si="548"/>
        <v/>
      </c>
      <c r="CD189" s="75" t="str">
        <f t="shared" si="548"/>
        <v/>
      </c>
      <c r="CE189" s="75" t="str">
        <f t="shared" si="548"/>
        <v/>
      </c>
      <c r="CF189" s="70" t="str">
        <f t="shared" si="480"/>
        <v/>
      </c>
      <c r="CG189" s="107"/>
      <c r="CH189" s="107"/>
      <c r="CI189" s="107"/>
      <c r="CJ189" s="107"/>
      <c r="CK189" s="107"/>
      <c r="CL189" s="107"/>
      <c r="CM189" s="107"/>
      <c r="CN189" s="107"/>
      <c r="CO189" s="107"/>
      <c r="CP189" s="107"/>
      <c r="CQ189" s="107"/>
      <c r="CR189" s="107"/>
      <c r="CS189" s="107"/>
      <c r="CT189" s="107"/>
      <c r="CU189" s="40"/>
      <c r="CV189" s="65" t="str">
        <f t="shared" si="439"/>
        <v/>
      </c>
      <c r="CW189" s="66" t="str">
        <f t="shared" si="440"/>
        <v/>
      </c>
      <c r="CX189" s="66" t="str">
        <f t="shared" si="441"/>
        <v/>
      </c>
      <c r="CY189" s="66" t="str">
        <f t="shared" si="493"/>
        <v/>
      </c>
    </row>
    <row r="190" spans="1:103" s="38" customFormat="1" ht="15" hidden="1" customHeight="1" x14ac:dyDescent="0.2">
      <c r="A190" s="31" t="str">
        <f t="shared" si="442"/>
        <v/>
      </c>
      <c r="B190" s="96" t="str">
        <f t="shared" si="443"/>
        <v/>
      </c>
      <c r="C190" s="96" t="str">
        <f t="shared" si="444"/>
        <v/>
      </c>
      <c r="D190" s="96" t="str">
        <f t="shared" si="445"/>
        <v/>
      </c>
      <c r="E190" s="96" t="str">
        <f t="shared" si="446"/>
        <v/>
      </c>
      <c r="F190" s="96" t="str">
        <f t="shared" si="447"/>
        <v/>
      </c>
      <c r="G190" s="96" t="str">
        <v/>
      </c>
      <c r="H190" s="96" t="str">
        <v/>
      </c>
      <c r="I190" s="96" t="str">
        <v/>
      </c>
      <c r="J190" s="96" t="str">
        <v/>
      </c>
      <c r="K190" s="96" t="str">
        <v/>
      </c>
      <c r="L190" s="28" t="str">
        <v/>
      </c>
      <c r="M190" s="82" t="str">
        <f t="shared" si="448"/>
        <v/>
      </c>
      <c r="N190" s="75" t="str">
        <f t="shared" ref="N190:Y190" si="549">IF($M190="","",N27*N163)</f>
        <v/>
      </c>
      <c r="O190" s="75" t="str">
        <f t="shared" si="549"/>
        <v/>
      </c>
      <c r="P190" s="75" t="str">
        <f t="shared" si="549"/>
        <v/>
      </c>
      <c r="Q190" s="75" t="str">
        <f t="shared" si="549"/>
        <v/>
      </c>
      <c r="R190" s="75" t="str">
        <f t="shared" si="549"/>
        <v/>
      </c>
      <c r="S190" s="75" t="str">
        <f t="shared" si="549"/>
        <v/>
      </c>
      <c r="T190" s="75" t="str">
        <f t="shared" si="549"/>
        <v/>
      </c>
      <c r="U190" s="75" t="str">
        <f t="shared" si="549"/>
        <v/>
      </c>
      <c r="V190" s="75" t="str">
        <f t="shared" si="549"/>
        <v/>
      </c>
      <c r="W190" s="75" t="str">
        <f t="shared" si="549"/>
        <v/>
      </c>
      <c r="X190" s="75" t="str">
        <f t="shared" si="549"/>
        <v/>
      </c>
      <c r="Y190" s="75" t="str">
        <f t="shared" si="549"/>
        <v/>
      </c>
      <c r="Z190" s="70" t="str">
        <f t="shared" si="450"/>
        <v/>
      </c>
      <c r="AA190" s="107"/>
      <c r="AB190" s="107"/>
      <c r="AC190" s="107"/>
      <c r="AD190" s="107"/>
      <c r="AE190" s="107"/>
      <c r="AF190" s="107"/>
      <c r="AG190" s="107"/>
      <c r="AH190" s="107"/>
      <c r="AI190" s="107"/>
      <c r="AJ190" s="107"/>
      <c r="AK190" s="107"/>
      <c r="AL190" s="107"/>
      <c r="AM190" s="107"/>
      <c r="AN190" s="107"/>
      <c r="AP190" s="65" t="str">
        <f t="shared" si="433"/>
        <v/>
      </c>
      <c r="AQ190" s="75" t="str">
        <f t="shared" ref="AQ190:BB190" si="550">IF($M190="","",AQ27*AQ163)</f>
        <v/>
      </c>
      <c r="AR190" s="75" t="str">
        <f t="shared" si="550"/>
        <v/>
      </c>
      <c r="AS190" s="75" t="str">
        <f t="shared" si="550"/>
        <v/>
      </c>
      <c r="AT190" s="75" t="str">
        <f t="shared" si="550"/>
        <v/>
      </c>
      <c r="AU190" s="75" t="str">
        <f t="shared" si="550"/>
        <v/>
      </c>
      <c r="AV190" s="75" t="str">
        <f t="shared" si="550"/>
        <v/>
      </c>
      <c r="AW190" s="75" t="str">
        <f t="shared" si="550"/>
        <v/>
      </c>
      <c r="AX190" s="75" t="str">
        <f t="shared" si="550"/>
        <v/>
      </c>
      <c r="AY190" s="75" t="str">
        <f t="shared" si="550"/>
        <v/>
      </c>
      <c r="AZ190" s="75" t="str">
        <f t="shared" si="550"/>
        <v/>
      </c>
      <c r="BA190" s="75" t="str">
        <f t="shared" si="550"/>
        <v/>
      </c>
      <c r="BB190" s="75" t="str">
        <f t="shared" si="550"/>
        <v/>
      </c>
      <c r="BC190" s="70" t="str">
        <f t="shared" si="465"/>
        <v/>
      </c>
      <c r="BD190" s="107"/>
      <c r="BE190" s="107"/>
      <c r="BF190" s="107"/>
      <c r="BG190" s="107"/>
      <c r="BH190" s="107"/>
      <c r="BI190" s="107"/>
      <c r="BJ190" s="107"/>
      <c r="BK190" s="107"/>
      <c r="BL190" s="107"/>
      <c r="BM190" s="107"/>
      <c r="BN190" s="107"/>
      <c r="BO190" s="107"/>
      <c r="BP190" s="107"/>
      <c r="BQ190" s="107"/>
      <c r="BS190" s="65" t="str">
        <f t="shared" si="436"/>
        <v/>
      </c>
      <c r="BT190" s="75" t="str">
        <f t="shared" ref="BT190:CE190" si="551">IF($M190="","",BT27*BT163)</f>
        <v/>
      </c>
      <c r="BU190" s="75" t="str">
        <f t="shared" si="551"/>
        <v/>
      </c>
      <c r="BV190" s="75" t="str">
        <f t="shared" si="551"/>
        <v/>
      </c>
      <c r="BW190" s="75" t="str">
        <f t="shared" si="551"/>
        <v/>
      </c>
      <c r="BX190" s="75" t="str">
        <f t="shared" si="551"/>
        <v/>
      </c>
      <c r="BY190" s="75" t="str">
        <f t="shared" si="551"/>
        <v/>
      </c>
      <c r="BZ190" s="75" t="str">
        <f t="shared" si="551"/>
        <v/>
      </c>
      <c r="CA190" s="75" t="str">
        <f t="shared" si="551"/>
        <v/>
      </c>
      <c r="CB190" s="75" t="str">
        <f t="shared" si="551"/>
        <v/>
      </c>
      <c r="CC190" s="75" t="str">
        <f t="shared" si="551"/>
        <v/>
      </c>
      <c r="CD190" s="75" t="str">
        <f t="shared" si="551"/>
        <v/>
      </c>
      <c r="CE190" s="75" t="str">
        <f t="shared" si="551"/>
        <v/>
      </c>
      <c r="CF190" s="70" t="str">
        <f t="shared" si="480"/>
        <v/>
      </c>
      <c r="CG190" s="107"/>
      <c r="CH190" s="107"/>
      <c r="CI190" s="107"/>
      <c r="CJ190" s="107"/>
      <c r="CK190" s="107"/>
      <c r="CL190" s="107"/>
      <c r="CM190" s="107"/>
      <c r="CN190" s="107"/>
      <c r="CO190" s="107"/>
      <c r="CP190" s="107"/>
      <c r="CQ190" s="107"/>
      <c r="CR190" s="107"/>
      <c r="CS190" s="107"/>
      <c r="CT190" s="107"/>
      <c r="CU190" s="40"/>
      <c r="CV190" s="65" t="str">
        <f t="shared" si="439"/>
        <v/>
      </c>
      <c r="CW190" s="66" t="str">
        <f t="shared" si="440"/>
        <v/>
      </c>
      <c r="CX190" s="66" t="str">
        <f t="shared" si="441"/>
        <v/>
      </c>
      <c r="CY190" s="66" t="str">
        <f t="shared" si="493"/>
        <v/>
      </c>
    </row>
    <row r="191" spans="1:103" s="38" customFormat="1" ht="15" hidden="1" customHeight="1" x14ac:dyDescent="0.2">
      <c r="A191" s="31" t="str">
        <f t="shared" si="442"/>
        <v/>
      </c>
      <c r="B191" s="96" t="str">
        <f t="shared" si="443"/>
        <v/>
      </c>
      <c r="C191" s="96" t="str">
        <f t="shared" si="444"/>
        <v/>
      </c>
      <c r="D191" s="96" t="str">
        <f t="shared" si="445"/>
        <v/>
      </c>
      <c r="E191" s="96" t="str">
        <f t="shared" si="446"/>
        <v/>
      </c>
      <c r="F191" s="96" t="str">
        <f t="shared" si="447"/>
        <v/>
      </c>
      <c r="G191" s="96" t="str">
        <v/>
      </c>
      <c r="H191" s="96" t="str">
        <v/>
      </c>
      <c r="I191" s="96" t="str">
        <v/>
      </c>
      <c r="J191" s="96" t="str">
        <v/>
      </c>
      <c r="K191" s="96" t="str">
        <v/>
      </c>
      <c r="L191" s="28" t="str">
        <v/>
      </c>
      <c r="M191" s="82" t="str">
        <f t="shared" si="448"/>
        <v/>
      </c>
      <c r="N191" s="75" t="str">
        <f t="shared" ref="N191:Y191" si="552">IF($M191="","",N28*N164)</f>
        <v/>
      </c>
      <c r="O191" s="75" t="str">
        <f t="shared" si="552"/>
        <v/>
      </c>
      <c r="P191" s="75" t="str">
        <f t="shared" si="552"/>
        <v/>
      </c>
      <c r="Q191" s="75" t="str">
        <f t="shared" si="552"/>
        <v/>
      </c>
      <c r="R191" s="75" t="str">
        <f t="shared" si="552"/>
        <v/>
      </c>
      <c r="S191" s="75" t="str">
        <f t="shared" si="552"/>
        <v/>
      </c>
      <c r="T191" s="75" t="str">
        <f t="shared" si="552"/>
        <v/>
      </c>
      <c r="U191" s="75" t="str">
        <f t="shared" si="552"/>
        <v/>
      </c>
      <c r="V191" s="75" t="str">
        <f t="shared" si="552"/>
        <v/>
      </c>
      <c r="W191" s="75" t="str">
        <f t="shared" si="552"/>
        <v/>
      </c>
      <c r="X191" s="75" t="str">
        <f t="shared" si="552"/>
        <v/>
      </c>
      <c r="Y191" s="75" t="str">
        <f t="shared" si="552"/>
        <v/>
      </c>
      <c r="Z191" s="70" t="str">
        <f t="shared" si="450"/>
        <v/>
      </c>
      <c r="AA191" s="107"/>
      <c r="AB191" s="107"/>
      <c r="AC191" s="107"/>
      <c r="AD191" s="107"/>
      <c r="AE191" s="107"/>
      <c r="AF191" s="107"/>
      <c r="AG191" s="107"/>
      <c r="AH191" s="107"/>
      <c r="AI191" s="107"/>
      <c r="AJ191" s="107"/>
      <c r="AK191" s="107"/>
      <c r="AL191" s="107"/>
      <c r="AM191" s="107"/>
      <c r="AN191" s="107"/>
      <c r="AP191" s="65" t="str">
        <f t="shared" si="433"/>
        <v/>
      </c>
      <c r="AQ191" s="75" t="str">
        <f t="shared" ref="AQ191:BB191" si="553">IF($M191="","",AQ28*AQ164)</f>
        <v/>
      </c>
      <c r="AR191" s="75" t="str">
        <f t="shared" si="553"/>
        <v/>
      </c>
      <c r="AS191" s="75" t="str">
        <f t="shared" si="553"/>
        <v/>
      </c>
      <c r="AT191" s="75" t="str">
        <f t="shared" si="553"/>
        <v/>
      </c>
      <c r="AU191" s="75" t="str">
        <f t="shared" si="553"/>
        <v/>
      </c>
      <c r="AV191" s="75" t="str">
        <f t="shared" si="553"/>
        <v/>
      </c>
      <c r="AW191" s="75" t="str">
        <f t="shared" si="553"/>
        <v/>
      </c>
      <c r="AX191" s="75" t="str">
        <f t="shared" si="553"/>
        <v/>
      </c>
      <c r="AY191" s="75" t="str">
        <f t="shared" si="553"/>
        <v/>
      </c>
      <c r="AZ191" s="75" t="str">
        <f t="shared" si="553"/>
        <v/>
      </c>
      <c r="BA191" s="75" t="str">
        <f t="shared" si="553"/>
        <v/>
      </c>
      <c r="BB191" s="75" t="str">
        <f t="shared" si="553"/>
        <v/>
      </c>
      <c r="BC191" s="70" t="str">
        <f t="shared" si="465"/>
        <v/>
      </c>
      <c r="BD191" s="107"/>
      <c r="BE191" s="107"/>
      <c r="BF191" s="107"/>
      <c r="BG191" s="107"/>
      <c r="BH191" s="107"/>
      <c r="BI191" s="107"/>
      <c r="BJ191" s="107"/>
      <c r="BK191" s="107"/>
      <c r="BL191" s="107"/>
      <c r="BM191" s="107"/>
      <c r="BN191" s="107"/>
      <c r="BO191" s="107"/>
      <c r="BP191" s="107"/>
      <c r="BQ191" s="107"/>
      <c r="BS191" s="65" t="str">
        <f t="shared" si="436"/>
        <v/>
      </c>
      <c r="BT191" s="75" t="str">
        <f t="shared" ref="BT191:CE191" si="554">IF($M191="","",BT28*BT164)</f>
        <v/>
      </c>
      <c r="BU191" s="75" t="str">
        <f t="shared" si="554"/>
        <v/>
      </c>
      <c r="BV191" s="75" t="str">
        <f t="shared" si="554"/>
        <v/>
      </c>
      <c r="BW191" s="75" t="str">
        <f t="shared" si="554"/>
        <v/>
      </c>
      <c r="BX191" s="75" t="str">
        <f t="shared" si="554"/>
        <v/>
      </c>
      <c r="BY191" s="75" t="str">
        <f t="shared" si="554"/>
        <v/>
      </c>
      <c r="BZ191" s="75" t="str">
        <f t="shared" si="554"/>
        <v/>
      </c>
      <c r="CA191" s="75" t="str">
        <f t="shared" si="554"/>
        <v/>
      </c>
      <c r="CB191" s="75" t="str">
        <f t="shared" si="554"/>
        <v/>
      </c>
      <c r="CC191" s="75" t="str">
        <f t="shared" si="554"/>
        <v/>
      </c>
      <c r="CD191" s="75" t="str">
        <f t="shared" si="554"/>
        <v/>
      </c>
      <c r="CE191" s="75" t="str">
        <f t="shared" si="554"/>
        <v/>
      </c>
      <c r="CF191" s="70" t="str">
        <f t="shared" si="480"/>
        <v/>
      </c>
      <c r="CG191" s="107"/>
      <c r="CH191" s="107"/>
      <c r="CI191" s="107"/>
      <c r="CJ191" s="107"/>
      <c r="CK191" s="107"/>
      <c r="CL191" s="107"/>
      <c r="CM191" s="107"/>
      <c r="CN191" s="107"/>
      <c r="CO191" s="107"/>
      <c r="CP191" s="107"/>
      <c r="CQ191" s="107"/>
      <c r="CR191" s="107"/>
      <c r="CS191" s="107"/>
      <c r="CT191" s="107"/>
      <c r="CU191" s="40"/>
      <c r="CV191" s="65" t="str">
        <f t="shared" si="439"/>
        <v/>
      </c>
      <c r="CW191" s="66" t="str">
        <f t="shared" si="440"/>
        <v/>
      </c>
      <c r="CX191" s="66" t="str">
        <f t="shared" si="441"/>
        <v/>
      </c>
      <c r="CY191" s="66" t="str">
        <f t="shared" si="493"/>
        <v/>
      </c>
    </row>
    <row r="192" spans="1:103" s="38" customFormat="1" ht="15" hidden="1" customHeight="1" x14ac:dyDescent="0.2">
      <c r="A192" s="31" t="str">
        <f t="shared" si="442"/>
        <v/>
      </c>
      <c r="B192" s="96" t="str">
        <f t="shared" si="443"/>
        <v/>
      </c>
      <c r="C192" s="96" t="str">
        <f t="shared" si="444"/>
        <v/>
      </c>
      <c r="D192" s="96" t="str">
        <f t="shared" si="445"/>
        <v/>
      </c>
      <c r="E192" s="96" t="str">
        <f t="shared" si="446"/>
        <v/>
      </c>
      <c r="F192" s="96" t="str">
        <f t="shared" si="447"/>
        <v/>
      </c>
      <c r="G192" s="96" t="str">
        <v/>
      </c>
      <c r="H192" s="96" t="str">
        <v/>
      </c>
      <c r="I192" s="96" t="str">
        <v/>
      </c>
      <c r="J192" s="96" t="str">
        <v/>
      </c>
      <c r="K192" s="96" t="str">
        <v/>
      </c>
      <c r="L192" s="28" t="str">
        <v/>
      </c>
      <c r="M192" s="82" t="str">
        <f t="shared" si="448"/>
        <v/>
      </c>
      <c r="N192" s="75" t="str">
        <f t="shared" ref="N192:Y192" si="555">IF($M192="","",N29*N165)</f>
        <v/>
      </c>
      <c r="O192" s="75" t="str">
        <f t="shared" si="555"/>
        <v/>
      </c>
      <c r="P192" s="75" t="str">
        <f t="shared" si="555"/>
        <v/>
      </c>
      <c r="Q192" s="75" t="str">
        <f t="shared" si="555"/>
        <v/>
      </c>
      <c r="R192" s="75" t="str">
        <f t="shared" si="555"/>
        <v/>
      </c>
      <c r="S192" s="75" t="str">
        <f t="shared" si="555"/>
        <v/>
      </c>
      <c r="T192" s="75" t="str">
        <f t="shared" si="555"/>
        <v/>
      </c>
      <c r="U192" s="75" t="str">
        <f t="shared" si="555"/>
        <v/>
      </c>
      <c r="V192" s="75" t="str">
        <f t="shared" si="555"/>
        <v/>
      </c>
      <c r="W192" s="75" t="str">
        <f t="shared" si="555"/>
        <v/>
      </c>
      <c r="X192" s="75" t="str">
        <f t="shared" si="555"/>
        <v/>
      </c>
      <c r="Y192" s="75" t="str">
        <f t="shared" si="555"/>
        <v/>
      </c>
      <c r="Z192" s="70" t="str">
        <f t="shared" si="450"/>
        <v/>
      </c>
      <c r="AA192" s="107"/>
      <c r="AB192" s="107"/>
      <c r="AC192" s="107"/>
      <c r="AD192" s="107"/>
      <c r="AE192" s="107"/>
      <c r="AF192" s="107"/>
      <c r="AG192" s="107"/>
      <c r="AH192" s="107"/>
      <c r="AI192" s="107"/>
      <c r="AJ192" s="107"/>
      <c r="AK192" s="107"/>
      <c r="AL192" s="107"/>
      <c r="AM192" s="107"/>
      <c r="AN192" s="107"/>
      <c r="AP192" s="65" t="str">
        <f t="shared" si="433"/>
        <v/>
      </c>
      <c r="AQ192" s="75" t="str">
        <f t="shared" ref="AQ192:BB192" si="556">IF($M192="","",AQ29*AQ165)</f>
        <v/>
      </c>
      <c r="AR192" s="75" t="str">
        <f t="shared" si="556"/>
        <v/>
      </c>
      <c r="AS192" s="75" t="str">
        <f t="shared" si="556"/>
        <v/>
      </c>
      <c r="AT192" s="75" t="str">
        <f t="shared" si="556"/>
        <v/>
      </c>
      <c r="AU192" s="75" t="str">
        <f t="shared" si="556"/>
        <v/>
      </c>
      <c r="AV192" s="75" t="str">
        <f t="shared" si="556"/>
        <v/>
      </c>
      <c r="AW192" s="75" t="str">
        <f t="shared" si="556"/>
        <v/>
      </c>
      <c r="AX192" s="75" t="str">
        <f t="shared" si="556"/>
        <v/>
      </c>
      <c r="AY192" s="75" t="str">
        <f t="shared" si="556"/>
        <v/>
      </c>
      <c r="AZ192" s="75" t="str">
        <f t="shared" si="556"/>
        <v/>
      </c>
      <c r="BA192" s="75" t="str">
        <f t="shared" si="556"/>
        <v/>
      </c>
      <c r="BB192" s="75" t="str">
        <f t="shared" si="556"/>
        <v/>
      </c>
      <c r="BC192" s="70" t="str">
        <f t="shared" si="465"/>
        <v/>
      </c>
      <c r="BD192" s="107"/>
      <c r="BE192" s="107"/>
      <c r="BF192" s="107"/>
      <c r="BG192" s="107"/>
      <c r="BH192" s="107"/>
      <c r="BI192" s="107"/>
      <c r="BJ192" s="107"/>
      <c r="BK192" s="107"/>
      <c r="BL192" s="107"/>
      <c r="BM192" s="107"/>
      <c r="BN192" s="107"/>
      <c r="BO192" s="107"/>
      <c r="BP192" s="107"/>
      <c r="BQ192" s="107"/>
      <c r="BS192" s="65" t="str">
        <f t="shared" si="436"/>
        <v/>
      </c>
      <c r="BT192" s="75" t="str">
        <f t="shared" ref="BT192:CE192" si="557">IF($M192="","",BT29*BT165)</f>
        <v/>
      </c>
      <c r="BU192" s="75" t="str">
        <f t="shared" si="557"/>
        <v/>
      </c>
      <c r="BV192" s="75" t="str">
        <f t="shared" si="557"/>
        <v/>
      </c>
      <c r="BW192" s="75" t="str">
        <f t="shared" si="557"/>
        <v/>
      </c>
      <c r="BX192" s="75" t="str">
        <f t="shared" si="557"/>
        <v/>
      </c>
      <c r="BY192" s="75" t="str">
        <f t="shared" si="557"/>
        <v/>
      </c>
      <c r="BZ192" s="75" t="str">
        <f t="shared" si="557"/>
        <v/>
      </c>
      <c r="CA192" s="75" t="str">
        <f t="shared" si="557"/>
        <v/>
      </c>
      <c r="CB192" s="75" t="str">
        <f t="shared" si="557"/>
        <v/>
      </c>
      <c r="CC192" s="75" t="str">
        <f t="shared" si="557"/>
        <v/>
      </c>
      <c r="CD192" s="75" t="str">
        <f t="shared" si="557"/>
        <v/>
      </c>
      <c r="CE192" s="75" t="str">
        <f t="shared" si="557"/>
        <v/>
      </c>
      <c r="CF192" s="70" t="str">
        <f t="shared" si="480"/>
        <v/>
      </c>
      <c r="CG192" s="107"/>
      <c r="CH192" s="107"/>
      <c r="CI192" s="107"/>
      <c r="CJ192" s="107"/>
      <c r="CK192" s="107"/>
      <c r="CL192" s="107"/>
      <c r="CM192" s="107"/>
      <c r="CN192" s="107"/>
      <c r="CO192" s="107"/>
      <c r="CP192" s="107"/>
      <c r="CQ192" s="107"/>
      <c r="CR192" s="107"/>
      <c r="CS192" s="107"/>
      <c r="CT192" s="107"/>
      <c r="CU192" s="40"/>
      <c r="CV192" s="65" t="str">
        <f t="shared" si="439"/>
        <v/>
      </c>
      <c r="CW192" s="66" t="str">
        <f t="shared" si="440"/>
        <v/>
      </c>
      <c r="CX192" s="66" t="str">
        <f t="shared" si="441"/>
        <v/>
      </c>
      <c r="CY192" s="66" t="str">
        <f t="shared" si="493"/>
        <v/>
      </c>
    </row>
    <row r="193" spans="1:103" s="38" customFormat="1" ht="15" hidden="1" customHeight="1" x14ac:dyDescent="0.2">
      <c r="A193" s="31" t="str">
        <f t="shared" si="442"/>
        <v/>
      </c>
      <c r="B193" s="96" t="str">
        <f t="shared" si="443"/>
        <v/>
      </c>
      <c r="C193" s="96" t="str">
        <f t="shared" si="444"/>
        <v/>
      </c>
      <c r="D193" s="96" t="str">
        <f t="shared" si="445"/>
        <v/>
      </c>
      <c r="E193" s="96" t="str">
        <f t="shared" si="446"/>
        <v/>
      </c>
      <c r="F193" s="96" t="str">
        <f t="shared" si="447"/>
        <v/>
      </c>
      <c r="G193" s="96" t="str">
        <v/>
      </c>
      <c r="H193" s="96" t="str">
        <v/>
      </c>
      <c r="I193" s="96" t="str">
        <v/>
      </c>
      <c r="J193" s="96" t="str">
        <v/>
      </c>
      <c r="K193" s="96" t="str">
        <v/>
      </c>
      <c r="L193" s="28" t="str">
        <v/>
      </c>
      <c r="M193" s="82" t="str">
        <f t="shared" si="448"/>
        <v/>
      </c>
      <c r="N193" s="75" t="str">
        <f t="shared" ref="N193:Y193" si="558">IF($M193="","",N30*N166)</f>
        <v/>
      </c>
      <c r="O193" s="75" t="str">
        <f t="shared" si="558"/>
        <v/>
      </c>
      <c r="P193" s="75" t="str">
        <f t="shared" si="558"/>
        <v/>
      </c>
      <c r="Q193" s="75" t="str">
        <f t="shared" si="558"/>
        <v/>
      </c>
      <c r="R193" s="75" t="str">
        <f t="shared" si="558"/>
        <v/>
      </c>
      <c r="S193" s="75" t="str">
        <f t="shared" si="558"/>
        <v/>
      </c>
      <c r="T193" s="75" t="str">
        <f t="shared" si="558"/>
        <v/>
      </c>
      <c r="U193" s="75" t="str">
        <f t="shared" si="558"/>
        <v/>
      </c>
      <c r="V193" s="75" t="str">
        <f t="shared" si="558"/>
        <v/>
      </c>
      <c r="W193" s="75" t="str">
        <f t="shared" si="558"/>
        <v/>
      </c>
      <c r="X193" s="75" t="str">
        <f t="shared" si="558"/>
        <v/>
      </c>
      <c r="Y193" s="75" t="str">
        <f t="shared" si="558"/>
        <v/>
      </c>
      <c r="Z193" s="70" t="str">
        <f t="shared" si="450"/>
        <v/>
      </c>
      <c r="AA193" s="107"/>
      <c r="AB193" s="107"/>
      <c r="AC193" s="107"/>
      <c r="AD193" s="107"/>
      <c r="AE193" s="107"/>
      <c r="AF193" s="107"/>
      <c r="AG193" s="107"/>
      <c r="AH193" s="107"/>
      <c r="AI193" s="107"/>
      <c r="AJ193" s="107"/>
      <c r="AK193" s="107"/>
      <c r="AL193" s="107"/>
      <c r="AM193" s="107"/>
      <c r="AN193" s="107"/>
      <c r="AP193" s="65" t="str">
        <f t="shared" si="433"/>
        <v/>
      </c>
      <c r="AQ193" s="75" t="str">
        <f t="shared" ref="AQ193:BB193" si="559">IF($M193="","",AQ30*AQ166)</f>
        <v/>
      </c>
      <c r="AR193" s="75" t="str">
        <f t="shared" si="559"/>
        <v/>
      </c>
      <c r="AS193" s="75" t="str">
        <f t="shared" si="559"/>
        <v/>
      </c>
      <c r="AT193" s="75" t="str">
        <f t="shared" si="559"/>
        <v/>
      </c>
      <c r="AU193" s="75" t="str">
        <f t="shared" si="559"/>
        <v/>
      </c>
      <c r="AV193" s="75" t="str">
        <f t="shared" si="559"/>
        <v/>
      </c>
      <c r="AW193" s="75" t="str">
        <f t="shared" si="559"/>
        <v/>
      </c>
      <c r="AX193" s="75" t="str">
        <f t="shared" si="559"/>
        <v/>
      </c>
      <c r="AY193" s="75" t="str">
        <f t="shared" si="559"/>
        <v/>
      </c>
      <c r="AZ193" s="75" t="str">
        <f t="shared" si="559"/>
        <v/>
      </c>
      <c r="BA193" s="75" t="str">
        <f t="shared" si="559"/>
        <v/>
      </c>
      <c r="BB193" s="75" t="str">
        <f t="shared" si="559"/>
        <v/>
      </c>
      <c r="BC193" s="70" t="str">
        <f t="shared" si="465"/>
        <v/>
      </c>
      <c r="BD193" s="107"/>
      <c r="BE193" s="107"/>
      <c r="BF193" s="107"/>
      <c r="BG193" s="107"/>
      <c r="BH193" s="107"/>
      <c r="BI193" s="107"/>
      <c r="BJ193" s="107"/>
      <c r="BK193" s="107"/>
      <c r="BL193" s="107"/>
      <c r="BM193" s="107"/>
      <c r="BN193" s="107"/>
      <c r="BO193" s="107"/>
      <c r="BP193" s="107"/>
      <c r="BQ193" s="107"/>
      <c r="BS193" s="65" t="str">
        <f t="shared" si="436"/>
        <v/>
      </c>
      <c r="BT193" s="75" t="str">
        <f t="shared" ref="BT193:CE193" si="560">IF($M193="","",BT30*BT166)</f>
        <v/>
      </c>
      <c r="BU193" s="75" t="str">
        <f t="shared" si="560"/>
        <v/>
      </c>
      <c r="BV193" s="75" t="str">
        <f t="shared" si="560"/>
        <v/>
      </c>
      <c r="BW193" s="75" t="str">
        <f t="shared" si="560"/>
        <v/>
      </c>
      <c r="BX193" s="75" t="str">
        <f t="shared" si="560"/>
        <v/>
      </c>
      <c r="BY193" s="75" t="str">
        <f t="shared" si="560"/>
        <v/>
      </c>
      <c r="BZ193" s="75" t="str">
        <f t="shared" si="560"/>
        <v/>
      </c>
      <c r="CA193" s="75" t="str">
        <f t="shared" si="560"/>
        <v/>
      </c>
      <c r="CB193" s="75" t="str">
        <f t="shared" si="560"/>
        <v/>
      </c>
      <c r="CC193" s="75" t="str">
        <f t="shared" si="560"/>
        <v/>
      </c>
      <c r="CD193" s="75" t="str">
        <f t="shared" si="560"/>
        <v/>
      </c>
      <c r="CE193" s="75" t="str">
        <f t="shared" si="560"/>
        <v/>
      </c>
      <c r="CF193" s="70" t="str">
        <f t="shared" si="480"/>
        <v/>
      </c>
      <c r="CG193" s="107"/>
      <c r="CH193" s="107"/>
      <c r="CI193" s="107"/>
      <c r="CJ193" s="107"/>
      <c r="CK193" s="107"/>
      <c r="CL193" s="107"/>
      <c r="CM193" s="107"/>
      <c r="CN193" s="107"/>
      <c r="CO193" s="107"/>
      <c r="CP193" s="107"/>
      <c r="CQ193" s="107"/>
      <c r="CR193" s="107"/>
      <c r="CS193" s="107"/>
      <c r="CT193" s="107"/>
      <c r="CU193" s="40"/>
      <c r="CV193" s="65" t="str">
        <f t="shared" si="439"/>
        <v/>
      </c>
      <c r="CW193" s="66" t="str">
        <f t="shared" si="440"/>
        <v/>
      </c>
      <c r="CX193" s="66" t="str">
        <f t="shared" si="441"/>
        <v/>
      </c>
      <c r="CY193" s="66" t="str">
        <f t="shared" si="493"/>
        <v/>
      </c>
    </row>
    <row r="194" spans="1:103" s="38" customFormat="1" ht="15" hidden="1" customHeight="1" x14ac:dyDescent="0.2">
      <c r="A194" s="31" t="str">
        <f t="shared" si="442"/>
        <v/>
      </c>
      <c r="B194" s="96" t="str">
        <f t="shared" si="443"/>
        <v/>
      </c>
      <c r="C194" s="96" t="str">
        <f t="shared" si="444"/>
        <v/>
      </c>
      <c r="D194" s="96" t="str">
        <f t="shared" si="445"/>
        <v/>
      </c>
      <c r="E194" s="96" t="str">
        <f t="shared" si="446"/>
        <v/>
      </c>
      <c r="F194" s="96" t="str">
        <f t="shared" si="447"/>
        <v/>
      </c>
      <c r="G194" s="96" t="str">
        <v/>
      </c>
      <c r="H194" s="96" t="str">
        <v/>
      </c>
      <c r="I194" s="96" t="str">
        <v/>
      </c>
      <c r="J194" s="96" t="str">
        <v/>
      </c>
      <c r="K194" s="96" t="str">
        <v/>
      </c>
      <c r="L194" s="28" t="str">
        <v/>
      </c>
      <c r="M194" s="82" t="str">
        <f t="shared" si="448"/>
        <v/>
      </c>
      <c r="N194" s="75" t="str">
        <f t="shared" ref="N194:Y194" si="561">IF($M194="","",N31*N167)</f>
        <v/>
      </c>
      <c r="O194" s="75" t="str">
        <f t="shared" si="561"/>
        <v/>
      </c>
      <c r="P194" s="75" t="str">
        <f t="shared" si="561"/>
        <v/>
      </c>
      <c r="Q194" s="75" t="str">
        <f t="shared" si="561"/>
        <v/>
      </c>
      <c r="R194" s="75" t="str">
        <f t="shared" si="561"/>
        <v/>
      </c>
      <c r="S194" s="75" t="str">
        <f t="shared" si="561"/>
        <v/>
      </c>
      <c r="T194" s="75" t="str">
        <f t="shared" si="561"/>
        <v/>
      </c>
      <c r="U194" s="75" t="str">
        <f t="shared" si="561"/>
        <v/>
      </c>
      <c r="V194" s="75" t="str">
        <f t="shared" si="561"/>
        <v/>
      </c>
      <c r="W194" s="75" t="str">
        <f t="shared" si="561"/>
        <v/>
      </c>
      <c r="X194" s="75" t="str">
        <f t="shared" si="561"/>
        <v/>
      </c>
      <c r="Y194" s="75" t="str">
        <f t="shared" si="561"/>
        <v/>
      </c>
      <c r="Z194" s="70" t="str">
        <f t="shared" si="450"/>
        <v/>
      </c>
      <c r="AA194" s="107"/>
      <c r="AB194" s="107"/>
      <c r="AC194" s="107"/>
      <c r="AD194" s="107"/>
      <c r="AE194" s="107"/>
      <c r="AF194" s="107"/>
      <c r="AG194" s="107"/>
      <c r="AH194" s="107"/>
      <c r="AI194" s="107"/>
      <c r="AJ194" s="107"/>
      <c r="AK194" s="107"/>
      <c r="AL194" s="107"/>
      <c r="AM194" s="107"/>
      <c r="AN194" s="107"/>
      <c r="AP194" s="65" t="str">
        <f t="shared" si="433"/>
        <v/>
      </c>
      <c r="AQ194" s="75" t="str">
        <f t="shared" ref="AQ194:BB194" si="562">IF($M194="","",AQ31*AQ167)</f>
        <v/>
      </c>
      <c r="AR194" s="75" t="str">
        <f t="shared" si="562"/>
        <v/>
      </c>
      <c r="AS194" s="75" t="str">
        <f t="shared" si="562"/>
        <v/>
      </c>
      <c r="AT194" s="75" t="str">
        <f t="shared" si="562"/>
        <v/>
      </c>
      <c r="AU194" s="75" t="str">
        <f t="shared" si="562"/>
        <v/>
      </c>
      <c r="AV194" s="75" t="str">
        <f t="shared" si="562"/>
        <v/>
      </c>
      <c r="AW194" s="75" t="str">
        <f t="shared" si="562"/>
        <v/>
      </c>
      <c r="AX194" s="75" t="str">
        <f t="shared" si="562"/>
        <v/>
      </c>
      <c r="AY194" s="75" t="str">
        <f t="shared" si="562"/>
        <v/>
      </c>
      <c r="AZ194" s="75" t="str">
        <f t="shared" si="562"/>
        <v/>
      </c>
      <c r="BA194" s="75" t="str">
        <f t="shared" si="562"/>
        <v/>
      </c>
      <c r="BB194" s="75" t="str">
        <f t="shared" si="562"/>
        <v/>
      </c>
      <c r="BC194" s="70" t="str">
        <f t="shared" si="465"/>
        <v/>
      </c>
      <c r="BD194" s="107"/>
      <c r="BE194" s="107"/>
      <c r="BF194" s="107"/>
      <c r="BG194" s="107"/>
      <c r="BH194" s="107"/>
      <c r="BI194" s="107"/>
      <c r="BJ194" s="107"/>
      <c r="BK194" s="107"/>
      <c r="BL194" s="107"/>
      <c r="BM194" s="107"/>
      <c r="BN194" s="107"/>
      <c r="BO194" s="107"/>
      <c r="BP194" s="107"/>
      <c r="BQ194" s="107"/>
      <c r="BS194" s="65" t="str">
        <f t="shared" si="436"/>
        <v/>
      </c>
      <c r="BT194" s="75" t="str">
        <f t="shared" ref="BT194:CE194" si="563">IF($M194="","",BT31*BT167)</f>
        <v/>
      </c>
      <c r="BU194" s="75" t="str">
        <f t="shared" si="563"/>
        <v/>
      </c>
      <c r="BV194" s="75" t="str">
        <f t="shared" si="563"/>
        <v/>
      </c>
      <c r="BW194" s="75" t="str">
        <f t="shared" si="563"/>
        <v/>
      </c>
      <c r="BX194" s="75" t="str">
        <f t="shared" si="563"/>
        <v/>
      </c>
      <c r="BY194" s="75" t="str">
        <f t="shared" si="563"/>
        <v/>
      </c>
      <c r="BZ194" s="75" t="str">
        <f t="shared" si="563"/>
        <v/>
      </c>
      <c r="CA194" s="75" t="str">
        <f t="shared" si="563"/>
        <v/>
      </c>
      <c r="CB194" s="75" t="str">
        <f t="shared" si="563"/>
        <v/>
      </c>
      <c r="CC194" s="75" t="str">
        <f t="shared" si="563"/>
        <v/>
      </c>
      <c r="CD194" s="75" t="str">
        <f t="shared" si="563"/>
        <v/>
      </c>
      <c r="CE194" s="75" t="str">
        <f t="shared" si="563"/>
        <v/>
      </c>
      <c r="CF194" s="70" t="str">
        <f t="shared" si="480"/>
        <v/>
      </c>
      <c r="CG194" s="107"/>
      <c r="CH194" s="107"/>
      <c r="CI194" s="107"/>
      <c r="CJ194" s="107"/>
      <c r="CK194" s="107"/>
      <c r="CL194" s="107"/>
      <c r="CM194" s="107"/>
      <c r="CN194" s="107"/>
      <c r="CO194" s="107"/>
      <c r="CP194" s="107"/>
      <c r="CQ194" s="107"/>
      <c r="CR194" s="107"/>
      <c r="CS194" s="107"/>
      <c r="CT194" s="107"/>
      <c r="CU194" s="40"/>
      <c r="CV194" s="65" t="str">
        <f t="shared" si="439"/>
        <v/>
      </c>
      <c r="CW194" s="66" t="str">
        <f t="shared" si="440"/>
        <v/>
      </c>
      <c r="CX194" s="66" t="str">
        <f t="shared" si="441"/>
        <v/>
      </c>
      <c r="CY194" s="66" t="str">
        <f t="shared" si="493"/>
        <v/>
      </c>
    </row>
    <row r="195" spans="1:103" s="38" customFormat="1" ht="15" customHeight="1" x14ac:dyDescent="0.2">
      <c r="B195" s="28"/>
      <c r="C195" s="28"/>
      <c r="D195" s="28"/>
      <c r="E195" s="28"/>
      <c r="F195" s="28"/>
      <c r="G195" s="28"/>
      <c r="H195" s="28"/>
      <c r="I195" s="28"/>
      <c r="J195" s="28"/>
      <c r="K195" s="28"/>
      <c r="L195" s="28"/>
      <c r="M195" s="63" t="s">
        <v>21</v>
      </c>
      <c r="N195" s="63">
        <f>SUM(N170:N194)</f>
        <v>32846</v>
      </c>
      <c r="O195" s="63">
        <f t="shared" ref="O195:Y195" si="564">SUM(O170:O194)</f>
        <v>29710.25</v>
      </c>
      <c r="P195" s="63">
        <f t="shared" si="564"/>
        <v>32519.5</v>
      </c>
      <c r="Q195" s="63">
        <f t="shared" si="564"/>
        <v>38301.25</v>
      </c>
      <c r="R195" s="63">
        <f t="shared" si="564"/>
        <v>40336</v>
      </c>
      <c r="S195" s="63">
        <f t="shared" si="564"/>
        <v>45343.25</v>
      </c>
      <c r="T195" s="63">
        <f t="shared" si="564"/>
        <v>45343.25</v>
      </c>
      <c r="U195" s="63">
        <f t="shared" si="564"/>
        <v>46281</v>
      </c>
      <c r="V195" s="63">
        <f t="shared" si="564"/>
        <v>49640.75</v>
      </c>
      <c r="W195" s="63">
        <f t="shared" si="564"/>
        <v>53851</v>
      </c>
      <c r="X195" s="63">
        <f t="shared" si="564"/>
        <v>60595.5</v>
      </c>
      <c r="Y195" s="63">
        <f t="shared" si="564"/>
        <v>60595.5</v>
      </c>
      <c r="Z195" s="63">
        <f>SUM(Z170:Z194)</f>
        <v>535363.25</v>
      </c>
      <c r="AA195" s="108"/>
      <c r="AB195" s="108"/>
      <c r="AC195" s="108"/>
      <c r="AD195" s="108"/>
      <c r="AE195" s="108"/>
      <c r="AF195" s="108"/>
      <c r="AG195" s="108"/>
      <c r="AH195" s="108"/>
      <c r="AI195" s="108"/>
      <c r="AJ195" s="108"/>
      <c r="AK195" s="108"/>
      <c r="AL195" s="108"/>
      <c r="AM195" s="108"/>
      <c r="AN195" s="108"/>
      <c r="AP195" s="63" t="s">
        <v>21</v>
      </c>
      <c r="AQ195" s="63">
        <f>SUM(AQ170:AQ194)</f>
        <v>27593.5</v>
      </c>
      <c r="AR195" s="63">
        <f t="shared" ref="AR195:BB195" si="565">SUM(AR170:AR194)</f>
        <v>25883.126666666667</v>
      </c>
      <c r="AS195" s="63">
        <f t="shared" si="565"/>
        <v>36086.520833333336</v>
      </c>
      <c r="AT195" s="63">
        <f t="shared" si="565"/>
        <v>44563.083333333336</v>
      </c>
      <c r="AU195" s="63">
        <f t="shared" si="565"/>
        <v>45145.25</v>
      </c>
      <c r="AV195" s="63">
        <f t="shared" si="565"/>
        <v>53190.596273291929</v>
      </c>
      <c r="AW195" s="63">
        <f t="shared" si="565"/>
        <v>50180.861111111109</v>
      </c>
      <c r="AX195" s="63">
        <f t="shared" si="565"/>
        <v>47532.574999999997</v>
      </c>
      <c r="AY195" s="63">
        <f t="shared" si="565"/>
        <v>54688.242222222223</v>
      </c>
      <c r="AZ195" s="63">
        <f t="shared" si="565"/>
        <v>60261</v>
      </c>
      <c r="BA195" s="63">
        <f t="shared" si="565"/>
        <v>69293.962962962964</v>
      </c>
      <c r="BB195" s="63">
        <f t="shared" si="565"/>
        <v>62089.857142857145</v>
      </c>
      <c r="BC195" s="63">
        <f>SUM(BC170:BC194)</f>
        <v>576508.57554577873</v>
      </c>
      <c r="BD195" s="108"/>
      <c r="BE195" s="108"/>
      <c r="BF195" s="108"/>
      <c r="BG195" s="108"/>
      <c r="BH195" s="108"/>
      <c r="BI195" s="108"/>
      <c r="BJ195" s="108"/>
      <c r="BK195" s="108"/>
      <c r="BL195" s="108"/>
      <c r="BM195" s="108"/>
      <c r="BN195" s="108"/>
      <c r="BO195" s="108"/>
      <c r="BP195" s="108"/>
      <c r="BQ195" s="108"/>
      <c r="BS195" s="63" t="s">
        <v>21</v>
      </c>
      <c r="BT195" s="63">
        <f>SUM(BT170:BT194)</f>
        <v>27205.780219780219</v>
      </c>
      <c r="BU195" s="63">
        <f t="shared" ref="BU195:CE195" si="566">SUM(BU170:BU194)</f>
        <v>24073.526769230768</v>
      </c>
      <c r="BV195" s="63">
        <f t="shared" si="566"/>
        <v>39752.62946428571</v>
      </c>
      <c r="BW195" s="63">
        <f t="shared" si="566"/>
        <v>51312.281250000007</v>
      </c>
      <c r="BX195" s="63">
        <f t="shared" si="566"/>
        <v>50583.708333333336</v>
      </c>
      <c r="BY195" s="63">
        <f t="shared" si="566"/>
        <v>61024.371946169776</v>
      </c>
      <c r="BZ195" s="63">
        <f t="shared" si="566"/>
        <v>54913.727272727272</v>
      </c>
      <c r="CA195" s="63">
        <f t="shared" si="566"/>
        <v>49126.739583333336</v>
      </c>
      <c r="CB195" s="63">
        <f t="shared" si="566"/>
        <v>59966.990909090906</v>
      </c>
      <c r="CC195" s="63">
        <f t="shared" si="566"/>
        <v>67080.957692307697</v>
      </c>
      <c r="CD195" s="63">
        <f t="shared" si="566"/>
        <v>77902.199074074073</v>
      </c>
      <c r="CE195" s="63">
        <f t="shared" si="566"/>
        <v>63549.607142857145</v>
      </c>
      <c r="CF195" s="63">
        <f>SUM(CF170:CF194)</f>
        <v>626492.51965719031</v>
      </c>
      <c r="CG195" s="108"/>
      <c r="CH195" s="108"/>
      <c r="CI195" s="108"/>
      <c r="CJ195" s="108"/>
      <c r="CK195" s="108"/>
      <c r="CL195" s="108"/>
      <c r="CM195" s="108"/>
      <c r="CN195" s="108"/>
      <c r="CO195" s="108"/>
      <c r="CP195" s="108"/>
      <c r="CQ195" s="108"/>
      <c r="CR195" s="108"/>
      <c r="CS195" s="108"/>
      <c r="CT195" s="108"/>
      <c r="CV195" s="63" t="s">
        <v>21</v>
      </c>
      <c r="CW195" s="63">
        <f>BC195-Z195</f>
        <v>41145.325545778731</v>
      </c>
      <c r="CX195" s="63">
        <f>Z195-BB195</f>
        <v>473273.39285714284</v>
      </c>
      <c r="CY195" s="63">
        <f>CF195-BC195</f>
        <v>49983.944111411576</v>
      </c>
    </row>
    <row r="196" spans="1:103" s="38" customFormat="1" ht="15" customHeight="1" x14ac:dyDescent="0.2">
      <c r="B196" s="28"/>
      <c r="C196" s="28"/>
      <c r="D196" s="28"/>
      <c r="E196" s="28"/>
      <c r="F196" s="28"/>
      <c r="G196" s="28"/>
      <c r="H196" s="28"/>
      <c r="I196" s="28"/>
      <c r="J196" s="28"/>
      <c r="K196" s="28"/>
      <c r="L196" s="28"/>
      <c r="Z196" s="40"/>
      <c r="AA196" s="103"/>
      <c r="AB196" s="103"/>
      <c r="AC196" s="103"/>
      <c r="AD196" s="103"/>
      <c r="AE196" s="103"/>
      <c r="AF196" s="103"/>
      <c r="AG196" s="103"/>
      <c r="AH196" s="103"/>
      <c r="AI196" s="103"/>
      <c r="AJ196" s="103"/>
      <c r="AK196" s="103"/>
      <c r="AL196" s="103"/>
      <c r="AM196" s="103"/>
      <c r="AN196" s="103"/>
      <c r="AQ196" s="39"/>
      <c r="BD196" s="121"/>
      <c r="BE196"/>
      <c r="BF196"/>
      <c r="BG196"/>
      <c r="BH196"/>
      <c r="BI196"/>
      <c r="BJ196"/>
      <c r="BK196"/>
      <c r="BL196"/>
      <c r="BM196"/>
      <c r="BN196"/>
      <c r="BO196"/>
      <c r="BP196"/>
      <c r="BQ196"/>
      <c r="CG196" s="121"/>
      <c r="CH196" s="121"/>
      <c r="CI196" s="121"/>
      <c r="CJ196" s="121"/>
      <c r="CK196" s="121"/>
      <c r="CL196" s="121"/>
      <c r="CM196" s="121"/>
      <c r="CN196" s="121"/>
      <c r="CO196" s="121"/>
      <c r="CP196" s="121"/>
      <c r="CQ196" s="121"/>
      <c r="CR196" s="121"/>
      <c r="CS196" s="121"/>
      <c r="CT196" s="121"/>
    </row>
    <row r="197" spans="1:103" s="31" customFormat="1" ht="15" hidden="1" customHeight="1" x14ac:dyDescent="0.2">
      <c r="B197" s="26"/>
      <c r="C197" s="26"/>
      <c r="D197" s="26"/>
      <c r="E197" s="26"/>
      <c r="F197" s="26"/>
      <c r="G197" s="26"/>
      <c r="H197" s="26"/>
      <c r="I197" s="26"/>
      <c r="J197" s="26"/>
      <c r="K197" s="26"/>
      <c r="L197" s="26"/>
      <c r="M197" s="32"/>
      <c r="N197" s="32"/>
      <c r="O197" s="32"/>
      <c r="P197" s="32"/>
      <c r="Q197" s="32"/>
      <c r="R197" s="32"/>
      <c r="S197" s="32"/>
      <c r="T197" s="32"/>
      <c r="U197" s="32"/>
      <c r="V197" s="32"/>
      <c r="W197" s="32"/>
      <c r="X197" s="32"/>
      <c r="Y197" s="32"/>
      <c r="Z197" s="32"/>
      <c r="AA197" s="109"/>
      <c r="AB197" s="109"/>
      <c r="AC197" s="109"/>
      <c r="AD197" s="109"/>
      <c r="AE197" s="109"/>
      <c r="AF197" s="109"/>
      <c r="AG197" s="109"/>
      <c r="AH197" s="109"/>
      <c r="AI197" s="109"/>
      <c r="AJ197" s="109"/>
      <c r="AK197" s="109"/>
      <c r="AL197" s="109"/>
      <c r="AM197" s="109"/>
      <c r="AN197" s="109"/>
      <c r="AO197" s="37"/>
      <c r="AP197" s="32"/>
      <c r="AQ197" s="36"/>
      <c r="AR197" s="36"/>
      <c r="AS197" s="36"/>
      <c r="AT197" s="36"/>
      <c r="AU197" s="36"/>
      <c r="AV197" s="36"/>
      <c r="AW197" s="36"/>
      <c r="AX197" s="36"/>
      <c r="AY197" s="36"/>
      <c r="AZ197" s="36"/>
      <c r="BA197" s="36"/>
      <c r="BB197" s="36"/>
      <c r="BC197" s="32"/>
      <c r="BD197" s="109"/>
      <c r="BE197"/>
      <c r="BF197"/>
      <c r="BG197"/>
      <c r="BH197"/>
      <c r="BI197"/>
      <c r="BJ197"/>
      <c r="BK197"/>
      <c r="BL197"/>
      <c r="BM197"/>
      <c r="BN197"/>
      <c r="BO197"/>
      <c r="BP197"/>
      <c r="BQ197"/>
      <c r="BR197" s="35"/>
      <c r="BS197" s="32"/>
      <c r="BT197" s="32"/>
      <c r="BU197" s="32"/>
      <c r="BV197" s="32"/>
      <c r="BW197" s="32"/>
      <c r="BX197" s="32"/>
      <c r="BY197" s="32"/>
      <c r="BZ197" s="32"/>
      <c r="CA197" s="32"/>
      <c r="CB197" s="32"/>
      <c r="CC197" s="32"/>
      <c r="CD197" s="32"/>
      <c r="CE197" s="32"/>
      <c r="CF197" s="32"/>
      <c r="CG197" s="109"/>
      <c r="CH197" s="109"/>
      <c r="CI197" s="109"/>
      <c r="CJ197" s="109"/>
      <c r="CK197" s="109"/>
      <c r="CL197" s="109"/>
      <c r="CM197" s="109"/>
      <c r="CN197" s="109"/>
      <c r="CO197" s="109"/>
      <c r="CP197" s="109"/>
      <c r="CQ197" s="109"/>
      <c r="CR197" s="109"/>
      <c r="CS197" s="109"/>
      <c r="CT197" s="109"/>
      <c r="CV197" s="32"/>
    </row>
    <row r="198" spans="1:103" s="31" customFormat="1" ht="18" hidden="1" customHeight="1" x14ac:dyDescent="0.2">
      <c r="B198" s="26"/>
      <c r="C198" s="26"/>
      <c r="D198" s="26"/>
      <c r="E198" s="26"/>
      <c r="F198" s="26"/>
      <c r="G198" s="26"/>
      <c r="H198" s="26"/>
      <c r="I198" s="26"/>
      <c r="J198" s="26"/>
      <c r="K198" s="26"/>
      <c r="L198" s="26"/>
      <c r="M198" s="32"/>
      <c r="N198" s="32"/>
      <c r="O198" s="32"/>
      <c r="P198" s="32"/>
      <c r="Q198" s="32"/>
      <c r="R198" s="32"/>
      <c r="S198" s="32"/>
      <c r="T198" s="32"/>
      <c r="U198" s="32"/>
      <c r="V198" s="32"/>
      <c r="W198" s="32"/>
      <c r="X198" s="32"/>
      <c r="Y198" s="32"/>
      <c r="Z198" s="32"/>
      <c r="AA198" s="109"/>
      <c r="AB198" s="109"/>
      <c r="AC198" s="109"/>
      <c r="AD198" s="109"/>
      <c r="AE198" s="109"/>
      <c r="AF198" s="109"/>
      <c r="AG198" s="109"/>
      <c r="AH198" s="109"/>
      <c r="AI198" s="109"/>
      <c r="AJ198" s="109"/>
      <c r="AK198" s="109"/>
      <c r="AL198" s="109"/>
      <c r="AM198" s="109"/>
      <c r="AN198" s="109"/>
      <c r="AO198" s="34"/>
      <c r="AP198" s="32"/>
      <c r="AQ198" s="32"/>
      <c r="AR198" s="32"/>
      <c r="AS198" s="32"/>
      <c r="AT198" s="32"/>
      <c r="AU198" s="32"/>
      <c r="AV198" s="32"/>
      <c r="AW198" s="32"/>
      <c r="AX198" s="32"/>
      <c r="AY198" s="32"/>
      <c r="AZ198" s="32"/>
      <c r="BA198" s="32"/>
      <c r="BB198" s="33"/>
      <c r="BC198" s="32"/>
      <c r="BD198" s="109"/>
      <c r="BE198"/>
      <c r="BF198"/>
      <c r="BG198"/>
      <c r="BH198"/>
      <c r="BI198"/>
      <c r="BJ198"/>
      <c r="BK198"/>
      <c r="BL198"/>
      <c r="BM198"/>
      <c r="BN198"/>
      <c r="BO198"/>
      <c r="BP198"/>
      <c r="BQ198"/>
      <c r="BR198" s="34"/>
      <c r="BS198" s="32"/>
      <c r="BT198" s="32"/>
      <c r="BU198" s="32"/>
      <c r="BV198" s="32"/>
      <c r="BW198" s="32"/>
      <c r="BX198" s="32"/>
      <c r="BY198" s="32"/>
      <c r="BZ198" s="32"/>
      <c r="CA198" s="32"/>
      <c r="CB198" s="32"/>
      <c r="CC198" s="32"/>
      <c r="CD198" s="32"/>
      <c r="CE198" s="33"/>
      <c r="CF198" s="32"/>
      <c r="CG198" s="109"/>
      <c r="CH198" s="109"/>
      <c r="CI198" s="109"/>
      <c r="CJ198" s="109"/>
      <c r="CK198" s="109"/>
      <c r="CL198" s="109"/>
      <c r="CM198" s="109"/>
      <c r="CN198" s="109"/>
      <c r="CO198" s="109"/>
      <c r="CP198" s="109"/>
      <c r="CQ198" s="109"/>
      <c r="CR198" s="109"/>
      <c r="CS198" s="109"/>
      <c r="CT198" s="109"/>
      <c r="CV198" s="32"/>
    </row>
    <row r="199" spans="1:103" ht="14.25" hidden="1" x14ac:dyDescent="0.2">
      <c r="N199" s="26"/>
      <c r="AP199" s="27"/>
      <c r="AQ199" s="26"/>
      <c r="BE199"/>
      <c r="BF199"/>
      <c r="BG199"/>
      <c r="BH199"/>
      <c r="BI199"/>
      <c r="BJ199"/>
      <c r="BK199"/>
      <c r="BL199"/>
      <c r="BM199"/>
      <c r="BN199"/>
      <c r="BO199"/>
      <c r="BP199"/>
      <c r="BQ199"/>
    </row>
    <row r="200" spans="1:103" ht="14.25" hidden="1" x14ac:dyDescent="0.2">
      <c r="N200" s="26"/>
      <c r="AP200" s="27"/>
      <c r="AQ200" s="26"/>
      <c r="BE200"/>
      <c r="BF200"/>
      <c r="BG200"/>
      <c r="BH200"/>
      <c r="BI200"/>
      <c r="BJ200"/>
      <c r="BK200"/>
      <c r="BL200"/>
      <c r="BM200"/>
      <c r="BN200"/>
      <c r="BO200"/>
      <c r="BP200"/>
      <c r="BQ200"/>
    </row>
    <row r="201" spans="1:103" ht="14.25" hidden="1" x14ac:dyDescent="0.2">
      <c r="BE201"/>
      <c r="BF201"/>
      <c r="BG201"/>
      <c r="BH201"/>
      <c r="BI201"/>
      <c r="BJ201"/>
      <c r="BK201"/>
      <c r="BL201"/>
      <c r="BM201"/>
      <c r="BN201"/>
      <c r="BO201"/>
      <c r="BP201"/>
      <c r="BQ201"/>
    </row>
    <row r="202" spans="1:103" ht="14.25" hidden="1" x14ac:dyDescent="0.2">
      <c r="BE202"/>
      <c r="BF202"/>
      <c r="BG202"/>
      <c r="BH202"/>
      <c r="BI202"/>
      <c r="BJ202"/>
      <c r="BK202"/>
      <c r="BL202"/>
      <c r="BM202"/>
      <c r="BN202"/>
      <c r="BO202"/>
      <c r="BP202"/>
      <c r="BQ202"/>
    </row>
    <row r="203" spans="1:103" ht="18" hidden="1" customHeight="1" x14ac:dyDescent="0.2">
      <c r="M203" s="28"/>
      <c r="N203" s="30"/>
      <c r="O203" s="28"/>
      <c r="P203" s="28"/>
      <c r="Q203" s="28"/>
      <c r="R203" s="28"/>
      <c r="S203" s="28"/>
      <c r="T203" s="28"/>
      <c r="U203" s="28"/>
      <c r="V203" s="28"/>
      <c r="W203" s="28"/>
      <c r="X203" s="28"/>
      <c r="Y203" s="28"/>
      <c r="Z203" s="30"/>
      <c r="AA203" s="111"/>
      <c r="AB203" s="111"/>
      <c r="AC203" s="111"/>
      <c r="AD203" s="111"/>
      <c r="AE203" s="111"/>
      <c r="AF203" s="111"/>
      <c r="AG203" s="111"/>
      <c r="AH203" s="111"/>
      <c r="AI203" s="111"/>
      <c r="AJ203" s="111"/>
      <c r="AK203" s="111"/>
      <c r="AL203" s="111"/>
      <c r="AM203" s="111"/>
      <c r="AN203" s="111"/>
      <c r="AP203" s="28"/>
      <c r="AQ203" s="29"/>
      <c r="BE203"/>
      <c r="BF203"/>
      <c r="BG203"/>
      <c r="BH203"/>
      <c r="BI203"/>
      <c r="BJ203"/>
      <c r="BK203"/>
      <c r="BL203"/>
      <c r="BM203"/>
      <c r="BN203"/>
      <c r="BO203"/>
      <c r="BP203"/>
      <c r="BQ203"/>
      <c r="BS203" s="28"/>
      <c r="CV203" s="28"/>
    </row>
    <row r="208" spans="1:103" ht="14.25" hidden="1" x14ac:dyDescent="0.2">
      <c r="T208"/>
      <c r="U208"/>
      <c r="V208"/>
      <c r="W208"/>
      <c r="X208"/>
      <c r="Y208"/>
      <c r="Z208"/>
      <c r="AA208" s="112"/>
      <c r="AB208" s="112"/>
      <c r="AC208" s="112"/>
      <c r="AD208" s="112"/>
      <c r="AE208" s="112"/>
      <c r="AF208" s="112"/>
      <c r="AG208" s="112"/>
      <c r="AH208" s="112"/>
      <c r="AI208" s="112"/>
      <c r="AJ208" s="112"/>
      <c r="AK208" s="112"/>
      <c r="AL208" s="112"/>
      <c r="AM208" s="112"/>
      <c r="AN208" s="112"/>
      <c r="AO208"/>
      <c r="AP208"/>
    </row>
    <row r="209" spans="13:100" ht="18" hidden="1" customHeight="1" x14ac:dyDescent="0.2">
      <c r="M209" s="28"/>
      <c r="N209" s="30"/>
      <c r="O209" s="28"/>
      <c r="P209" s="28"/>
      <c r="Q209" s="28"/>
      <c r="R209" s="28"/>
      <c r="S209" s="28"/>
      <c r="U209" s="80">
        <v>1</v>
      </c>
      <c r="V209" s="80">
        <v>3</v>
      </c>
      <c r="W209" s="80">
        <v>5</v>
      </c>
      <c r="X209" s="80">
        <v>10</v>
      </c>
      <c r="Y209" s="80">
        <v>15</v>
      </c>
      <c r="Z209" s="80">
        <v>20</v>
      </c>
      <c r="AA209" s="113"/>
      <c r="AB209" s="113"/>
      <c r="AC209" s="113"/>
      <c r="AD209" s="113"/>
      <c r="AE209" s="113"/>
      <c r="AF209" s="113"/>
      <c r="AG209" s="113"/>
      <c r="AH209" s="113"/>
      <c r="AI209" s="113"/>
      <c r="AJ209" s="113"/>
      <c r="AK209" s="113"/>
      <c r="AL209" s="113"/>
      <c r="AM209" s="113"/>
      <c r="AN209" s="113"/>
      <c r="AO209" s="81"/>
      <c r="AP209" s="80">
        <v>25</v>
      </c>
      <c r="AQ209" s="29"/>
      <c r="AT209" s="96"/>
      <c r="AU209" s="96"/>
      <c r="AV209" s="96"/>
      <c r="BS209" s="28"/>
      <c r="CV209" s="28"/>
    </row>
    <row r="210" spans="13:100" hidden="1" x14ac:dyDescent="0.2">
      <c r="T210" s="28">
        <v>7</v>
      </c>
      <c r="U210" s="30">
        <f t="shared" ref="U210:Z216" si="567">$T210+(U$209-1)</f>
        <v>7</v>
      </c>
      <c r="V210" s="30">
        <f t="shared" si="567"/>
        <v>9</v>
      </c>
      <c r="W210" s="30">
        <f t="shared" si="567"/>
        <v>11</v>
      </c>
      <c r="X210" s="30">
        <f t="shared" si="567"/>
        <v>16</v>
      </c>
      <c r="Y210" s="30">
        <f t="shared" si="567"/>
        <v>21</v>
      </c>
      <c r="Z210" s="30">
        <f t="shared" si="567"/>
        <v>26</v>
      </c>
      <c r="AA210" s="111"/>
      <c r="AB210" s="111"/>
      <c r="AC210" s="111"/>
      <c r="AD210" s="111"/>
      <c r="AE210" s="111"/>
      <c r="AF210" s="111"/>
      <c r="AG210" s="111"/>
      <c r="AH210" s="111"/>
      <c r="AI210" s="111"/>
      <c r="AJ210" s="111"/>
      <c r="AK210" s="111"/>
      <c r="AL210" s="111"/>
      <c r="AM210" s="111"/>
      <c r="AN210" s="111"/>
      <c r="AO210" s="30"/>
      <c r="AP210" s="30">
        <f t="shared" ref="AP210:AP216" si="568">$T210+(AP$209-1)</f>
        <v>31</v>
      </c>
      <c r="AT210" s="96"/>
      <c r="AU210" s="96"/>
      <c r="AV210" s="96"/>
    </row>
    <row r="211" spans="13:100" hidden="1" x14ac:dyDescent="0.2">
      <c r="T211" s="26">
        <v>34</v>
      </c>
      <c r="U211" s="30">
        <f t="shared" si="567"/>
        <v>34</v>
      </c>
      <c r="V211" s="30">
        <f t="shared" si="567"/>
        <v>36</v>
      </c>
      <c r="W211" s="30">
        <f t="shared" si="567"/>
        <v>38</v>
      </c>
      <c r="X211" s="30">
        <f t="shared" si="567"/>
        <v>43</v>
      </c>
      <c r="Y211" s="30">
        <f t="shared" si="567"/>
        <v>48</v>
      </c>
      <c r="Z211" s="30">
        <f t="shared" si="567"/>
        <v>53</v>
      </c>
      <c r="AA211" s="111"/>
      <c r="AB211" s="111"/>
      <c r="AC211" s="111"/>
      <c r="AD211" s="111"/>
      <c r="AE211" s="111"/>
      <c r="AF211" s="111"/>
      <c r="AG211" s="111"/>
      <c r="AH211" s="111"/>
      <c r="AI211" s="111"/>
      <c r="AJ211" s="111"/>
      <c r="AK211" s="111"/>
      <c r="AL211" s="111"/>
      <c r="AM211" s="111"/>
      <c r="AN211" s="111"/>
      <c r="AO211" s="30"/>
      <c r="AP211" s="30">
        <f t="shared" si="568"/>
        <v>58</v>
      </c>
      <c r="AT211" s="96"/>
      <c r="AU211" s="96"/>
      <c r="AV211" s="96"/>
    </row>
    <row r="212" spans="13:100" hidden="1" x14ac:dyDescent="0.2">
      <c r="T212" s="26">
        <v>61</v>
      </c>
      <c r="U212" s="30">
        <f t="shared" si="567"/>
        <v>61</v>
      </c>
      <c r="V212" s="30">
        <f t="shared" si="567"/>
        <v>63</v>
      </c>
      <c r="W212" s="30">
        <f t="shared" si="567"/>
        <v>65</v>
      </c>
      <c r="X212" s="30">
        <f t="shared" si="567"/>
        <v>70</v>
      </c>
      <c r="Y212" s="30">
        <f t="shared" si="567"/>
        <v>75</v>
      </c>
      <c r="Z212" s="30">
        <f t="shared" si="567"/>
        <v>80</v>
      </c>
      <c r="AA212" s="111"/>
      <c r="AB212" s="111"/>
      <c r="AC212" s="111"/>
      <c r="AD212" s="111"/>
      <c r="AE212" s="111"/>
      <c r="AF212" s="111"/>
      <c r="AG212" s="111"/>
      <c r="AH212" s="111"/>
      <c r="AI212" s="111"/>
      <c r="AJ212" s="111"/>
      <c r="AK212" s="111"/>
      <c r="AL212" s="111"/>
      <c r="AM212" s="111"/>
      <c r="AN212" s="111"/>
      <c r="AO212" s="30"/>
      <c r="AP212" s="30">
        <f t="shared" si="568"/>
        <v>85</v>
      </c>
      <c r="AT212" s="96"/>
      <c r="AU212" s="96"/>
      <c r="AV212" s="96"/>
    </row>
    <row r="213" spans="13:100" hidden="1" x14ac:dyDescent="0.2">
      <c r="T213" s="26">
        <v>88</v>
      </c>
      <c r="U213" s="30">
        <f t="shared" si="567"/>
        <v>88</v>
      </c>
      <c r="V213" s="30">
        <f t="shared" si="567"/>
        <v>90</v>
      </c>
      <c r="W213" s="30">
        <f t="shared" si="567"/>
        <v>92</v>
      </c>
      <c r="X213" s="30">
        <f t="shared" si="567"/>
        <v>97</v>
      </c>
      <c r="Y213" s="30">
        <f t="shared" si="567"/>
        <v>102</v>
      </c>
      <c r="Z213" s="30">
        <f t="shared" si="567"/>
        <v>107</v>
      </c>
      <c r="AA213" s="111"/>
      <c r="AB213" s="111"/>
      <c r="AC213" s="111"/>
      <c r="AD213" s="111"/>
      <c r="AE213" s="111"/>
      <c r="AF213" s="111"/>
      <c r="AG213" s="111"/>
      <c r="AH213" s="111"/>
      <c r="AI213" s="111"/>
      <c r="AJ213" s="111"/>
      <c r="AK213" s="111"/>
      <c r="AL213" s="111"/>
      <c r="AM213" s="111"/>
      <c r="AN213" s="111"/>
      <c r="AO213" s="30"/>
      <c r="AP213" s="30">
        <f t="shared" si="568"/>
        <v>112</v>
      </c>
      <c r="AT213" s="96"/>
      <c r="AU213" s="96"/>
      <c r="AV213" s="96"/>
    </row>
    <row r="214" spans="13:100" hidden="1" x14ac:dyDescent="0.2">
      <c r="T214" s="26">
        <v>116</v>
      </c>
      <c r="U214" s="30">
        <f t="shared" si="567"/>
        <v>116</v>
      </c>
      <c r="V214" s="30">
        <f t="shared" si="567"/>
        <v>118</v>
      </c>
      <c r="W214" s="30">
        <f t="shared" si="567"/>
        <v>120</v>
      </c>
      <c r="X214" s="30">
        <f t="shared" si="567"/>
        <v>125</v>
      </c>
      <c r="Y214" s="30">
        <f t="shared" si="567"/>
        <v>130</v>
      </c>
      <c r="Z214" s="30">
        <f t="shared" si="567"/>
        <v>135</v>
      </c>
      <c r="AA214" s="111"/>
      <c r="AB214" s="111"/>
      <c r="AC214" s="111"/>
      <c r="AD214" s="111"/>
      <c r="AE214" s="111"/>
      <c r="AF214" s="111"/>
      <c r="AG214" s="111"/>
      <c r="AH214" s="111"/>
      <c r="AI214" s="111"/>
      <c r="AJ214" s="111"/>
      <c r="AK214" s="111"/>
      <c r="AL214" s="111"/>
      <c r="AM214" s="111"/>
      <c r="AN214" s="111"/>
      <c r="AO214" s="30"/>
      <c r="AP214" s="30">
        <f t="shared" si="568"/>
        <v>140</v>
      </c>
      <c r="AT214" s="96"/>
      <c r="AU214" s="96"/>
      <c r="AV214" s="96"/>
    </row>
    <row r="215" spans="13:100" hidden="1" x14ac:dyDescent="0.2">
      <c r="T215" s="26">
        <v>143</v>
      </c>
      <c r="U215" s="30">
        <f t="shared" si="567"/>
        <v>143</v>
      </c>
      <c r="V215" s="30">
        <f t="shared" si="567"/>
        <v>145</v>
      </c>
      <c r="W215" s="30">
        <f t="shared" si="567"/>
        <v>147</v>
      </c>
      <c r="X215" s="30">
        <f t="shared" si="567"/>
        <v>152</v>
      </c>
      <c r="Y215" s="30">
        <f t="shared" si="567"/>
        <v>157</v>
      </c>
      <c r="Z215" s="30">
        <f t="shared" si="567"/>
        <v>162</v>
      </c>
      <c r="AA215" s="111"/>
      <c r="AB215" s="111"/>
      <c r="AC215" s="111"/>
      <c r="AD215" s="111"/>
      <c r="AE215" s="111"/>
      <c r="AF215" s="111"/>
      <c r="AG215" s="111"/>
      <c r="AH215" s="111"/>
      <c r="AI215" s="111"/>
      <c r="AJ215" s="111"/>
      <c r="AK215" s="111"/>
      <c r="AL215" s="111"/>
      <c r="AM215" s="111"/>
      <c r="AN215" s="111"/>
      <c r="AO215" s="30"/>
      <c r="AP215" s="30">
        <f t="shared" si="568"/>
        <v>167</v>
      </c>
      <c r="AT215" s="96"/>
      <c r="AU215" s="96"/>
      <c r="AV215" s="96"/>
    </row>
    <row r="216" spans="13:100" hidden="1" x14ac:dyDescent="0.2">
      <c r="T216" s="26">
        <v>170</v>
      </c>
      <c r="U216" s="30">
        <f t="shared" si="567"/>
        <v>170</v>
      </c>
      <c r="V216" s="30">
        <f t="shared" si="567"/>
        <v>172</v>
      </c>
      <c r="W216" s="30">
        <f t="shared" si="567"/>
        <v>174</v>
      </c>
      <c r="X216" s="30">
        <f t="shared" si="567"/>
        <v>179</v>
      </c>
      <c r="Y216" s="30">
        <f t="shared" si="567"/>
        <v>184</v>
      </c>
      <c r="Z216" s="30">
        <f t="shared" si="567"/>
        <v>189</v>
      </c>
      <c r="AA216" s="111"/>
      <c r="AB216" s="111"/>
      <c r="AC216" s="111"/>
      <c r="AD216" s="111"/>
      <c r="AE216" s="111"/>
      <c r="AF216" s="111"/>
      <c r="AG216" s="111"/>
      <c r="AH216" s="111"/>
      <c r="AI216" s="111"/>
      <c r="AJ216" s="111"/>
      <c r="AK216" s="111"/>
      <c r="AL216" s="111"/>
      <c r="AM216" s="111"/>
      <c r="AN216" s="111"/>
      <c r="AO216" s="30"/>
      <c r="AP216" s="30">
        <f t="shared" si="568"/>
        <v>194</v>
      </c>
      <c r="AT216" s="96"/>
      <c r="AU216" s="96"/>
      <c r="AV216" s="96"/>
    </row>
    <row r="217" spans="13:100" hidden="1" x14ac:dyDescent="0.2">
      <c r="AS217" s="26" t="str">
        <f t="shared" ref="AS217:AS233" si="569">M178</f>
        <v/>
      </c>
      <c r="AT217" s="96" t="str">
        <f t="shared" ref="AT217:AT233" si="570">Z178</f>
        <v/>
      </c>
      <c r="AU217" s="96" t="str">
        <f t="shared" ref="AU217:AU233" si="571">BC178</f>
        <v/>
      </c>
      <c r="AV217" s="96" t="str">
        <f t="shared" ref="AV217:AV233" si="572">CF178</f>
        <v/>
      </c>
    </row>
    <row r="218" spans="13:100" hidden="1" x14ac:dyDescent="0.2">
      <c r="AS218" s="26" t="str">
        <f t="shared" si="569"/>
        <v/>
      </c>
      <c r="AT218" s="96" t="str">
        <f t="shared" si="570"/>
        <v/>
      </c>
      <c r="AU218" s="96" t="str">
        <f t="shared" si="571"/>
        <v/>
      </c>
      <c r="AV218" s="96" t="str">
        <f t="shared" si="572"/>
        <v/>
      </c>
    </row>
    <row r="219" spans="13:100" hidden="1" x14ac:dyDescent="0.2">
      <c r="AS219" s="26" t="str">
        <f t="shared" si="569"/>
        <v/>
      </c>
      <c r="AT219" s="96" t="str">
        <f t="shared" si="570"/>
        <v/>
      </c>
      <c r="AU219" s="96" t="str">
        <f t="shared" si="571"/>
        <v/>
      </c>
      <c r="AV219" s="96" t="str">
        <f t="shared" si="572"/>
        <v/>
      </c>
    </row>
    <row r="220" spans="13:100" hidden="1" x14ac:dyDescent="0.2">
      <c r="AS220" s="26" t="str">
        <f t="shared" si="569"/>
        <v/>
      </c>
      <c r="AT220" s="96" t="str">
        <f t="shared" si="570"/>
        <v/>
      </c>
      <c r="AU220" s="96" t="str">
        <f t="shared" si="571"/>
        <v/>
      </c>
      <c r="AV220" s="96" t="str">
        <f t="shared" si="572"/>
        <v/>
      </c>
    </row>
    <row r="221" spans="13:100" hidden="1" x14ac:dyDescent="0.2">
      <c r="AS221" s="26" t="str">
        <f t="shared" si="569"/>
        <v/>
      </c>
      <c r="AT221" s="96" t="str">
        <f t="shared" si="570"/>
        <v/>
      </c>
      <c r="AU221" s="96" t="str">
        <f t="shared" si="571"/>
        <v/>
      </c>
      <c r="AV221" s="96" t="str">
        <f t="shared" si="572"/>
        <v/>
      </c>
    </row>
    <row r="222" spans="13:100" hidden="1" x14ac:dyDescent="0.2">
      <c r="AS222" s="26" t="str">
        <f t="shared" si="569"/>
        <v/>
      </c>
      <c r="AT222" s="96" t="str">
        <f t="shared" si="570"/>
        <v/>
      </c>
      <c r="AU222" s="96" t="str">
        <f t="shared" si="571"/>
        <v/>
      </c>
      <c r="AV222" s="96" t="str">
        <f t="shared" si="572"/>
        <v/>
      </c>
    </row>
    <row r="223" spans="13:100" hidden="1" x14ac:dyDescent="0.2">
      <c r="AS223" s="26" t="str">
        <f t="shared" si="569"/>
        <v/>
      </c>
      <c r="AT223" s="96" t="str">
        <f t="shared" si="570"/>
        <v/>
      </c>
      <c r="AU223" s="96" t="str">
        <f t="shared" si="571"/>
        <v/>
      </c>
      <c r="AV223" s="96" t="str">
        <f t="shared" si="572"/>
        <v/>
      </c>
    </row>
    <row r="224" spans="13:100" hidden="1" x14ac:dyDescent="0.2">
      <c r="AS224" s="26" t="str">
        <f t="shared" si="569"/>
        <v/>
      </c>
      <c r="AT224" s="96" t="str">
        <f t="shared" si="570"/>
        <v/>
      </c>
      <c r="AU224" s="96" t="str">
        <f t="shared" si="571"/>
        <v/>
      </c>
      <c r="AV224" s="96" t="str">
        <f t="shared" si="572"/>
        <v/>
      </c>
    </row>
    <row r="225" spans="45:48" hidden="1" x14ac:dyDescent="0.2">
      <c r="AS225" s="26" t="str">
        <f t="shared" si="569"/>
        <v/>
      </c>
      <c r="AT225" s="96" t="str">
        <f t="shared" si="570"/>
        <v/>
      </c>
      <c r="AU225" s="96" t="str">
        <f t="shared" si="571"/>
        <v/>
      </c>
      <c r="AV225" s="96" t="str">
        <f t="shared" si="572"/>
        <v/>
      </c>
    </row>
    <row r="226" spans="45:48" hidden="1" x14ac:dyDescent="0.2">
      <c r="AS226" s="26" t="str">
        <f t="shared" si="569"/>
        <v/>
      </c>
      <c r="AT226" s="96" t="str">
        <f t="shared" si="570"/>
        <v/>
      </c>
      <c r="AU226" s="96" t="str">
        <f t="shared" si="571"/>
        <v/>
      </c>
      <c r="AV226" s="96" t="str">
        <f t="shared" si="572"/>
        <v/>
      </c>
    </row>
    <row r="227" spans="45:48" hidden="1" x14ac:dyDescent="0.2">
      <c r="AS227" s="26" t="str">
        <f t="shared" si="569"/>
        <v/>
      </c>
      <c r="AT227" s="96" t="str">
        <f t="shared" si="570"/>
        <v/>
      </c>
      <c r="AU227" s="96" t="str">
        <f t="shared" si="571"/>
        <v/>
      </c>
      <c r="AV227" s="96" t="str">
        <f t="shared" si="572"/>
        <v/>
      </c>
    </row>
    <row r="228" spans="45:48" hidden="1" x14ac:dyDescent="0.2">
      <c r="AS228" s="26" t="str">
        <f t="shared" si="569"/>
        <v/>
      </c>
      <c r="AT228" s="96" t="str">
        <f t="shared" si="570"/>
        <v/>
      </c>
      <c r="AU228" s="96" t="str">
        <f t="shared" si="571"/>
        <v/>
      </c>
      <c r="AV228" s="96" t="str">
        <f t="shared" si="572"/>
        <v/>
      </c>
    </row>
    <row r="229" spans="45:48" hidden="1" x14ac:dyDescent="0.2">
      <c r="AS229" s="26" t="str">
        <f t="shared" si="569"/>
        <v/>
      </c>
      <c r="AT229" s="96" t="str">
        <f t="shared" si="570"/>
        <v/>
      </c>
      <c r="AU229" s="96" t="str">
        <f t="shared" si="571"/>
        <v/>
      </c>
      <c r="AV229" s="96" t="str">
        <f t="shared" si="572"/>
        <v/>
      </c>
    </row>
    <row r="230" spans="45:48" hidden="1" x14ac:dyDescent="0.2">
      <c r="AS230" s="26" t="str">
        <f t="shared" si="569"/>
        <v/>
      </c>
      <c r="AT230" s="96" t="str">
        <f t="shared" si="570"/>
        <v/>
      </c>
      <c r="AU230" s="96" t="str">
        <f t="shared" si="571"/>
        <v/>
      </c>
      <c r="AV230" s="96" t="str">
        <f t="shared" si="572"/>
        <v/>
      </c>
    </row>
    <row r="231" spans="45:48" hidden="1" x14ac:dyDescent="0.2">
      <c r="AS231" s="26" t="str">
        <f t="shared" si="569"/>
        <v/>
      </c>
      <c r="AT231" s="96" t="str">
        <f t="shared" si="570"/>
        <v/>
      </c>
      <c r="AU231" s="96" t="str">
        <f t="shared" si="571"/>
        <v/>
      </c>
      <c r="AV231" s="96" t="str">
        <f t="shared" si="572"/>
        <v/>
      </c>
    </row>
    <row r="232" spans="45:48" hidden="1" x14ac:dyDescent="0.2">
      <c r="AS232" s="26" t="str">
        <f t="shared" si="569"/>
        <v/>
      </c>
      <c r="AT232" s="96" t="str">
        <f t="shared" si="570"/>
        <v/>
      </c>
      <c r="AU232" s="96" t="str">
        <f t="shared" si="571"/>
        <v/>
      </c>
      <c r="AV232" s="96" t="str">
        <f t="shared" si="572"/>
        <v/>
      </c>
    </row>
    <row r="233" spans="45:48" hidden="1" x14ac:dyDescent="0.2">
      <c r="AS233" s="26" t="str">
        <f t="shared" si="569"/>
        <v/>
      </c>
      <c r="AT233" s="96" t="str">
        <f t="shared" si="570"/>
        <v/>
      </c>
      <c r="AU233" s="96" t="str">
        <f t="shared" si="571"/>
        <v/>
      </c>
      <c r="AV233" s="96" t="str">
        <f t="shared" si="572"/>
        <v/>
      </c>
    </row>
  </sheetData>
  <mergeCells count="12">
    <mergeCell ref="AO1:AQ1"/>
    <mergeCell ref="P4:Q4"/>
    <mergeCell ref="M1:P1"/>
    <mergeCell ref="Q1:S1"/>
    <mergeCell ref="T1:W1"/>
    <mergeCell ref="X1:Z1"/>
    <mergeCell ref="K169:L169"/>
    <mergeCell ref="C169:D169"/>
    <mergeCell ref="E169:F169"/>
    <mergeCell ref="G169:H169"/>
    <mergeCell ref="A169:B169"/>
    <mergeCell ref="I169:J169"/>
  </mergeCells>
  <phoneticPr fontId="13" type="noConversion"/>
  <printOptions horizontalCentered="1"/>
  <pageMargins left="0.4" right="0.4" top="0.3" bottom="0.5" header="0.3" footer="0.25"/>
  <pageSetup orientation="landscape" r:id="rId1"/>
  <headerFooter scaleWithDoc="0"/>
  <ignoredErrors>
    <ignoredError sqref="AQ7:BB31 BT7:CE3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7" id="{6B86DA11-E437-42E4-8B66-ADFCE9FAF852}">
            <x14:iconSet iconSet="3Triangles" showValue="0">
              <x14:cfvo type="percent">
                <xm:f>0</xm:f>
              </x14:cfvo>
              <x14:cfvo type="percent">
                <xm:f>0</xm:f>
              </x14:cfvo>
              <x14:cfvo type="percent">
                <xm:f>1</xm:f>
              </x14:cfvo>
            </x14:iconSet>
          </x14:cfRule>
          <xm:sqref>CU7:CU31</xm:sqref>
        </x14:conditionalFormatting>
        <x14:conditionalFormatting xmlns:xm="http://schemas.microsoft.com/office/excel/2006/main">
          <x14:cfRule type="iconSet" priority="6" id="{6E940DDA-809C-44D4-A694-7DC21A323469}">
            <x14:iconSet iconSet="3Triangles" showValue="0">
              <x14:cfvo type="percent">
                <xm:f>0</xm:f>
              </x14:cfvo>
              <x14:cfvo type="percent">
                <xm:f>0</xm:f>
              </x14:cfvo>
              <x14:cfvo type="percent">
                <xm:f>1</xm:f>
              </x14:cfvo>
            </x14:iconSet>
          </x14:cfRule>
          <xm:sqref>CU52:CU58</xm:sqref>
        </x14:conditionalFormatting>
        <x14:conditionalFormatting xmlns:xm="http://schemas.microsoft.com/office/excel/2006/main">
          <x14:cfRule type="iconSet" priority="5" id="{A3B69936-3FC7-4D53-84E0-D4BECD408AA5}">
            <x14:iconSet iconSet="3Triangles" showValue="0">
              <x14:cfvo type="percent">
                <xm:f>0</xm:f>
              </x14:cfvo>
              <x14:cfvo type="percent">
                <xm:f>0</xm:f>
              </x14:cfvo>
              <x14:cfvo type="percent">
                <xm:f>1</xm:f>
              </x14:cfvo>
            </x14:iconSet>
          </x14:cfRule>
          <xm:sqref>CU78:CU85</xm:sqref>
        </x14:conditionalFormatting>
        <x14:conditionalFormatting xmlns:xm="http://schemas.microsoft.com/office/excel/2006/main">
          <x14:cfRule type="iconSet" priority="3" id="{E12CDA44-8DEA-4B66-8B73-1491E21C39EA}">
            <x14:iconSet iconSet="3Triangles" showValue="0">
              <x14:cfvo type="percent">
                <xm:f>0</xm:f>
              </x14:cfvo>
              <x14:cfvo type="percent">
                <xm:f>0</xm:f>
              </x14:cfvo>
              <x14:cfvo type="percent">
                <xm:f>1</xm:f>
              </x14:cfvo>
            </x14:iconSet>
          </x14:cfRule>
          <xm:sqref>CU126:CU140</xm:sqref>
        </x14:conditionalFormatting>
        <x14:conditionalFormatting xmlns:xm="http://schemas.microsoft.com/office/excel/2006/main">
          <x14:cfRule type="iconSet" priority="2" id="{E297A66C-697D-4C8B-B4F1-689AD6F1BB77}">
            <x14:iconSet iconSet="3Triangles" showValue="0">
              <x14:cfvo type="percent">
                <xm:f>0</xm:f>
              </x14:cfvo>
              <x14:cfvo type="percent">
                <xm:f>0</xm:f>
              </x14:cfvo>
              <x14:cfvo type="percent">
                <xm:f>1</xm:f>
              </x14:cfvo>
            </x14:iconSet>
          </x14:cfRule>
          <xm:sqref>CU160:CU167</xm:sqref>
        </x14:conditionalFormatting>
        <x14:conditionalFormatting xmlns:xm="http://schemas.microsoft.com/office/excel/2006/main">
          <x14:cfRule type="iconSet" priority="1" id="{D8A2B8ED-3605-4986-B268-6211D772DB25}">
            <x14:iconSet iconSet="3Triangles" showValue="0">
              <x14:cfvo type="percent">
                <xm:f>0</xm:f>
              </x14:cfvo>
              <x14:cfvo type="percent">
                <xm:f>0</xm:f>
              </x14:cfvo>
              <x14:cfvo type="percent">
                <xm:f>1</xm:f>
              </x14:cfvo>
            </x14:iconSet>
          </x14:cfRule>
          <xm:sqref>CU187:CU194</xm:sqref>
        </x14:conditionalFormatting>
        <x14:conditionalFormatting xmlns:xm="http://schemas.microsoft.com/office/excel/2006/main">
          <x14:cfRule type="iconSet" priority="8" id="{155A29DD-1815-41F6-8209-6D3B2511570F}">
            <x14:iconSet iconSet="3Triangles" showValue="0">
              <x14:cfvo type="percent">
                <xm:f>0</xm:f>
              </x14:cfvo>
              <x14:cfvo type="percent">
                <xm:f>0</xm:f>
              </x14:cfvo>
              <x14:cfvo type="percent">
                <xm:f>1</xm:f>
              </x14:cfvo>
            </x14:iconSet>
          </x14:cfRule>
          <xm:sqref>CU103:CU112</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F0AA9-F054-42C6-9770-B4D203281CFA}">
  <sheetPr codeName="Sheet6">
    <pageSetUpPr fitToPage="1"/>
  </sheetPr>
  <dimension ref="A1:AZ64"/>
  <sheetViews>
    <sheetView showGridLines="0" showRowColHeaders="0" zoomScale="90" zoomScaleNormal="90" workbookViewId="0">
      <pane ySplit="1" topLeftCell="A2" activePane="bottomLeft" state="frozen"/>
      <selection pane="bottomLeft" activeCell="L7" sqref="L7"/>
    </sheetView>
  </sheetViews>
  <sheetFormatPr defaultColWidth="0" defaultRowHeight="14.25" zeroHeight="1" x14ac:dyDescent="0.2"/>
  <cols>
    <col min="1" max="1" width="2.875" style="46" customWidth="1"/>
    <col min="2" max="3" width="8.875" style="46" customWidth="1"/>
    <col min="4" max="4" width="11.875" style="46" customWidth="1"/>
    <col min="5" max="12" width="8.875" style="46" customWidth="1"/>
    <col min="13" max="13" width="2.625" style="46" customWidth="1"/>
    <col min="14" max="25" width="8.875" style="46" customWidth="1"/>
    <col min="26" max="35" width="8.875" customWidth="1"/>
    <col min="36" max="52" width="0" hidden="1" customWidth="1"/>
    <col min="53" max="16384" width="8.875" hidden="1"/>
  </cols>
  <sheetData>
    <row r="1" spans="1:52" ht="15" x14ac:dyDescent="0.25">
      <c r="A1" s="147" t="s">
        <v>16</v>
      </c>
      <c r="B1" s="147"/>
      <c r="C1" s="147"/>
      <c r="D1" s="147"/>
      <c r="E1" s="147" t="s">
        <v>57</v>
      </c>
      <c r="F1" s="147"/>
      <c r="G1" s="147"/>
      <c r="H1" s="147" t="s">
        <v>15</v>
      </c>
      <c r="I1" s="147"/>
      <c r="J1" s="147"/>
      <c r="K1" s="147" t="s">
        <v>12</v>
      </c>
      <c r="L1" s="147"/>
      <c r="M1" s="147"/>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row>
    <row r="2" spans="1:52" x14ac:dyDescent="0.2">
      <c r="A2" s="20"/>
      <c r="B2" s="20"/>
      <c r="C2" s="20"/>
      <c r="D2" s="20"/>
      <c r="E2" s="20"/>
      <c r="F2" s="20"/>
      <c r="G2" s="20"/>
      <c r="H2" s="20"/>
      <c r="I2" s="20"/>
      <c r="J2" s="20"/>
      <c r="K2" s="20"/>
      <c r="L2" s="20"/>
      <c r="M2" s="18"/>
      <c r="N2" s="18"/>
      <c r="O2" s="18"/>
      <c r="P2" s="18"/>
      <c r="Q2" s="18"/>
      <c r="R2" s="18"/>
      <c r="S2" s="18"/>
      <c r="T2" s="18"/>
      <c r="U2" s="18"/>
      <c r="V2" s="18"/>
      <c r="W2" s="18"/>
      <c r="X2" s="18"/>
      <c r="Y2" s="18"/>
    </row>
    <row r="3" spans="1:52" ht="15" x14ac:dyDescent="0.2">
      <c r="A3" s="21" t="s">
        <v>11</v>
      </c>
      <c r="B3" s="7"/>
      <c r="C3" s="7"/>
      <c r="D3" s="7"/>
      <c r="E3" s="7"/>
      <c r="F3" s="7"/>
      <c r="G3" s="7"/>
      <c r="H3" s="7"/>
      <c r="I3" s="7"/>
      <c r="J3"/>
      <c r="K3"/>
      <c r="L3"/>
      <c r="M3"/>
      <c r="N3"/>
      <c r="O3"/>
      <c r="P3"/>
      <c r="Q3"/>
      <c r="R3"/>
      <c r="S3"/>
      <c r="T3"/>
      <c r="U3"/>
      <c r="V3"/>
      <c r="W3"/>
      <c r="X3"/>
      <c r="Y3"/>
    </row>
    <row r="4" spans="1:52" x14ac:dyDescent="0.2">
      <c r="A4" s="20"/>
      <c r="B4" s="20"/>
      <c r="C4" s="7"/>
      <c r="D4" s="7"/>
      <c r="E4" s="7"/>
      <c r="F4" s="7"/>
      <c r="G4" s="7"/>
      <c r="H4" s="7"/>
      <c r="I4" s="7"/>
      <c r="J4"/>
      <c r="K4"/>
      <c r="L4"/>
      <c r="M4"/>
      <c r="N4"/>
      <c r="O4"/>
      <c r="P4"/>
      <c r="Q4"/>
      <c r="R4"/>
      <c r="S4"/>
      <c r="T4"/>
      <c r="U4"/>
      <c r="V4"/>
      <c r="W4"/>
      <c r="X4"/>
      <c r="Y4"/>
    </row>
    <row r="5" spans="1:52" ht="14.45" customHeight="1" x14ac:dyDescent="0.2">
      <c r="A5" s="7"/>
      <c r="B5"/>
      <c r="C5"/>
      <c r="D5"/>
      <c r="E5"/>
      <c r="F5"/>
      <c r="G5"/>
      <c r="H5"/>
      <c r="I5"/>
      <c r="J5"/>
      <c r="K5"/>
      <c r="L5"/>
      <c r="M5"/>
      <c r="N5"/>
      <c r="O5"/>
      <c r="P5"/>
      <c r="Q5"/>
      <c r="R5"/>
      <c r="S5"/>
      <c r="T5"/>
      <c r="U5"/>
      <c r="V5"/>
      <c r="W5"/>
      <c r="X5"/>
      <c r="Y5"/>
    </row>
    <row r="6" spans="1:52" ht="14.45" customHeight="1" x14ac:dyDescent="0.2">
      <c r="A6" s="2"/>
      <c r="B6" s="2"/>
      <c r="C6" s="2"/>
      <c r="D6" s="2"/>
      <c r="E6"/>
      <c r="F6"/>
      <c r="G6"/>
      <c r="H6"/>
      <c r="I6" t="s">
        <v>78</v>
      </c>
      <c r="J6"/>
      <c r="K6"/>
      <c r="L6"/>
      <c r="M6"/>
      <c r="N6"/>
      <c r="O6"/>
      <c r="P6"/>
      <c r="Q6"/>
      <c r="R6"/>
      <c r="S6"/>
      <c r="T6"/>
      <c r="U6"/>
      <c r="V6"/>
      <c r="W6"/>
      <c r="X6"/>
      <c r="Y6"/>
    </row>
    <row r="7" spans="1:52" ht="18" x14ac:dyDescent="0.25">
      <c r="A7" s="86" t="s">
        <v>14</v>
      </c>
      <c r="B7" s="86"/>
      <c r="C7" s="86"/>
      <c r="D7" s="86"/>
      <c r="E7"/>
      <c r="F7"/>
      <c r="G7"/>
      <c r="H7"/>
      <c r="I7"/>
      <c r="J7"/>
      <c r="K7"/>
      <c r="L7"/>
      <c r="M7"/>
      <c r="N7"/>
      <c r="O7"/>
      <c r="P7"/>
      <c r="Q7"/>
      <c r="R7"/>
      <c r="S7"/>
      <c r="T7"/>
      <c r="U7"/>
      <c r="V7"/>
      <c r="W7"/>
      <c r="X7"/>
      <c r="Y7"/>
    </row>
    <row r="8" spans="1:52" ht="14.1" customHeight="1" x14ac:dyDescent="0.2">
      <c r="A8" s="149" t="s">
        <v>10</v>
      </c>
      <c r="B8" s="149"/>
      <c r="C8" s="149"/>
      <c r="D8" s="149"/>
      <c r="E8"/>
      <c r="F8"/>
      <c r="G8"/>
      <c r="H8"/>
      <c r="I8"/>
      <c r="J8"/>
      <c r="K8"/>
      <c r="L8"/>
      <c r="M8"/>
      <c r="N8"/>
      <c r="O8"/>
      <c r="P8"/>
      <c r="Q8"/>
      <c r="R8"/>
      <c r="S8"/>
      <c r="T8"/>
      <c r="U8"/>
      <c r="V8"/>
      <c r="W8"/>
      <c r="X8"/>
      <c r="Y8"/>
    </row>
    <row r="9" spans="1:52" ht="14.1" customHeight="1" x14ac:dyDescent="0.2">
      <c r="A9" s="149"/>
      <c r="B9" s="149"/>
      <c r="C9" s="149"/>
      <c r="D9" s="149"/>
      <c r="E9"/>
      <c r="F9"/>
      <c r="G9"/>
      <c r="H9"/>
      <c r="I9"/>
      <c r="J9"/>
      <c r="K9"/>
      <c r="L9"/>
      <c r="M9"/>
      <c r="N9"/>
      <c r="O9"/>
      <c r="P9"/>
      <c r="Q9"/>
      <c r="R9"/>
      <c r="S9"/>
      <c r="T9"/>
      <c r="U9"/>
      <c r="V9"/>
      <c r="W9"/>
      <c r="X9"/>
      <c r="Y9"/>
    </row>
    <row r="10" spans="1:52" x14ac:dyDescent="0.2"/>
    <row r="11" spans="1:52" x14ac:dyDescent="0.2"/>
    <row r="12" spans="1:52" x14ac:dyDescent="0.2"/>
    <row r="13" spans="1:52" x14ac:dyDescent="0.2"/>
    <row r="14" spans="1:52" x14ac:dyDescent="0.2"/>
    <row r="15" spans="1:52" x14ac:dyDescent="0.2"/>
    <row r="16" spans="1:52"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sheetData>
  <mergeCells count="5">
    <mergeCell ref="A8:D9"/>
    <mergeCell ref="A1:D1"/>
    <mergeCell ref="E1:G1"/>
    <mergeCell ref="H1:J1"/>
    <mergeCell ref="K1:M1"/>
  </mergeCells>
  <printOptions horizontalCentered="1"/>
  <pageMargins left="0.4" right="0.4" top="0.25" bottom="0.4" header="0.25" footer="0.25"/>
  <pageSetup scale="86" fitToHeight="0" orientation="portrait" r:id="rId1"/>
  <headerFooter scaleWithDoc="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F4987-B3B6-486E-92CF-B8EA8E74032D}">
  <sheetPr codeName="Sheet4"/>
  <dimension ref="A1:R238"/>
  <sheetViews>
    <sheetView showGridLines="0" showRowColHeaders="0" zoomScaleNormal="100" workbookViewId="0">
      <pane ySplit="1" topLeftCell="A2" activePane="bottomLeft" state="frozen"/>
      <selection pane="bottomLeft" activeCell="D7" sqref="D7"/>
    </sheetView>
  </sheetViews>
  <sheetFormatPr defaultColWidth="0" defaultRowHeight="12.75" zeroHeight="1" x14ac:dyDescent="0.2"/>
  <cols>
    <col min="1" max="1" width="3.5" style="2" customWidth="1"/>
    <col min="2" max="2" width="27.75" style="2" customWidth="1"/>
    <col min="3" max="3" width="4" style="2" customWidth="1"/>
    <col min="4" max="4" width="15.5" style="2" customWidth="1"/>
    <col min="5" max="5" width="2.625" style="2" customWidth="1"/>
    <col min="6" max="8" width="10.75" style="2" customWidth="1"/>
    <col min="9" max="9" width="2.625" style="2" customWidth="1"/>
    <col min="10" max="10" width="20" style="2" customWidth="1"/>
    <col min="11" max="11" width="8.875" style="2" customWidth="1"/>
    <col min="12" max="12" width="22.25" style="2" hidden="1" customWidth="1"/>
    <col min="13" max="13" width="8.875" style="2" hidden="1" customWidth="1"/>
    <col min="14" max="14" width="13.375" style="2" hidden="1" customWidth="1"/>
    <col min="15" max="18" width="8.875" style="2" hidden="1" customWidth="1"/>
    <col min="19" max="16384" width="7.875" style="2" hidden="1"/>
  </cols>
  <sheetData>
    <row r="1" spans="1:15" s="5" customFormat="1" ht="16.5" customHeight="1" x14ac:dyDescent="0.25">
      <c r="A1" s="147" t="s">
        <v>16</v>
      </c>
      <c r="B1" s="147"/>
      <c r="C1" s="147" t="s">
        <v>57</v>
      </c>
      <c r="D1" s="147"/>
      <c r="E1" s="147"/>
      <c r="F1" s="147" t="s">
        <v>13</v>
      </c>
      <c r="G1" s="147"/>
      <c r="H1" s="147" t="s">
        <v>12</v>
      </c>
      <c r="I1" s="147"/>
      <c r="J1" s="147"/>
      <c r="K1" s="93"/>
      <c r="L1" s="93"/>
      <c r="M1" s="93"/>
      <c r="N1" s="93"/>
      <c r="O1" s="93"/>
    </row>
    <row r="2" spans="1:15" ht="6.95" customHeight="1" x14ac:dyDescent="0.2">
      <c r="B2" s="6"/>
    </row>
    <row r="3" spans="1:15" ht="14.1" customHeight="1" x14ac:dyDescent="0.2"/>
    <row r="4" spans="1:15" ht="14.1" customHeight="1" x14ac:dyDescent="0.2">
      <c r="B4" s="87" t="s">
        <v>58</v>
      </c>
      <c r="D4" s="87" t="s">
        <v>61</v>
      </c>
    </row>
    <row r="5" spans="1:15" ht="14.1" customHeight="1" x14ac:dyDescent="0.2">
      <c r="B5" s="22">
        <v>1</v>
      </c>
      <c r="D5" s="17">
        <v>2</v>
      </c>
    </row>
    <row r="6" spans="1:15" ht="14.1" customHeight="1" x14ac:dyDescent="0.2">
      <c r="B6" s="22">
        <v>3</v>
      </c>
      <c r="D6" s="17">
        <v>3</v>
      </c>
    </row>
    <row r="7" spans="1:15" ht="14.1" customHeight="1" x14ac:dyDescent="0.2">
      <c r="B7" s="22">
        <v>5</v>
      </c>
    </row>
    <row r="8" spans="1:15" ht="14.1" customHeight="1" x14ac:dyDescent="0.2">
      <c r="B8" s="22">
        <v>10</v>
      </c>
    </row>
    <row r="9" spans="1:15" ht="14.1" customHeight="1" x14ac:dyDescent="0.2">
      <c r="B9" s="22">
        <v>15</v>
      </c>
    </row>
    <row r="10" spans="1:15" ht="14.1" customHeight="1" x14ac:dyDescent="0.2">
      <c r="B10" s="22">
        <v>25</v>
      </c>
    </row>
    <row r="11" spans="1:15" ht="14.1" customHeight="1" x14ac:dyDescent="0.2"/>
    <row r="12" spans="1:15" ht="14.1" customHeight="1" x14ac:dyDescent="0.2"/>
    <row r="13" spans="1:15" ht="14.1" customHeight="1" x14ac:dyDescent="0.2"/>
    <row r="14" spans="1:15" ht="14.1" customHeight="1" x14ac:dyDescent="0.2"/>
    <row r="15" spans="1:15" ht="14.1" customHeight="1" x14ac:dyDescent="0.2"/>
    <row r="16" spans="1:15" ht="14.1" customHeight="1" x14ac:dyDescent="0.2"/>
    <row r="17" ht="14.1" customHeight="1" x14ac:dyDescent="0.2"/>
    <row r="18" ht="14.1" customHeight="1" x14ac:dyDescent="0.2"/>
    <row r="19" ht="14.1" customHeight="1" x14ac:dyDescent="0.2"/>
    <row r="20" ht="14.1" customHeight="1" x14ac:dyDescent="0.2"/>
    <row r="21" ht="14.1" hidden="1" customHeight="1" x14ac:dyDescent="0.2"/>
    <row r="22" ht="14.1" hidden="1" customHeight="1" x14ac:dyDescent="0.2"/>
    <row r="23" ht="14.1" hidden="1" customHeight="1" x14ac:dyDescent="0.2"/>
    <row r="24" ht="14.1" hidden="1" customHeight="1" x14ac:dyDescent="0.2"/>
    <row r="25" ht="14.1" hidden="1" customHeight="1" x14ac:dyDescent="0.2"/>
    <row r="26" ht="14.1" hidden="1" customHeight="1" x14ac:dyDescent="0.2"/>
    <row r="27" ht="14.1" hidden="1" customHeight="1" x14ac:dyDescent="0.2"/>
    <row r="28" ht="14.1" hidden="1" customHeight="1" x14ac:dyDescent="0.2"/>
    <row r="29" ht="14.1" hidden="1" customHeight="1" x14ac:dyDescent="0.2"/>
    <row r="30" ht="14.1" hidden="1" customHeight="1" x14ac:dyDescent="0.2"/>
    <row r="31" ht="14.1" hidden="1" customHeight="1" x14ac:dyDescent="0.2"/>
    <row r="32" ht="14.1" hidden="1" customHeight="1" x14ac:dyDescent="0.2"/>
    <row r="33" ht="14.1" hidden="1" customHeight="1" x14ac:dyDescent="0.2"/>
    <row r="34" ht="14.1" hidden="1" customHeight="1" x14ac:dyDescent="0.2"/>
    <row r="35" ht="14.1" hidden="1" customHeight="1" x14ac:dyDescent="0.2"/>
    <row r="36" ht="14.1" hidden="1" customHeight="1" x14ac:dyDescent="0.2"/>
    <row r="37" ht="14.1" hidden="1" customHeight="1" x14ac:dyDescent="0.2"/>
    <row r="38" ht="14.1" hidden="1" customHeight="1" x14ac:dyDescent="0.2"/>
    <row r="39" ht="14.1" hidden="1" customHeight="1" x14ac:dyDescent="0.2"/>
    <row r="40" ht="14.1" hidden="1" customHeight="1" x14ac:dyDescent="0.2"/>
    <row r="41" ht="14.1" hidden="1" customHeight="1" x14ac:dyDescent="0.2"/>
    <row r="42" ht="14.1" hidden="1" customHeight="1" x14ac:dyDescent="0.2"/>
    <row r="43" ht="14.1" hidden="1" customHeight="1" x14ac:dyDescent="0.2"/>
    <row r="44" ht="14.1" hidden="1" customHeight="1" x14ac:dyDescent="0.2"/>
    <row r="45" ht="14.1" hidden="1" customHeight="1" x14ac:dyDescent="0.2"/>
    <row r="46" ht="14.1" hidden="1" customHeight="1" x14ac:dyDescent="0.2"/>
    <row r="47" ht="14.1" hidden="1" customHeight="1" x14ac:dyDescent="0.2"/>
    <row r="48" ht="14.1" hidden="1" customHeight="1" x14ac:dyDescent="0.2"/>
    <row r="49" ht="14.1" hidden="1" customHeight="1" x14ac:dyDescent="0.2"/>
    <row r="50" ht="14.1" hidden="1" customHeight="1" x14ac:dyDescent="0.2"/>
    <row r="51" ht="14.1" hidden="1" customHeight="1" x14ac:dyDescent="0.2"/>
    <row r="52" ht="14.1" hidden="1" customHeight="1" x14ac:dyDescent="0.2"/>
    <row r="53" ht="14.1" hidden="1" customHeight="1" x14ac:dyDescent="0.2"/>
    <row r="54" ht="14.1" hidden="1" customHeight="1" x14ac:dyDescent="0.2"/>
    <row r="55" ht="14.1" hidden="1" customHeight="1" x14ac:dyDescent="0.2"/>
    <row r="56" ht="14.1" hidden="1" customHeight="1" x14ac:dyDescent="0.2"/>
    <row r="57" ht="14.1" hidden="1" customHeight="1" x14ac:dyDescent="0.2"/>
    <row r="58" ht="14.1" hidden="1" customHeight="1" x14ac:dyDescent="0.2"/>
    <row r="59" ht="14.1" hidden="1" customHeight="1" x14ac:dyDescent="0.2"/>
    <row r="60" ht="14.1" hidden="1" customHeight="1" x14ac:dyDescent="0.2"/>
    <row r="61" ht="14.1" hidden="1" customHeight="1" x14ac:dyDescent="0.2"/>
    <row r="62" ht="14.1" hidden="1" customHeight="1" x14ac:dyDescent="0.2"/>
    <row r="63" ht="14.1" hidden="1" customHeight="1" x14ac:dyDescent="0.2"/>
    <row r="64" ht="14.1" hidden="1" customHeight="1" x14ac:dyDescent="0.2"/>
    <row r="65" ht="14.1" hidden="1" customHeight="1" x14ac:dyDescent="0.2"/>
    <row r="66" ht="14.1" hidden="1" customHeight="1" x14ac:dyDescent="0.2"/>
    <row r="67" ht="14.1" hidden="1" customHeight="1" x14ac:dyDescent="0.2"/>
    <row r="68" ht="14.1" hidden="1" customHeight="1" x14ac:dyDescent="0.2"/>
    <row r="69" ht="14.1" hidden="1" customHeight="1" x14ac:dyDescent="0.2"/>
    <row r="70" ht="14.1" hidden="1" customHeight="1" x14ac:dyDescent="0.2"/>
    <row r="71" ht="14.1" hidden="1" customHeight="1" x14ac:dyDescent="0.2"/>
    <row r="72" ht="14.1" hidden="1" customHeight="1" x14ac:dyDescent="0.2"/>
    <row r="73" ht="14.1" hidden="1" customHeight="1" x14ac:dyDescent="0.2"/>
    <row r="74" ht="14.1" hidden="1" customHeight="1" x14ac:dyDescent="0.2"/>
    <row r="75" ht="14.1" hidden="1" customHeight="1" x14ac:dyDescent="0.2"/>
    <row r="76" ht="14.1" hidden="1" customHeight="1" x14ac:dyDescent="0.2"/>
    <row r="77" ht="14.1" hidden="1" customHeight="1" x14ac:dyDescent="0.2"/>
    <row r="78" ht="14.1" hidden="1" customHeight="1" x14ac:dyDescent="0.2"/>
    <row r="79" ht="14.1" hidden="1" customHeight="1" x14ac:dyDescent="0.2"/>
    <row r="80" ht="14.1" hidden="1" customHeight="1" x14ac:dyDescent="0.2"/>
    <row r="81" ht="14.1" hidden="1" customHeight="1" x14ac:dyDescent="0.2"/>
    <row r="82" ht="14.1" hidden="1" customHeight="1" x14ac:dyDescent="0.2"/>
    <row r="83" ht="14.1" hidden="1" customHeight="1" x14ac:dyDescent="0.2"/>
    <row r="84" ht="14.1" hidden="1" customHeight="1" x14ac:dyDescent="0.2"/>
    <row r="85" ht="14.1" hidden="1" customHeight="1" x14ac:dyDescent="0.2"/>
    <row r="86" ht="14.1" hidden="1" customHeight="1" x14ac:dyDescent="0.2"/>
    <row r="87" ht="14.1" hidden="1" customHeight="1" x14ac:dyDescent="0.2"/>
    <row r="88" ht="14.1" hidden="1" customHeight="1" x14ac:dyDescent="0.2"/>
    <row r="89" ht="14.1" hidden="1" customHeight="1" x14ac:dyDescent="0.2"/>
    <row r="90" ht="14.1" hidden="1" customHeight="1" x14ac:dyDescent="0.2"/>
    <row r="91" ht="14.1" hidden="1" customHeight="1" x14ac:dyDescent="0.2"/>
    <row r="92" ht="14.1" hidden="1" customHeight="1" x14ac:dyDescent="0.2"/>
    <row r="93" ht="14.1" hidden="1" customHeight="1" x14ac:dyDescent="0.2"/>
    <row r="94" ht="14.1" hidden="1" customHeight="1" x14ac:dyDescent="0.2"/>
    <row r="95" ht="14.1" hidden="1" customHeight="1" x14ac:dyDescent="0.2"/>
    <row r="96" ht="14.1" hidden="1" customHeight="1" x14ac:dyDescent="0.2"/>
    <row r="97" ht="14.1" hidden="1" customHeight="1" x14ac:dyDescent="0.2"/>
    <row r="98" ht="14.1" hidden="1" customHeight="1" x14ac:dyDescent="0.2"/>
    <row r="99" ht="14.1" hidden="1" customHeight="1" x14ac:dyDescent="0.2"/>
    <row r="100" ht="14.1" hidden="1" customHeight="1" x14ac:dyDescent="0.2"/>
    <row r="101" ht="14.1" hidden="1" customHeight="1" x14ac:dyDescent="0.2"/>
    <row r="102" ht="14.1" hidden="1" customHeight="1" x14ac:dyDescent="0.2"/>
    <row r="103" ht="14.1" hidden="1" customHeight="1" x14ac:dyDescent="0.2"/>
    <row r="104" ht="14.1" hidden="1" customHeight="1" x14ac:dyDescent="0.2"/>
    <row r="105" ht="14.1" hidden="1" customHeight="1" x14ac:dyDescent="0.2"/>
    <row r="106" ht="14.1" hidden="1" customHeight="1" x14ac:dyDescent="0.2"/>
    <row r="107" ht="14.1" hidden="1" customHeight="1" x14ac:dyDescent="0.2"/>
    <row r="108" ht="14.1" hidden="1" customHeight="1" x14ac:dyDescent="0.2"/>
    <row r="109" ht="14.1" hidden="1" customHeight="1" x14ac:dyDescent="0.2"/>
    <row r="110" ht="14.1" hidden="1" customHeight="1" x14ac:dyDescent="0.2"/>
    <row r="111" ht="14.1" hidden="1" customHeight="1" x14ac:dyDescent="0.2"/>
    <row r="112" ht="14.1" hidden="1" customHeight="1" x14ac:dyDescent="0.2"/>
    <row r="113" ht="14.1" hidden="1" customHeight="1" x14ac:dyDescent="0.2"/>
    <row r="114" ht="14.1" hidden="1" customHeight="1" x14ac:dyDescent="0.2"/>
    <row r="115" ht="14.1" hidden="1" customHeight="1" x14ac:dyDescent="0.2"/>
    <row r="116" ht="14.1" hidden="1" customHeight="1" x14ac:dyDescent="0.2"/>
    <row r="117" ht="14.1" hidden="1" customHeight="1" x14ac:dyDescent="0.2"/>
    <row r="118" ht="14.1" hidden="1" customHeight="1" x14ac:dyDescent="0.2"/>
    <row r="119" ht="14.1" hidden="1" customHeight="1" x14ac:dyDescent="0.2"/>
    <row r="120" ht="14.1" hidden="1" customHeight="1" x14ac:dyDescent="0.2"/>
    <row r="121" ht="14.1" hidden="1" customHeight="1" x14ac:dyDescent="0.2"/>
    <row r="122" ht="14.1" hidden="1" customHeight="1" x14ac:dyDescent="0.2"/>
    <row r="123" ht="14.1" hidden="1" customHeight="1" x14ac:dyDescent="0.2"/>
    <row r="124" ht="14.1" hidden="1" customHeight="1" x14ac:dyDescent="0.2"/>
    <row r="125" ht="14.1" hidden="1" customHeight="1" x14ac:dyDescent="0.2"/>
    <row r="126" ht="14.1" hidden="1" customHeight="1" x14ac:dyDescent="0.2"/>
    <row r="127" ht="14.1" hidden="1" customHeight="1" x14ac:dyDescent="0.2"/>
    <row r="128" ht="14.1" hidden="1" customHeight="1" x14ac:dyDescent="0.2"/>
    <row r="129" ht="14.1" hidden="1" customHeight="1" x14ac:dyDescent="0.2"/>
    <row r="130" ht="14.1" hidden="1" customHeight="1" x14ac:dyDescent="0.2"/>
    <row r="131" ht="14.1" hidden="1" customHeight="1" x14ac:dyDescent="0.2"/>
    <row r="132" ht="14.1" hidden="1" customHeight="1" x14ac:dyDescent="0.2"/>
    <row r="133" ht="14.1" hidden="1" customHeight="1" x14ac:dyDescent="0.2"/>
    <row r="134" ht="14.1" hidden="1" customHeight="1" x14ac:dyDescent="0.2"/>
    <row r="135" ht="14.1" hidden="1" customHeight="1" x14ac:dyDescent="0.2"/>
    <row r="136" ht="14.1" hidden="1" customHeight="1" x14ac:dyDescent="0.2"/>
    <row r="137" ht="14.1" hidden="1" customHeight="1" x14ac:dyDescent="0.2"/>
    <row r="138" ht="14.1" hidden="1" customHeight="1" x14ac:dyDescent="0.2"/>
    <row r="139" ht="14.1" hidden="1" customHeight="1" x14ac:dyDescent="0.2"/>
    <row r="140" ht="14.1" hidden="1" customHeight="1" x14ac:dyDescent="0.2"/>
    <row r="141" ht="14.1" hidden="1" customHeight="1" x14ac:dyDescent="0.2"/>
    <row r="142" ht="14.1" hidden="1" customHeight="1" x14ac:dyDescent="0.2"/>
    <row r="143" ht="14.1" hidden="1" customHeight="1" x14ac:dyDescent="0.2"/>
    <row r="144" ht="14.1" hidden="1" customHeight="1" x14ac:dyDescent="0.2"/>
    <row r="145" ht="14.1" hidden="1" customHeight="1" x14ac:dyDescent="0.2"/>
    <row r="146" ht="14.1" hidden="1" customHeight="1" x14ac:dyDescent="0.2"/>
    <row r="147" ht="14.1" hidden="1" customHeight="1" x14ac:dyDescent="0.2"/>
    <row r="148" ht="14.1" hidden="1" customHeight="1" x14ac:dyDescent="0.2"/>
    <row r="149" ht="14.1" hidden="1" customHeight="1" x14ac:dyDescent="0.2"/>
    <row r="150" ht="14.1" hidden="1" customHeight="1" x14ac:dyDescent="0.2"/>
    <row r="151" ht="14.1" hidden="1" customHeight="1" x14ac:dyDescent="0.2"/>
    <row r="152" ht="14.1" hidden="1" customHeight="1" x14ac:dyDescent="0.2"/>
    <row r="153" ht="14.1" hidden="1" customHeight="1" x14ac:dyDescent="0.2"/>
    <row r="154" ht="14.1" hidden="1" customHeight="1" x14ac:dyDescent="0.2"/>
    <row r="155" ht="14.1" hidden="1" customHeight="1" x14ac:dyDescent="0.2"/>
    <row r="156" ht="14.1" hidden="1" customHeight="1" x14ac:dyDescent="0.2"/>
    <row r="157" ht="14.1" hidden="1" customHeight="1" x14ac:dyDescent="0.2"/>
    <row r="158" ht="14.1" hidden="1" customHeight="1" x14ac:dyDescent="0.2"/>
    <row r="159" ht="14.1" hidden="1" customHeight="1" x14ac:dyDescent="0.2"/>
    <row r="160" ht="14.1" hidden="1" customHeight="1" x14ac:dyDescent="0.2"/>
    <row r="161" ht="14.1" hidden="1" customHeight="1" x14ac:dyDescent="0.2"/>
    <row r="162" ht="14.1" hidden="1" customHeight="1" x14ac:dyDescent="0.2"/>
    <row r="163" ht="14.1" hidden="1" customHeight="1" x14ac:dyDescent="0.2"/>
    <row r="164" ht="14.1" hidden="1" customHeight="1" x14ac:dyDescent="0.2"/>
    <row r="165" ht="14.1" hidden="1" customHeight="1" x14ac:dyDescent="0.2"/>
    <row r="166" ht="14.1" hidden="1" customHeight="1" x14ac:dyDescent="0.2"/>
    <row r="167" ht="14.1" hidden="1" customHeight="1" x14ac:dyDescent="0.2"/>
    <row r="168" ht="14.1" hidden="1" customHeight="1" x14ac:dyDescent="0.2"/>
    <row r="169" ht="14.1" hidden="1" customHeight="1" x14ac:dyDescent="0.2"/>
    <row r="170" ht="14.1" hidden="1" customHeight="1" x14ac:dyDescent="0.2"/>
    <row r="171" ht="14.1" hidden="1" customHeight="1" x14ac:dyDescent="0.2"/>
    <row r="172" ht="14.1" hidden="1" customHeight="1" x14ac:dyDescent="0.2"/>
    <row r="173" ht="14.1" hidden="1" customHeight="1" x14ac:dyDescent="0.2"/>
    <row r="174" ht="14.1" hidden="1" customHeight="1" x14ac:dyDescent="0.2"/>
    <row r="175" ht="14.1" hidden="1" customHeight="1" x14ac:dyDescent="0.2"/>
    <row r="176" ht="14.1" hidden="1" customHeight="1" x14ac:dyDescent="0.2"/>
    <row r="177" ht="14.1" hidden="1" customHeight="1" x14ac:dyDescent="0.2"/>
    <row r="178" ht="14.1" hidden="1" customHeight="1" x14ac:dyDescent="0.2"/>
    <row r="179" ht="14.1" hidden="1" customHeight="1" x14ac:dyDescent="0.2"/>
    <row r="180" ht="14.1" hidden="1" customHeight="1" x14ac:dyDescent="0.2"/>
    <row r="181" ht="14.1" hidden="1" customHeight="1" x14ac:dyDescent="0.2"/>
    <row r="182" ht="14.1" hidden="1" customHeight="1" x14ac:dyDescent="0.2"/>
    <row r="183" ht="14.1" hidden="1" customHeight="1" x14ac:dyDescent="0.2"/>
    <row r="184" ht="14.1" hidden="1" customHeight="1" x14ac:dyDescent="0.2"/>
    <row r="185" ht="14.1" hidden="1" customHeight="1" x14ac:dyDescent="0.2"/>
    <row r="186" ht="14.1" hidden="1" customHeight="1" x14ac:dyDescent="0.2"/>
    <row r="187" ht="14.1" hidden="1" customHeight="1" x14ac:dyDescent="0.2"/>
    <row r="188" ht="14.1" hidden="1" customHeight="1" x14ac:dyDescent="0.2"/>
    <row r="189" ht="14.1" hidden="1" customHeight="1" x14ac:dyDescent="0.2"/>
    <row r="190" ht="14.1" hidden="1" customHeight="1" x14ac:dyDescent="0.2"/>
    <row r="191" ht="14.1" hidden="1" customHeight="1" x14ac:dyDescent="0.2"/>
    <row r="192" ht="14.1" hidden="1" customHeight="1" x14ac:dyDescent="0.2"/>
    <row r="193" ht="14.1" hidden="1" customHeight="1" x14ac:dyDescent="0.2"/>
    <row r="194" ht="14.1" hidden="1" customHeight="1" x14ac:dyDescent="0.2"/>
    <row r="195" ht="14.1" hidden="1" customHeight="1" x14ac:dyDescent="0.2"/>
    <row r="196" ht="14.1" hidden="1" customHeight="1" x14ac:dyDescent="0.2"/>
    <row r="197" ht="14.1" hidden="1" customHeight="1" x14ac:dyDescent="0.2"/>
    <row r="198" ht="14.1" hidden="1" customHeight="1" x14ac:dyDescent="0.2"/>
    <row r="199" ht="14.1" hidden="1" customHeight="1" x14ac:dyDescent="0.2"/>
    <row r="200" ht="14.1" hidden="1" customHeight="1" x14ac:dyDescent="0.2"/>
    <row r="201" ht="14.1" hidden="1" customHeight="1" x14ac:dyDescent="0.2"/>
    <row r="202" ht="14.1" hidden="1" customHeight="1" x14ac:dyDescent="0.2"/>
    <row r="203" ht="14.1" hidden="1" customHeight="1" x14ac:dyDescent="0.2"/>
    <row r="204" ht="14.1" hidden="1" customHeight="1" x14ac:dyDescent="0.2"/>
    <row r="205" ht="14.1" hidden="1" customHeight="1" x14ac:dyDescent="0.2"/>
    <row r="206" ht="14.1" hidden="1" customHeight="1" x14ac:dyDescent="0.2"/>
    <row r="207" ht="14.1" hidden="1" customHeight="1" x14ac:dyDescent="0.2"/>
    <row r="208" ht="14.1" hidden="1" customHeight="1" x14ac:dyDescent="0.2"/>
    <row r="209" ht="14.1" hidden="1" customHeight="1" x14ac:dyDescent="0.2"/>
    <row r="210" ht="14.1" hidden="1" customHeight="1" x14ac:dyDescent="0.2"/>
    <row r="211" ht="14.1" hidden="1" customHeight="1" x14ac:dyDescent="0.2"/>
    <row r="212" ht="14.1" hidden="1" customHeight="1" x14ac:dyDescent="0.2"/>
    <row r="213" ht="14.1" hidden="1" customHeight="1" x14ac:dyDescent="0.2"/>
    <row r="214" ht="14.1" hidden="1" customHeight="1" x14ac:dyDescent="0.2"/>
    <row r="215" ht="14.1" hidden="1" customHeight="1" x14ac:dyDescent="0.2"/>
    <row r="216" ht="14.1" hidden="1" customHeight="1" x14ac:dyDescent="0.2"/>
    <row r="217" ht="14.1" hidden="1" customHeight="1" x14ac:dyDescent="0.2"/>
    <row r="218" ht="14.1" hidden="1" customHeight="1" x14ac:dyDescent="0.2"/>
    <row r="219" ht="14.1" hidden="1" customHeight="1" x14ac:dyDescent="0.2"/>
    <row r="220" ht="14.1" hidden="1" customHeight="1" x14ac:dyDescent="0.2"/>
    <row r="221" ht="14.1" hidden="1" customHeight="1" x14ac:dyDescent="0.2"/>
    <row r="222" ht="14.1" hidden="1" customHeight="1" x14ac:dyDescent="0.2"/>
    <row r="223" ht="14.1" hidden="1" customHeight="1" x14ac:dyDescent="0.2"/>
    <row r="224" ht="14.1" hidden="1" customHeight="1" x14ac:dyDescent="0.2"/>
    <row r="225" ht="14.1" hidden="1" customHeight="1" x14ac:dyDescent="0.2"/>
    <row r="226" ht="14.1" hidden="1" customHeight="1" x14ac:dyDescent="0.2"/>
    <row r="227" ht="14.1" hidden="1" customHeight="1" x14ac:dyDescent="0.2"/>
    <row r="228" ht="14.1" hidden="1" customHeight="1" x14ac:dyDescent="0.2"/>
    <row r="229" ht="14.1" hidden="1" customHeight="1" x14ac:dyDescent="0.2"/>
    <row r="230" ht="14.1" hidden="1" customHeight="1" x14ac:dyDescent="0.2"/>
    <row r="231" ht="14.1" hidden="1" customHeight="1" x14ac:dyDescent="0.2"/>
    <row r="232" ht="14.1" hidden="1" customHeight="1" x14ac:dyDescent="0.2"/>
    <row r="233" ht="14.1" hidden="1" customHeight="1" x14ac:dyDescent="0.2"/>
    <row r="234" ht="14.1" hidden="1" customHeight="1" x14ac:dyDescent="0.2"/>
    <row r="235" ht="14.1" hidden="1" customHeight="1" x14ac:dyDescent="0.2"/>
    <row r="236" ht="14.1" hidden="1" customHeight="1" x14ac:dyDescent="0.2"/>
    <row r="237" ht="14.1" hidden="1" customHeight="1" x14ac:dyDescent="0.2"/>
    <row r="238" ht="14.1" hidden="1" customHeight="1" x14ac:dyDescent="0.2"/>
  </sheetData>
  <mergeCells count="4">
    <mergeCell ref="C1:E1"/>
    <mergeCell ref="F1:G1"/>
    <mergeCell ref="H1:J1"/>
    <mergeCell ref="A1:B1"/>
  </mergeCells>
  <phoneticPr fontId="13" type="noConversion"/>
  <hyperlinks>
    <hyperlink ref="C1" location="Schedule!A1" display="Schedule" xr:uid="{9875AA3C-E85F-4413-BC00-998CD2515C32}"/>
    <hyperlink ref="F1" location="Dashboard!A1" display="Dashboard" xr:uid="{747CB4E1-E4B6-4EA5-8931-4A58089AA4D1}"/>
  </hyperlinks>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D3220-4FEB-40FC-99FF-3C09FB753C28}">
  <sheetPr codeName="SettingsSht"/>
  <dimension ref="A1:AG20"/>
  <sheetViews>
    <sheetView showGridLines="0" showRowColHeaders="0" zoomScaleNormal="100" workbookViewId="0">
      <selection activeCell="C8" sqref="C8"/>
    </sheetView>
  </sheetViews>
  <sheetFormatPr defaultColWidth="0" defaultRowHeight="14.25" zeroHeight="1" x14ac:dyDescent="0.2"/>
  <cols>
    <col min="1" max="1" width="8.75" style="18" customWidth="1"/>
    <col min="2" max="2" width="10.5" style="18" bestFit="1" customWidth="1"/>
    <col min="3" max="3" width="8.75" style="18" customWidth="1"/>
    <col min="4" max="4" width="4.5" style="18" customWidth="1"/>
    <col min="5" max="5" width="15.375" style="18" customWidth="1"/>
    <col min="6" max="6" width="12.25" style="18" customWidth="1"/>
    <col min="7" max="15" width="8.75" style="18" customWidth="1"/>
    <col min="16" max="16384" width="8.75" style="18" hidden="1"/>
  </cols>
  <sheetData>
    <row r="1" spans="1:33" s="19" customFormat="1" ht="14.45" customHeight="1" x14ac:dyDescent="0.25">
      <c r="A1" s="147" t="s">
        <v>16</v>
      </c>
      <c r="B1" s="147"/>
      <c r="C1" s="147"/>
      <c r="D1" s="147"/>
      <c r="E1" s="147" t="s">
        <v>57</v>
      </c>
      <c r="F1" s="147"/>
      <c r="G1" s="147"/>
      <c r="H1" s="147" t="s">
        <v>13</v>
      </c>
      <c r="I1" s="147"/>
      <c r="J1" s="147"/>
      <c r="K1" s="147"/>
      <c r="L1" s="147" t="s">
        <v>59</v>
      </c>
      <c r="M1" s="147"/>
      <c r="N1" s="147"/>
      <c r="O1" s="25"/>
      <c r="P1" s="25"/>
      <c r="Q1" s="25"/>
      <c r="R1" s="152"/>
      <c r="S1" s="152"/>
      <c r="T1" s="152"/>
      <c r="U1" s="152"/>
      <c r="V1" s="152"/>
      <c r="W1" s="152"/>
      <c r="X1" s="152"/>
      <c r="Y1" s="152"/>
      <c r="Z1" s="152"/>
      <c r="AA1" s="152"/>
      <c r="AB1" s="152"/>
      <c r="AC1" s="152"/>
      <c r="AD1" s="152"/>
      <c r="AE1" s="152"/>
      <c r="AF1" s="152"/>
      <c r="AG1" s="152"/>
    </row>
    <row r="2" spans="1:33" ht="18" x14ac:dyDescent="0.25">
      <c r="A2" s="153" t="s">
        <v>12</v>
      </c>
      <c r="B2" s="153"/>
      <c r="C2" s="153"/>
      <c r="D2" s="153"/>
    </row>
    <row r="3" spans="1:33" x14ac:dyDescent="0.2">
      <c r="A3" s="154" t="s">
        <v>10</v>
      </c>
      <c r="B3" s="154"/>
      <c r="C3" s="154"/>
      <c r="D3" s="154"/>
    </row>
    <row r="4" spans="1:33" x14ac:dyDescent="0.2"/>
    <row r="5" spans="1:33" x14ac:dyDescent="0.2"/>
    <row r="6" spans="1:33" x14ac:dyDescent="0.2"/>
    <row r="7" spans="1:33" x14ac:dyDescent="0.2">
      <c r="B7" s="150" t="s">
        <v>51</v>
      </c>
      <c r="C7" s="151"/>
      <c r="E7" s="150" t="s">
        <v>50</v>
      </c>
      <c r="F7" s="151"/>
    </row>
    <row r="8" spans="1:33" x14ac:dyDescent="0.2">
      <c r="B8" s="89" t="s">
        <v>62</v>
      </c>
      <c r="C8" s="85">
        <v>3</v>
      </c>
      <c r="E8" s="23" t="s">
        <v>65</v>
      </c>
      <c r="F8" s="24">
        <v>10</v>
      </c>
    </row>
    <row r="9" spans="1:33" x14ac:dyDescent="0.2">
      <c r="B9"/>
      <c r="C9"/>
    </row>
    <row r="10" spans="1:33" x14ac:dyDescent="0.2">
      <c r="E10"/>
      <c r="F10"/>
    </row>
    <row r="11" spans="1:33" x14ac:dyDescent="0.2">
      <c r="E11"/>
      <c r="F11"/>
    </row>
    <row r="12" spans="1:33" x14ac:dyDescent="0.2"/>
    <row r="13" spans="1:33" x14ac:dyDescent="0.2"/>
    <row r="14" spans="1:33" x14ac:dyDescent="0.2"/>
    <row r="15" spans="1:33" x14ac:dyDescent="0.2"/>
    <row r="16" spans="1:33" x14ac:dyDescent="0.2"/>
    <row r="17" x14ac:dyDescent="0.2"/>
    <row r="18" x14ac:dyDescent="0.2"/>
    <row r="19" x14ac:dyDescent="0.2"/>
    <row r="20" x14ac:dyDescent="0.2"/>
  </sheetData>
  <mergeCells count="10">
    <mergeCell ref="B7:C7"/>
    <mergeCell ref="E7:F7"/>
    <mergeCell ref="R1:Y1"/>
    <mergeCell ref="Z1:AG1"/>
    <mergeCell ref="A2:D2"/>
    <mergeCell ref="A3:D3"/>
    <mergeCell ref="E1:G1"/>
    <mergeCell ref="H1:K1"/>
    <mergeCell ref="L1:N1"/>
    <mergeCell ref="A1:D1"/>
  </mergeCells>
  <dataValidations count="2">
    <dataValidation type="list" allowBlank="1" showInputMessage="1" showErrorMessage="1" sqref="F8" xr:uid="{1A4AF37E-7A2C-4BB9-9F78-66F8B4AD1858}">
      <formula1>rngEmpNum</formula1>
    </dataValidation>
    <dataValidation type="list" allowBlank="1" showInputMessage="1" showErrorMessage="1" sqref="C8" xr:uid="{B2F18686-7FFE-4704-A806-3AECAE15B6CD}">
      <formula1>rngYears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312D4-0E04-47C9-AB91-15372C7A99EE}">
  <sheetPr codeName="Sheet5">
    <tabColor rgb="FFFFFF00"/>
  </sheetPr>
  <dimension ref="A1:AW216"/>
  <sheetViews>
    <sheetView showGridLines="0" zoomScale="80" zoomScaleNormal="80" workbookViewId="0">
      <pane ySplit="1" topLeftCell="A2" activePane="bottomLeft" state="frozen"/>
      <selection pane="bottomLeft" activeCell="C61" sqref="C61"/>
    </sheetView>
  </sheetViews>
  <sheetFormatPr defaultColWidth="9.5" defaultRowHeight="12.75" x14ac:dyDescent="0.2"/>
  <cols>
    <col min="1" max="1" width="15.625" style="26" customWidth="1"/>
    <col min="2" max="7" width="7.875" style="26" customWidth="1"/>
    <col min="8" max="13" width="9.375" style="26" customWidth="1"/>
    <col min="14" max="14" width="12.375" style="26" customWidth="1"/>
    <col min="15" max="15" width="12.25" style="26" bestFit="1" customWidth="1"/>
    <col min="16" max="16" width="22.75" style="26" bestFit="1" customWidth="1"/>
    <col min="17" max="17" width="12.75" style="27" bestFit="1" customWidth="1"/>
    <col min="18" max="23" width="8.5" style="26" customWidth="1"/>
    <col min="24" max="28" width="7.875" style="26" customWidth="1"/>
    <col min="29" max="29" width="12.375" style="26" customWidth="1"/>
    <col min="30" max="30" width="2.25" style="26" customWidth="1"/>
    <col min="31" max="31" width="15.625" style="26" customWidth="1"/>
    <col min="32" max="43" width="7.875" style="26" customWidth="1"/>
    <col min="44" max="44" width="12.375" style="26" customWidth="1"/>
    <col min="45" max="45" width="2.25" style="26" customWidth="1"/>
    <col min="46" max="46" width="14.5" style="26" customWidth="1"/>
    <col min="47" max="49" width="12.25" style="26" customWidth="1"/>
    <col min="50" max="50" width="9.5" style="26" customWidth="1"/>
    <col min="51" max="16384" width="9.5" style="26"/>
  </cols>
  <sheetData>
    <row r="1" spans="1:49" s="83" customFormat="1" ht="16.350000000000001" customHeight="1" x14ac:dyDescent="0.3">
      <c r="A1" s="155" t="s">
        <v>16</v>
      </c>
      <c r="B1" s="155"/>
      <c r="C1" s="155"/>
      <c r="D1" s="155" t="s">
        <v>57</v>
      </c>
      <c r="E1" s="155"/>
      <c r="F1" s="155"/>
      <c r="G1" s="155" t="s">
        <v>13</v>
      </c>
      <c r="H1" s="155"/>
      <c r="I1" s="155"/>
      <c r="J1" s="92"/>
      <c r="K1" s="92"/>
      <c r="L1" s="92" t="s">
        <v>15</v>
      </c>
      <c r="M1" s="92"/>
      <c r="N1" s="92"/>
      <c r="O1" s="155" t="s">
        <v>12</v>
      </c>
      <c r="P1" s="155"/>
      <c r="Q1" s="155"/>
      <c r="AE1" s="84"/>
      <c r="AT1" s="84"/>
    </row>
    <row r="2" spans="1:49" s="18" customFormat="1" ht="53.1" customHeight="1" x14ac:dyDescent="0.2"/>
    <row r="3" spans="1:49" s="28" customFormat="1" ht="22.7" customHeight="1" x14ac:dyDescent="0.2">
      <c r="A3" s="45" t="s">
        <v>52</v>
      </c>
      <c r="P3" s="45" t="s">
        <v>47</v>
      </c>
      <c r="Q3" s="45"/>
      <c r="AE3" s="45" t="s">
        <v>46</v>
      </c>
      <c r="AF3" s="45"/>
      <c r="AT3" s="45" t="s">
        <v>45</v>
      </c>
    </row>
    <row r="4" spans="1:49" s="47" customFormat="1" ht="18" customHeight="1" x14ac:dyDescent="0.2">
      <c r="A4" s="50"/>
      <c r="B4" s="78"/>
      <c r="C4" s="79" t="s">
        <v>48</v>
      </c>
      <c r="D4" s="156">
        <v>43832</v>
      </c>
      <c r="E4" s="156"/>
      <c r="G4" s="48"/>
      <c r="AW4" s="49"/>
    </row>
    <row r="5" spans="1:49" s="38" customFormat="1" ht="13.5" customHeight="1" x14ac:dyDescent="0.2">
      <c r="N5" s="44" t="s">
        <v>44</v>
      </c>
      <c r="AC5" s="44" t="s">
        <v>43</v>
      </c>
      <c r="AR5" s="44" t="s">
        <v>42</v>
      </c>
      <c r="AU5" s="42" t="s">
        <v>41</v>
      </c>
      <c r="AV5" s="42" t="s">
        <v>53</v>
      </c>
      <c r="AW5" s="42" t="s">
        <v>40</v>
      </c>
    </row>
    <row r="6" spans="1:49" s="38" customFormat="1" ht="15" customHeight="1" x14ac:dyDescent="0.2">
      <c r="A6" s="51" t="s">
        <v>38</v>
      </c>
      <c r="B6" s="52">
        <f>D4</f>
        <v>43832</v>
      </c>
      <c r="C6" s="52">
        <f t="shared" ref="C6:M6" si="0">EDATE(B6,1)</f>
        <v>43863</v>
      </c>
      <c r="D6" s="52">
        <f t="shared" si="0"/>
        <v>43892</v>
      </c>
      <c r="E6" s="52">
        <f t="shared" si="0"/>
        <v>43923</v>
      </c>
      <c r="F6" s="52">
        <f t="shared" si="0"/>
        <v>43953</v>
      </c>
      <c r="G6" s="52">
        <f t="shared" si="0"/>
        <v>43984</v>
      </c>
      <c r="H6" s="52">
        <f t="shared" si="0"/>
        <v>44014</v>
      </c>
      <c r="I6" s="52">
        <f t="shared" si="0"/>
        <v>44045</v>
      </c>
      <c r="J6" s="52">
        <f t="shared" si="0"/>
        <v>44076</v>
      </c>
      <c r="K6" s="52">
        <f t="shared" si="0"/>
        <v>44106</v>
      </c>
      <c r="L6" s="52">
        <f t="shared" si="0"/>
        <v>44137</v>
      </c>
      <c r="M6" s="52">
        <f t="shared" si="0"/>
        <v>44167</v>
      </c>
      <c r="N6" s="53" t="s">
        <v>39</v>
      </c>
      <c r="P6" s="51" t="s">
        <v>38</v>
      </c>
      <c r="Q6" s="52">
        <f>EDATE(M6,1)</f>
        <v>44198</v>
      </c>
      <c r="R6" s="52">
        <f t="shared" ref="R6:AB6" si="1">EDATE(Q6,1)</f>
        <v>44229</v>
      </c>
      <c r="S6" s="52">
        <f t="shared" si="1"/>
        <v>44257</v>
      </c>
      <c r="T6" s="52">
        <f t="shared" si="1"/>
        <v>44288</v>
      </c>
      <c r="U6" s="52">
        <f t="shared" si="1"/>
        <v>44318</v>
      </c>
      <c r="V6" s="52">
        <f t="shared" si="1"/>
        <v>44349</v>
      </c>
      <c r="W6" s="52">
        <f t="shared" si="1"/>
        <v>44379</v>
      </c>
      <c r="X6" s="52">
        <f t="shared" si="1"/>
        <v>44410</v>
      </c>
      <c r="Y6" s="52">
        <f t="shared" si="1"/>
        <v>44441</v>
      </c>
      <c r="Z6" s="52">
        <f t="shared" si="1"/>
        <v>44471</v>
      </c>
      <c r="AA6" s="52">
        <f t="shared" si="1"/>
        <v>44502</v>
      </c>
      <c r="AB6" s="52">
        <f t="shared" si="1"/>
        <v>44532</v>
      </c>
      <c r="AC6" s="53" t="s">
        <v>39</v>
      </c>
      <c r="AE6" s="51" t="s">
        <v>38</v>
      </c>
      <c r="AF6" s="52">
        <f>EDATE(AB6,1)</f>
        <v>44563</v>
      </c>
      <c r="AG6" s="52">
        <f t="shared" ref="AG6:AQ6" si="2">EDATE(AF6,1)</f>
        <v>44594</v>
      </c>
      <c r="AH6" s="52">
        <f t="shared" si="2"/>
        <v>44622</v>
      </c>
      <c r="AI6" s="52">
        <f t="shared" si="2"/>
        <v>44653</v>
      </c>
      <c r="AJ6" s="52">
        <f t="shared" si="2"/>
        <v>44683</v>
      </c>
      <c r="AK6" s="52">
        <f t="shared" si="2"/>
        <v>44714</v>
      </c>
      <c r="AL6" s="52">
        <f t="shared" si="2"/>
        <v>44744</v>
      </c>
      <c r="AM6" s="52">
        <f t="shared" si="2"/>
        <v>44775</v>
      </c>
      <c r="AN6" s="52">
        <f t="shared" si="2"/>
        <v>44806</v>
      </c>
      <c r="AO6" s="52">
        <f t="shared" si="2"/>
        <v>44836</v>
      </c>
      <c r="AP6" s="52">
        <f t="shared" si="2"/>
        <v>44867</v>
      </c>
      <c r="AQ6" s="52">
        <f t="shared" si="2"/>
        <v>44897</v>
      </c>
      <c r="AR6" s="53" t="s">
        <v>39</v>
      </c>
      <c r="AT6" s="51" t="s">
        <v>38</v>
      </c>
      <c r="AU6" s="64" t="s">
        <v>37</v>
      </c>
      <c r="AV6" s="64" t="s">
        <v>37</v>
      </c>
      <c r="AW6" s="64" t="s">
        <v>37</v>
      </c>
    </row>
    <row r="7" spans="1:49" s="38" customFormat="1" ht="15" customHeight="1" x14ac:dyDescent="0.2">
      <c r="A7" s="65" t="s">
        <v>54</v>
      </c>
      <c r="B7" s="54">
        <v>500</v>
      </c>
      <c r="C7" s="54">
        <v>525</v>
      </c>
      <c r="D7" s="54">
        <v>550</v>
      </c>
      <c r="E7" s="54">
        <v>575</v>
      </c>
      <c r="F7" s="54">
        <v>550</v>
      </c>
      <c r="G7" s="54">
        <v>525</v>
      </c>
      <c r="H7" s="54">
        <v>525</v>
      </c>
      <c r="I7" s="54">
        <v>550</v>
      </c>
      <c r="J7" s="54">
        <v>575</v>
      </c>
      <c r="K7" s="54">
        <v>600</v>
      </c>
      <c r="L7" s="54">
        <v>650</v>
      </c>
      <c r="M7" s="54">
        <v>650</v>
      </c>
      <c r="N7" s="55">
        <f>SUM(B7:M7)</f>
        <v>6775</v>
      </c>
      <c r="P7" s="65" t="str">
        <f t="shared" ref="P7:P31" si="3">IF(A7=0,"",A7)</f>
        <v>Product 1</v>
      </c>
      <c r="Q7" s="54">
        <v>625</v>
      </c>
      <c r="R7" s="54">
        <v>600</v>
      </c>
      <c r="S7" s="54">
        <v>575</v>
      </c>
      <c r="T7" s="54">
        <v>550</v>
      </c>
      <c r="U7" s="54">
        <v>575</v>
      </c>
      <c r="V7" s="54">
        <v>600</v>
      </c>
      <c r="W7" s="54">
        <v>600</v>
      </c>
      <c r="X7" s="54">
        <v>625</v>
      </c>
      <c r="Y7" s="54">
        <v>650</v>
      </c>
      <c r="Z7" s="54">
        <v>675</v>
      </c>
      <c r="AA7" s="54">
        <v>700</v>
      </c>
      <c r="AB7" s="54">
        <v>725</v>
      </c>
      <c r="AC7" s="55">
        <f>SUM(Q7:AB7)</f>
        <v>7500</v>
      </c>
      <c r="AE7" s="65" t="str">
        <f t="shared" ref="AE7:AE31" si="4">IF(A7=0,"",A7)</f>
        <v>Product 1</v>
      </c>
      <c r="AF7" s="54">
        <v>750</v>
      </c>
      <c r="AG7" s="54">
        <v>700</v>
      </c>
      <c r="AH7" s="54">
        <v>650</v>
      </c>
      <c r="AI7" s="54">
        <v>650</v>
      </c>
      <c r="AJ7" s="54">
        <v>675</v>
      </c>
      <c r="AK7" s="54">
        <v>700</v>
      </c>
      <c r="AL7" s="54">
        <v>700</v>
      </c>
      <c r="AM7" s="54">
        <v>725</v>
      </c>
      <c r="AN7" s="54">
        <v>750</v>
      </c>
      <c r="AO7" s="54">
        <v>800</v>
      </c>
      <c r="AP7" s="54">
        <v>850</v>
      </c>
      <c r="AQ7" s="54">
        <v>900</v>
      </c>
      <c r="AR7" s="55">
        <f>SUM(AF7:AQ7)</f>
        <v>8850</v>
      </c>
      <c r="AS7" s="40"/>
      <c r="AT7" s="65" t="str">
        <f t="shared" ref="AT7:AT31" si="5">IF(A7=0,"",A7)</f>
        <v>Product 1</v>
      </c>
      <c r="AU7" s="69">
        <f>(AC7/N7)-1</f>
        <v>0.10701107011070121</v>
      </c>
      <c r="AV7" s="69">
        <f>(AR7/N7)-1</f>
        <v>0.30627306273062738</v>
      </c>
      <c r="AW7" s="69">
        <f>(AR7/AC7)-1</f>
        <v>0.17999999999999994</v>
      </c>
    </row>
    <row r="8" spans="1:49" s="38" customFormat="1" ht="15" customHeight="1" x14ac:dyDescent="0.2">
      <c r="A8" s="65" t="s">
        <v>55</v>
      </c>
      <c r="B8" s="54">
        <v>1500</v>
      </c>
      <c r="C8" s="54">
        <v>1000</v>
      </c>
      <c r="D8" s="54">
        <v>1000</v>
      </c>
      <c r="E8" s="54">
        <v>1250</v>
      </c>
      <c r="F8" s="54">
        <v>1250</v>
      </c>
      <c r="G8" s="54">
        <v>1500</v>
      </c>
      <c r="H8" s="54">
        <v>1500</v>
      </c>
      <c r="I8" s="54">
        <v>1750</v>
      </c>
      <c r="J8" s="54">
        <v>2000</v>
      </c>
      <c r="K8" s="54">
        <v>2500</v>
      </c>
      <c r="L8" s="54">
        <v>3000</v>
      </c>
      <c r="M8" s="54">
        <v>3000</v>
      </c>
      <c r="N8" s="55">
        <f>SUM(B8:M8)</f>
        <v>21250</v>
      </c>
      <c r="P8" s="65" t="str">
        <f t="shared" si="3"/>
        <v>Product 2</v>
      </c>
      <c r="Q8" s="54">
        <v>2000</v>
      </c>
      <c r="R8" s="54">
        <v>1500</v>
      </c>
      <c r="S8" s="54">
        <v>1500</v>
      </c>
      <c r="T8" s="54">
        <v>1750</v>
      </c>
      <c r="U8" s="54">
        <v>1750</v>
      </c>
      <c r="V8" s="54">
        <v>2000</v>
      </c>
      <c r="W8" s="54">
        <v>2000</v>
      </c>
      <c r="X8" s="54">
        <v>2250</v>
      </c>
      <c r="Y8" s="54">
        <v>2500</v>
      </c>
      <c r="Z8" s="54">
        <v>3000</v>
      </c>
      <c r="AA8" s="54">
        <v>3500</v>
      </c>
      <c r="AB8" s="54">
        <v>3500</v>
      </c>
      <c r="AC8" s="55">
        <f>SUM(Q8:AB8)</f>
        <v>27250</v>
      </c>
      <c r="AE8" s="65" t="str">
        <f t="shared" si="4"/>
        <v>Product 2</v>
      </c>
      <c r="AF8" s="54">
        <v>3000</v>
      </c>
      <c r="AG8" s="54">
        <v>2000</v>
      </c>
      <c r="AH8" s="54">
        <v>2000</v>
      </c>
      <c r="AI8" s="54">
        <v>2250</v>
      </c>
      <c r="AJ8" s="54">
        <v>2250</v>
      </c>
      <c r="AK8" s="54">
        <v>2500</v>
      </c>
      <c r="AL8" s="54">
        <v>2500</v>
      </c>
      <c r="AM8" s="54">
        <v>2750</v>
      </c>
      <c r="AN8" s="54">
        <v>3000</v>
      </c>
      <c r="AO8" s="54">
        <v>3500</v>
      </c>
      <c r="AP8" s="54">
        <v>4000</v>
      </c>
      <c r="AQ8" s="54">
        <v>4000</v>
      </c>
      <c r="AR8" s="55">
        <f>SUM(AF8:AQ8)</f>
        <v>33750</v>
      </c>
      <c r="AS8" s="40"/>
      <c r="AT8" s="65" t="str">
        <f t="shared" si="5"/>
        <v>Product 2</v>
      </c>
      <c r="AU8" s="69">
        <f>(AC8/N8)-1</f>
        <v>0.2823529411764707</v>
      </c>
      <c r="AV8" s="69">
        <f t="shared" ref="AV8:AV9" si="6">(AR8/N8)-1</f>
        <v>0.58823529411764697</v>
      </c>
      <c r="AW8" s="69">
        <f>(AR8/AC8)-1</f>
        <v>0.23853211009174302</v>
      </c>
    </row>
    <row r="9" spans="1:49" s="38" customFormat="1" ht="15" customHeight="1" x14ac:dyDescent="0.2">
      <c r="A9" s="65" t="s">
        <v>56</v>
      </c>
      <c r="B9" s="54">
        <v>150</v>
      </c>
      <c r="C9" s="54">
        <v>200</v>
      </c>
      <c r="D9" s="54">
        <v>250</v>
      </c>
      <c r="E9" s="54">
        <v>300</v>
      </c>
      <c r="F9" s="54">
        <v>350</v>
      </c>
      <c r="G9" s="54">
        <v>400</v>
      </c>
      <c r="H9" s="54">
        <v>400</v>
      </c>
      <c r="I9" s="54">
        <v>350</v>
      </c>
      <c r="J9" s="54">
        <v>350</v>
      </c>
      <c r="K9" s="54">
        <v>300</v>
      </c>
      <c r="L9" s="54">
        <v>300</v>
      </c>
      <c r="M9" s="54">
        <v>300</v>
      </c>
      <c r="N9" s="55">
        <f>SUM(B9:M9)</f>
        <v>3650</v>
      </c>
      <c r="P9" s="65" t="str">
        <f t="shared" si="3"/>
        <v>Product 3</v>
      </c>
      <c r="Q9" s="54">
        <v>300</v>
      </c>
      <c r="R9" s="54">
        <v>250</v>
      </c>
      <c r="S9" s="54">
        <v>300</v>
      </c>
      <c r="T9" s="54">
        <v>350</v>
      </c>
      <c r="U9" s="54">
        <v>400</v>
      </c>
      <c r="V9" s="54">
        <v>450</v>
      </c>
      <c r="W9" s="54">
        <v>500</v>
      </c>
      <c r="X9" s="54">
        <v>400</v>
      </c>
      <c r="Y9" s="54">
        <v>400</v>
      </c>
      <c r="Z9" s="54">
        <v>350</v>
      </c>
      <c r="AA9" s="54">
        <v>350</v>
      </c>
      <c r="AB9" s="54">
        <v>325</v>
      </c>
      <c r="AC9" s="55">
        <f>SUM(Q9:AB9)</f>
        <v>4375</v>
      </c>
      <c r="AE9" s="65" t="str">
        <f t="shared" si="4"/>
        <v>Product 3</v>
      </c>
      <c r="AF9" s="54">
        <v>325</v>
      </c>
      <c r="AG9" s="54">
        <v>350</v>
      </c>
      <c r="AH9" s="54">
        <v>400</v>
      </c>
      <c r="AI9" s="54">
        <v>450</v>
      </c>
      <c r="AJ9" s="54">
        <v>500</v>
      </c>
      <c r="AK9" s="54">
        <v>550</v>
      </c>
      <c r="AL9" s="54">
        <v>600</v>
      </c>
      <c r="AM9" s="54">
        <v>500</v>
      </c>
      <c r="AN9" s="54">
        <v>500</v>
      </c>
      <c r="AO9" s="54">
        <v>450</v>
      </c>
      <c r="AP9" s="54">
        <v>450</v>
      </c>
      <c r="AQ9" s="54">
        <v>425</v>
      </c>
      <c r="AR9" s="55">
        <f>SUM(AF9:AQ9)</f>
        <v>5500</v>
      </c>
      <c r="AS9" s="40"/>
      <c r="AT9" s="65" t="str">
        <f t="shared" si="5"/>
        <v>Product 3</v>
      </c>
      <c r="AU9" s="69">
        <f>(AC9/N9)-1</f>
        <v>0.19863013698630128</v>
      </c>
      <c r="AV9" s="69">
        <f t="shared" si="6"/>
        <v>0.50684931506849318</v>
      </c>
      <c r="AW9" s="69">
        <f>(AR9/AC9)-1</f>
        <v>0.25714285714285712</v>
      </c>
    </row>
    <row r="10" spans="1:49" s="38" customFormat="1" ht="15" hidden="1" customHeight="1" x14ac:dyDescent="0.2">
      <c r="A10" s="65"/>
      <c r="B10" s="54"/>
      <c r="C10" s="54"/>
      <c r="D10" s="54"/>
      <c r="E10" s="54"/>
      <c r="F10" s="54"/>
      <c r="G10" s="54"/>
      <c r="H10" s="54"/>
      <c r="I10" s="54"/>
      <c r="J10" s="54"/>
      <c r="K10" s="54"/>
      <c r="L10" s="54"/>
      <c r="M10" s="54"/>
      <c r="N10" s="55"/>
      <c r="P10" s="65" t="str">
        <f t="shared" si="3"/>
        <v/>
      </c>
      <c r="Q10" s="54"/>
      <c r="R10" s="54"/>
      <c r="S10" s="54"/>
      <c r="T10" s="54"/>
      <c r="U10" s="54"/>
      <c r="V10" s="54"/>
      <c r="W10" s="54"/>
      <c r="X10" s="54"/>
      <c r="Y10" s="54"/>
      <c r="Z10" s="54"/>
      <c r="AA10" s="54"/>
      <c r="AB10" s="54"/>
      <c r="AC10" s="55"/>
      <c r="AE10" s="65" t="str">
        <f t="shared" si="4"/>
        <v/>
      </c>
      <c r="AF10" s="54"/>
      <c r="AG10" s="54"/>
      <c r="AH10" s="54"/>
      <c r="AI10" s="54"/>
      <c r="AJ10" s="54"/>
      <c r="AK10" s="54"/>
      <c r="AL10" s="54"/>
      <c r="AM10" s="54"/>
      <c r="AN10" s="54"/>
      <c r="AO10" s="54"/>
      <c r="AP10" s="54"/>
      <c r="AQ10" s="54"/>
      <c r="AR10" s="55"/>
      <c r="AS10" s="40"/>
      <c r="AT10" s="65" t="str">
        <f t="shared" si="5"/>
        <v/>
      </c>
      <c r="AU10" s="69"/>
      <c r="AV10" s="69"/>
      <c r="AW10" s="69"/>
    </row>
    <row r="11" spans="1:49" s="38" customFormat="1" ht="15" hidden="1" customHeight="1" x14ac:dyDescent="0.2">
      <c r="A11" s="65"/>
      <c r="B11" s="54"/>
      <c r="C11" s="54"/>
      <c r="D11" s="54"/>
      <c r="E11" s="54"/>
      <c r="F11" s="54"/>
      <c r="G11" s="54"/>
      <c r="H11" s="54"/>
      <c r="I11" s="54"/>
      <c r="J11" s="54"/>
      <c r="K11" s="54"/>
      <c r="L11" s="54"/>
      <c r="M11" s="54"/>
      <c r="N11" s="55"/>
      <c r="P11" s="65" t="str">
        <f t="shared" si="3"/>
        <v/>
      </c>
      <c r="Q11" s="54"/>
      <c r="R11" s="54"/>
      <c r="S11" s="54"/>
      <c r="T11" s="54"/>
      <c r="U11" s="54"/>
      <c r="V11" s="54"/>
      <c r="W11" s="54"/>
      <c r="X11" s="54"/>
      <c r="Y11" s="54"/>
      <c r="Z11" s="54"/>
      <c r="AA11" s="54"/>
      <c r="AB11" s="54"/>
      <c r="AC11" s="55"/>
      <c r="AE11" s="65" t="str">
        <f t="shared" si="4"/>
        <v/>
      </c>
      <c r="AF11" s="54"/>
      <c r="AG11" s="54"/>
      <c r="AH11" s="54"/>
      <c r="AI11" s="54"/>
      <c r="AJ11" s="54"/>
      <c r="AK11" s="54"/>
      <c r="AL11" s="54"/>
      <c r="AM11" s="54"/>
      <c r="AN11" s="54"/>
      <c r="AO11" s="54"/>
      <c r="AP11" s="54"/>
      <c r="AQ11" s="54"/>
      <c r="AR11" s="55"/>
      <c r="AS11" s="40"/>
      <c r="AT11" s="65" t="str">
        <f t="shared" si="5"/>
        <v/>
      </c>
      <c r="AU11" s="69"/>
      <c r="AV11" s="69"/>
      <c r="AW11" s="69"/>
    </row>
    <row r="12" spans="1:49" s="38" customFormat="1" ht="15" hidden="1" customHeight="1" x14ac:dyDescent="0.2">
      <c r="A12" s="65"/>
      <c r="B12" s="54"/>
      <c r="C12" s="54"/>
      <c r="D12" s="54"/>
      <c r="E12" s="54"/>
      <c r="F12" s="54"/>
      <c r="G12" s="54"/>
      <c r="H12" s="54"/>
      <c r="I12" s="54"/>
      <c r="J12" s="54"/>
      <c r="K12" s="54"/>
      <c r="L12" s="54"/>
      <c r="M12" s="54"/>
      <c r="N12" s="55"/>
      <c r="P12" s="65" t="str">
        <f t="shared" si="3"/>
        <v/>
      </c>
      <c r="Q12" s="54"/>
      <c r="R12" s="54"/>
      <c r="S12" s="54"/>
      <c r="T12" s="54"/>
      <c r="U12" s="54"/>
      <c r="V12" s="54"/>
      <c r="W12" s="54"/>
      <c r="X12" s="54"/>
      <c r="Y12" s="54"/>
      <c r="Z12" s="54"/>
      <c r="AA12" s="54"/>
      <c r="AB12" s="54"/>
      <c r="AC12" s="55"/>
      <c r="AE12" s="65" t="str">
        <f t="shared" si="4"/>
        <v/>
      </c>
      <c r="AF12" s="54"/>
      <c r="AG12" s="54"/>
      <c r="AH12" s="54"/>
      <c r="AI12" s="54"/>
      <c r="AJ12" s="54"/>
      <c r="AK12" s="54"/>
      <c r="AL12" s="54"/>
      <c r="AM12" s="54"/>
      <c r="AN12" s="54"/>
      <c r="AO12" s="54"/>
      <c r="AP12" s="54"/>
      <c r="AQ12" s="54"/>
      <c r="AR12" s="55"/>
      <c r="AS12" s="40"/>
      <c r="AT12" s="65" t="str">
        <f t="shared" si="5"/>
        <v/>
      </c>
      <c r="AU12" s="69"/>
      <c r="AV12" s="69"/>
      <c r="AW12" s="69"/>
    </row>
    <row r="13" spans="1:49" s="38" customFormat="1" ht="15" hidden="1" customHeight="1" x14ac:dyDescent="0.2">
      <c r="A13" s="65"/>
      <c r="B13" s="54"/>
      <c r="C13" s="54"/>
      <c r="D13" s="54"/>
      <c r="E13" s="54"/>
      <c r="F13" s="54"/>
      <c r="G13" s="54"/>
      <c r="H13" s="54"/>
      <c r="I13" s="54"/>
      <c r="J13" s="54"/>
      <c r="K13" s="54"/>
      <c r="L13" s="54"/>
      <c r="M13" s="54"/>
      <c r="N13" s="55"/>
      <c r="P13" s="65" t="str">
        <f t="shared" si="3"/>
        <v/>
      </c>
      <c r="Q13" s="54"/>
      <c r="R13" s="54"/>
      <c r="S13" s="54"/>
      <c r="T13" s="54"/>
      <c r="U13" s="54"/>
      <c r="V13" s="54"/>
      <c r="W13" s="54"/>
      <c r="X13" s="54"/>
      <c r="Y13" s="54"/>
      <c r="Z13" s="54"/>
      <c r="AA13" s="54"/>
      <c r="AB13" s="54"/>
      <c r="AC13" s="55"/>
      <c r="AE13" s="65" t="str">
        <f t="shared" si="4"/>
        <v/>
      </c>
      <c r="AF13" s="54"/>
      <c r="AG13" s="54"/>
      <c r="AH13" s="54"/>
      <c r="AI13" s="54"/>
      <c r="AJ13" s="54"/>
      <c r="AK13" s="54"/>
      <c r="AL13" s="54"/>
      <c r="AM13" s="54"/>
      <c r="AN13" s="54"/>
      <c r="AO13" s="54"/>
      <c r="AP13" s="54"/>
      <c r="AQ13" s="54"/>
      <c r="AR13" s="55"/>
      <c r="AS13" s="40"/>
      <c r="AT13" s="65" t="str">
        <f t="shared" si="5"/>
        <v/>
      </c>
      <c r="AU13" s="69"/>
      <c r="AV13" s="69"/>
      <c r="AW13" s="69"/>
    </row>
    <row r="14" spans="1:49" s="38" customFormat="1" ht="15" hidden="1" customHeight="1" x14ac:dyDescent="0.2">
      <c r="A14" s="65"/>
      <c r="B14" s="54"/>
      <c r="C14" s="54"/>
      <c r="D14" s="54"/>
      <c r="E14" s="54"/>
      <c r="F14" s="54"/>
      <c r="G14" s="54"/>
      <c r="H14" s="54"/>
      <c r="I14" s="54"/>
      <c r="J14" s="54"/>
      <c r="K14" s="54"/>
      <c r="L14" s="54"/>
      <c r="M14" s="54"/>
      <c r="N14" s="55"/>
      <c r="P14" s="65" t="str">
        <f t="shared" si="3"/>
        <v/>
      </c>
      <c r="Q14" s="54"/>
      <c r="R14" s="54"/>
      <c r="S14" s="54"/>
      <c r="T14" s="54"/>
      <c r="U14" s="54"/>
      <c r="V14" s="54"/>
      <c r="W14" s="54"/>
      <c r="X14" s="54"/>
      <c r="Y14" s="54"/>
      <c r="Z14" s="54"/>
      <c r="AA14" s="54"/>
      <c r="AB14" s="54"/>
      <c r="AC14" s="55"/>
      <c r="AE14" s="65" t="str">
        <f t="shared" si="4"/>
        <v/>
      </c>
      <c r="AF14" s="54"/>
      <c r="AG14" s="54"/>
      <c r="AH14" s="54"/>
      <c r="AI14" s="54"/>
      <c r="AJ14" s="54"/>
      <c r="AK14" s="54"/>
      <c r="AL14" s="54"/>
      <c r="AM14" s="54"/>
      <c r="AN14" s="54"/>
      <c r="AO14" s="54"/>
      <c r="AP14" s="54"/>
      <c r="AQ14" s="54"/>
      <c r="AR14" s="55"/>
      <c r="AS14" s="40"/>
      <c r="AT14" s="65" t="str">
        <f t="shared" si="5"/>
        <v/>
      </c>
      <c r="AU14" s="69"/>
      <c r="AV14" s="69"/>
      <c r="AW14" s="69"/>
    </row>
    <row r="15" spans="1:49" s="38" customFormat="1" ht="15" hidden="1" customHeight="1" x14ac:dyDescent="0.2">
      <c r="A15" s="65"/>
      <c r="B15" s="54"/>
      <c r="C15" s="54"/>
      <c r="D15" s="54"/>
      <c r="E15" s="54"/>
      <c r="F15" s="54"/>
      <c r="G15" s="54"/>
      <c r="H15" s="54"/>
      <c r="I15" s="54"/>
      <c r="J15" s="54"/>
      <c r="K15" s="54"/>
      <c r="L15" s="54"/>
      <c r="M15" s="54"/>
      <c r="N15" s="55"/>
      <c r="P15" s="65" t="str">
        <f t="shared" si="3"/>
        <v/>
      </c>
      <c r="Q15" s="54"/>
      <c r="R15" s="54"/>
      <c r="S15" s="54"/>
      <c r="T15" s="54"/>
      <c r="U15" s="54"/>
      <c r="V15" s="54"/>
      <c r="W15" s="54"/>
      <c r="X15" s="54"/>
      <c r="Y15" s="54"/>
      <c r="Z15" s="54"/>
      <c r="AA15" s="54"/>
      <c r="AB15" s="54"/>
      <c r="AC15" s="55"/>
      <c r="AE15" s="65" t="str">
        <f t="shared" si="4"/>
        <v/>
      </c>
      <c r="AF15" s="54"/>
      <c r="AG15" s="54"/>
      <c r="AH15" s="54"/>
      <c r="AI15" s="54"/>
      <c r="AJ15" s="54"/>
      <c r="AK15" s="54"/>
      <c r="AL15" s="54"/>
      <c r="AM15" s="54"/>
      <c r="AN15" s="54"/>
      <c r="AO15" s="54"/>
      <c r="AP15" s="54"/>
      <c r="AQ15" s="54"/>
      <c r="AR15" s="55"/>
      <c r="AS15" s="40"/>
      <c r="AT15" s="65" t="str">
        <f t="shared" si="5"/>
        <v/>
      </c>
      <c r="AU15" s="69"/>
      <c r="AV15" s="69"/>
      <c r="AW15" s="69"/>
    </row>
    <row r="16" spans="1:49" s="38" customFormat="1" ht="15" hidden="1" customHeight="1" x14ac:dyDescent="0.2">
      <c r="A16" s="65"/>
      <c r="B16" s="54"/>
      <c r="C16" s="54"/>
      <c r="D16" s="54"/>
      <c r="E16" s="54"/>
      <c r="F16" s="54"/>
      <c r="G16" s="54"/>
      <c r="H16" s="54"/>
      <c r="I16" s="54"/>
      <c r="J16" s="54"/>
      <c r="K16" s="54"/>
      <c r="L16" s="54"/>
      <c r="M16" s="54"/>
      <c r="N16" s="55"/>
      <c r="P16" s="65" t="str">
        <f t="shared" si="3"/>
        <v/>
      </c>
      <c r="Q16" s="54"/>
      <c r="R16" s="54"/>
      <c r="S16" s="54"/>
      <c r="T16" s="54"/>
      <c r="U16" s="54"/>
      <c r="V16" s="54"/>
      <c r="W16" s="54"/>
      <c r="X16" s="54"/>
      <c r="Y16" s="54"/>
      <c r="Z16" s="54"/>
      <c r="AA16" s="54"/>
      <c r="AB16" s="54"/>
      <c r="AC16" s="55"/>
      <c r="AE16" s="65" t="str">
        <f t="shared" si="4"/>
        <v/>
      </c>
      <c r="AF16" s="54"/>
      <c r="AG16" s="54"/>
      <c r="AH16" s="54"/>
      <c r="AI16" s="54"/>
      <c r="AJ16" s="54"/>
      <c r="AK16" s="54"/>
      <c r="AL16" s="54"/>
      <c r="AM16" s="54"/>
      <c r="AN16" s="54"/>
      <c r="AO16" s="54"/>
      <c r="AP16" s="54"/>
      <c r="AQ16" s="54"/>
      <c r="AR16" s="55"/>
      <c r="AS16" s="40"/>
      <c r="AT16" s="65" t="str">
        <f t="shared" si="5"/>
        <v/>
      </c>
      <c r="AU16" s="69"/>
      <c r="AV16" s="69"/>
      <c r="AW16" s="69"/>
    </row>
    <row r="17" spans="1:49" s="38" customFormat="1" ht="15" hidden="1" customHeight="1" x14ac:dyDescent="0.2">
      <c r="A17" s="65"/>
      <c r="B17" s="54"/>
      <c r="C17" s="54"/>
      <c r="D17" s="54"/>
      <c r="E17" s="54"/>
      <c r="F17" s="54"/>
      <c r="G17" s="54"/>
      <c r="H17" s="54"/>
      <c r="I17" s="54"/>
      <c r="J17" s="54"/>
      <c r="K17" s="54"/>
      <c r="L17" s="54"/>
      <c r="M17" s="54"/>
      <c r="N17" s="55"/>
      <c r="P17" s="65" t="str">
        <f t="shared" si="3"/>
        <v/>
      </c>
      <c r="Q17" s="54"/>
      <c r="R17" s="54"/>
      <c r="S17" s="54"/>
      <c r="T17" s="54"/>
      <c r="U17" s="54"/>
      <c r="V17" s="54"/>
      <c r="W17" s="54"/>
      <c r="X17" s="54"/>
      <c r="Y17" s="54"/>
      <c r="Z17" s="54"/>
      <c r="AA17" s="54"/>
      <c r="AB17" s="54"/>
      <c r="AC17" s="55"/>
      <c r="AE17" s="65" t="str">
        <f t="shared" si="4"/>
        <v/>
      </c>
      <c r="AF17" s="54"/>
      <c r="AG17" s="54"/>
      <c r="AH17" s="54"/>
      <c r="AI17" s="54"/>
      <c r="AJ17" s="54"/>
      <c r="AK17" s="54"/>
      <c r="AL17" s="54"/>
      <c r="AM17" s="54"/>
      <c r="AN17" s="54"/>
      <c r="AO17" s="54"/>
      <c r="AP17" s="54"/>
      <c r="AQ17" s="54"/>
      <c r="AR17" s="55"/>
      <c r="AS17" s="40"/>
      <c r="AT17" s="65" t="str">
        <f t="shared" si="5"/>
        <v/>
      </c>
      <c r="AU17" s="69"/>
      <c r="AV17" s="69"/>
      <c r="AW17" s="69"/>
    </row>
    <row r="18" spans="1:49" s="38" customFormat="1" ht="15" hidden="1" customHeight="1" x14ac:dyDescent="0.2">
      <c r="A18" s="65"/>
      <c r="B18" s="54"/>
      <c r="C18" s="54"/>
      <c r="D18" s="54"/>
      <c r="E18" s="54"/>
      <c r="F18" s="54"/>
      <c r="G18" s="54"/>
      <c r="H18" s="54"/>
      <c r="I18" s="54"/>
      <c r="J18" s="54"/>
      <c r="K18" s="54"/>
      <c r="L18" s="54"/>
      <c r="M18" s="54"/>
      <c r="N18" s="55"/>
      <c r="P18" s="65" t="str">
        <f t="shared" si="3"/>
        <v/>
      </c>
      <c r="Q18" s="54"/>
      <c r="R18" s="54"/>
      <c r="S18" s="54"/>
      <c r="T18" s="54"/>
      <c r="U18" s="54"/>
      <c r="V18" s="54"/>
      <c r="W18" s="54"/>
      <c r="X18" s="54"/>
      <c r="Y18" s="54"/>
      <c r="Z18" s="54"/>
      <c r="AA18" s="54"/>
      <c r="AB18" s="54"/>
      <c r="AC18" s="55"/>
      <c r="AE18" s="65" t="str">
        <f t="shared" si="4"/>
        <v/>
      </c>
      <c r="AF18" s="54"/>
      <c r="AG18" s="54"/>
      <c r="AH18" s="54"/>
      <c r="AI18" s="54"/>
      <c r="AJ18" s="54"/>
      <c r="AK18" s="54"/>
      <c r="AL18" s="54"/>
      <c r="AM18" s="54"/>
      <c r="AN18" s="54"/>
      <c r="AO18" s="54"/>
      <c r="AP18" s="54"/>
      <c r="AQ18" s="54"/>
      <c r="AR18" s="55"/>
      <c r="AS18" s="40"/>
      <c r="AT18" s="65" t="str">
        <f t="shared" si="5"/>
        <v/>
      </c>
      <c r="AU18" s="69"/>
      <c r="AV18" s="69"/>
      <c r="AW18" s="69"/>
    </row>
    <row r="19" spans="1:49" s="38" customFormat="1" ht="15" hidden="1" customHeight="1" x14ac:dyDescent="0.2">
      <c r="A19" s="65"/>
      <c r="B19" s="54"/>
      <c r="C19" s="54"/>
      <c r="D19" s="54"/>
      <c r="E19" s="54"/>
      <c r="F19" s="54"/>
      <c r="G19" s="54"/>
      <c r="H19" s="54"/>
      <c r="I19" s="54"/>
      <c r="J19" s="54"/>
      <c r="K19" s="54"/>
      <c r="L19" s="54"/>
      <c r="M19" s="54"/>
      <c r="N19" s="55"/>
      <c r="P19" s="65" t="str">
        <f t="shared" si="3"/>
        <v/>
      </c>
      <c r="Q19" s="54"/>
      <c r="R19" s="54"/>
      <c r="S19" s="54"/>
      <c r="T19" s="54"/>
      <c r="U19" s="54"/>
      <c r="V19" s="54"/>
      <c r="W19" s="54"/>
      <c r="X19" s="54"/>
      <c r="Y19" s="54"/>
      <c r="Z19" s="54"/>
      <c r="AA19" s="54"/>
      <c r="AB19" s="54"/>
      <c r="AC19" s="55"/>
      <c r="AE19" s="65" t="str">
        <f t="shared" si="4"/>
        <v/>
      </c>
      <c r="AF19" s="54"/>
      <c r="AG19" s="54"/>
      <c r="AH19" s="54"/>
      <c r="AI19" s="54"/>
      <c r="AJ19" s="54"/>
      <c r="AK19" s="54"/>
      <c r="AL19" s="54"/>
      <c r="AM19" s="54"/>
      <c r="AN19" s="54"/>
      <c r="AO19" s="54"/>
      <c r="AP19" s="54"/>
      <c r="AQ19" s="54"/>
      <c r="AR19" s="55"/>
      <c r="AS19" s="40"/>
      <c r="AT19" s="65" t="str">
        <f t="shared" si="5"/>
        <v/>
      </c>
      <c r="AU19" s="69"/>
      <c r="AV19" s="69"/>
      <c r="AW19" s="69"/>
    </row>
    <row r="20" spans="1:49" s="38" customFormat="1" ht="15" hidden="1" customHeight="1" x14ac:dyDescent="0.2">
      <c r="A20" s="65"/>
      <c r="B20" s="54"/>
      <c r="C20" s="54"/>
      <c r="D20" s="54"/>
      <c r="E20" s="54"/>
      <c r="F20" s="54"/>
      <c r="G20" s="54"/>
      <c r="H20" s="54"/>
      <c r="I20" s="54"/>
      <c r="J20" s="54"/>
      <c r="K20" s="54"/>
      <c r="L20" s="54"/>
      <c r="M20" s="54"/>
      <c r="N20" s="55"/>
      <c r="P20" s="65" t="str">
        <f t="shared" si="3"/>
        <v/>
      </c>
      <c r="Q20" s="54"/>
      <c r="R20" s="54"/>
      <c r="S20" s="54"/>
      <c r="T20" s="54"/>
      <c r="U20" s="54"/>
      <c r="V20" s="54"/>
      <c r="W20" s="54"/>
      <c r="X20" s="54"/>
      <c r="Y20" s="54"/>
      <c r="Z20" s="54"/>
      <c r="AA20" s="54"/>
      <c r="AB20" s="54"/>
      <c r="AC20" s="55"/>
      <c r="AE20" s="65" t="str">
        <f t="shared" si="4"/>
        <v/>
      </c>
      <c r="AF20" s="54"/>
      <c r="AG20" s="54"/>
      <c r="AH20" s="54"/>
      <c r="AI20" s="54"/>
      <c r="AJ20" s="54"/>
      <c r="AK20" s="54"/>
      <c r="AL20" s="54"/>
      <c r="AM20" s="54"/>
      <c r="AN20" s="54"/>
      <c r="AO20" s="54"/>
      <c r="AP20" s="54"/>
      <c r="AQ20" s="54"/>
      <c r="AR20" s="55"/>
      <c r="AS20" s="40"/>
      <c r="AT20" s="65" t="str">
        <f t="shared" si="5"/>
        <v/>
      </c>
      <c r="AU20" s="69"/>
      <c r="AV20" s="69"/>
      <c r="AW20" s="69"/>
    </row>
    <row r="21" spans="1:49" s="38" customFormat="1" ht="15" hidden="1" customHeight="1" x14ac:dyDescent="0.2">
      <c r="A21" s="65"/>
      <c r="B21" s="54"/>
      <c r="C21" s="54"/>
      <c r="D21" s="54"/>
      <c r="E21" s="54"/>
      <c r="F21" s="54"/>
      <c r="G21" s="54"/>
      <c r="H21" s="54"/>
      <c r="I21" s="54"/>
      <c r="J21" s="54"/>
      <c r="K21" s="54"/>
      <c r="L21" s="54"/>
      <c r="M21" s="54"/>
      <c r="N21" s="55"/>
      <c r="P21" s="65" t="str">
        <f t="shared" si="3"/>
        <v/>
      </c>
      <c r="Q21" s="54"/>
      <c r="R21" s="54"/>
      <c r="S21" s="54"/>
      <c r="T21" s="54"/>
      <c r="U21" s="54"/>
      <c r="V21" s="54"/>
      <c r="W21" s="54"/>
      <c r="X21" s="54"/>
      <c r="Y21" s="54"/>
      <c r="Z21" s="54"/>
      <c r="AA21" s="54"/>
      <c r="AB21" s="54"/>
      <c r="AC21" s="55"/>
      <c r="AE21" s="65" t="str">
        <f t="shared" si="4"/>
        <v/>
      </c>
      <c r="AF21" s="54"/>
      <c r="AG21" s="54"/>
      <c r="AH21" s="54"/>
      <c r="AI21" s="54"/>
      <c r="AJ21" s="54"/>
      <c r="AK21" s="54"/>
      <c r="AL21" s="54"/>
      <c r="AM21" s="54"/>
      <c r="AN21" s="54"/>
      <c r="AO21" s="54"/>
      <c r="AP21" s="54"/>
      <c r="AQ21" s="54"/>
      <c r="AR21" s="55"/>
      <c r="AS21" s="40"/>
      <c r="AT21" s="65" t="str">
        <f t="shared" si="5"/>
        <v/>
      </c>
      <c r="AU21" s="69"/>
      <c r="AV21" s="69"/>
      <c r="AW21" s="69"/>
    </row>
    <row r="22" spans="1:49" s="38" customFormat="1" ht="15" hidden="1" customHeight="1" x14ac:dyDescent="0.2">
      <c r="A22" s="65"/>
      <c r="B22" s="54"/>
      <c r="C22" s="54"/>
      <c r="D22" s="54"/>
      <c r="E22" s="54"/>
      <c r="F22" s="54"/>
      <c r="G22" s="54"/>
      <c r="H22" s="54"/>
      <c r="I22" s="54"/>
      <c r="J22" s="54"/>
      <c r="K22" s="54"/>
      <c r="L22" s="54"/>
      <c r="M22" s="54"/>
      <c r="N22" s="55"/>
      <c r="P22" s="65" t="str">
        <f t="shared" si="3"/>
        <v/>
      </c>
      <c r="Q22" s="54"/>
      <c r="R22" s="54"/>
      <c r="S22" s="54"/>
      <c r="T22" s="54"/>
      <c r="U22" s="54"/>
      <c r="V22" s="54"/>
      <c r="W22" s="54"/>
      <c r="X22" s="54"/>
      <c r="Y22" s="54"/>
      <c r="Z22" s="54"/>
      <c r="AA22" s="54"/>
      <c r="AB22" s="54"/>
      <c r="AC22" s="55"/>
      <c r="AE22" s="65" t="str">
        <f t="shared" si="4"/>
        <v/>
      </c>
      <c r="AF22" s="54"/>
      <c r="AG22" s="54"/>
      <c r="AH22" s="54"/>
      <c r="AI22" s="54"/>
      <c r="AJ22" s="54"/>
      <c r="AK22" s="54"/>
      <c r="AL22" s="54"/>
      <c r="AM22" s="54"/>
      <c r="AN22" s="54"/>
      <c r="AO22" s="54"/>
      <c r="AP22" s="54"/>
      <c r="AQ22" s="54"/>
      <c r="AR22" s="55"/>
      <c r="AS22" s="40"/>
      <c r="AT22" s="65" t="str">
        <f t="shared" si="5"/>
        <v/>
      </c>
      <c r="AU22" s="69"/>
      <c r="AV22" s="69"/>
      <c r="AW22" s="69"/>
    </row>
    <row r="23" spans="1:49" s="38" customFormat="1" ht="15" hidden="1" customHeight="1" x14ac:dyDescent="0.2">
      <c r="A23" s="65"/>
      <c r="B23" s="54"/>
      <c r="C23" s="54"/>
      <c r="D23" s="54"/>
      <c r="E23" s="54"/>
      <c r="F23" s="54"/>
      <c r="G23" s="54"/>
      <c r="H23" s="54"/>
      <c r="I23" s="54"/>
      <c r="J23" s="54"/>
      <c r="K23" s="54"/>
      <c r="L23" s="54"/>
      <c r="M23" s="54"/>
      <c r="N23" s="55"/>
      <c r="P23" s="65" t="str">
        <f t="shared" si="3"/>
        <v/>
      </c>
      <c r="Q23" s="54"/>
      <c r="R23" s="54"/>
      <c r="S23" s="54"/>
      <c r="T23" s="54"/>
      <c r="U23" s="54"/>
      <c r="V23" s="54"/>
      <c r="W23" s="54"/>
      <c r="X23" s="54"/>
      <c r="Y23" s="54"/>
      <c r="Z23" s="54"/>
      <c r="AA23" s="54"/>
      <c r="AB23" s="54"/>
      <c r="AC23" s="55"/>
      <c r="AE23" s="65" t="str">
        <f t="shared" si="4"/>
        <v/>
      </c>
      <c r="AF23" s="54"/>
      <c r="AG23" s="54"/>
      <c r="AH23" s="54"/>
      <c r="AI23" s="54"/>
      <c r="AJ23" s="54"/>
      <c r="AK23" s="54"/>
      <c r="AL23" s="54"/>
      <c r="AM23" s="54"/>
      <c r="AN23" s="54"/>
      <c r="AO23" s="54"/>
      <c r="AP23" s="54"/>
      <c r="AQ23" s="54"/>
      <c r="AR23" s="55"/>
      <c r="AS23" s="40"/>
      <c r="AT23" s="65" t="str">
        <f t="shared" si="5"/>
        <v/>
      </c>
      <c r="AU23" s="69"/>
      <c r="AV23" s="69"/>
      <c r="AW23" s="69"/>
    </row>
    <row r="24" spans="1:49" s="38" customFormat="1" ht="15" hidden="1" customHeight="1" x14ac:dyDescent="0.2">
      <c r="A24" s="65"/>
      <c r="B24" s="54"/>
      <c r="C24" s="54"/>
      <c r="D24" s="54"/>
      <c r="E24" s="54"/>
      <c r="F24" s="54"/>
      <c r="G24" s="54"/>
      <c r="H24" s="54"/>
      <c r="I24" s="54"/>
      <c r="J24" s="54"/>
      <c r="K24" s="54"/>
      <c r="L24" s="54"/>
      <c r="M24" s="54"/>
      <c r="N24" s="55"/>
      <c r="P24" s="65" t="str">
        <f t="shared" si="3"/>
        <v/>
      </c>
      <c r="Q24" s="54"/>
      <c r="R24" s="54"/>
      <c r="S24" s="54"/>
      <c r="T24" s="54"/>
      <c r="U24" s="54"/>
      <c r="V24" s="54"/>
      <c r="W24" s="54"/>
      <c r="X24" s="54"/>
      <c r="Y24" s="54"/>
      <c r="Z24" s="54"/>
      <c r="AA24" s="54"/>
      <c r="AB24" s="54"/>
      <c r="AC24" s="55"/>
      <c r="AE24" s="65" t="str">
        <f t="shared" si="4"/>
        <v/>
      </c>
      <c r="AF24" s="54"/>
      <c r="AG24" s="54"/>
      <c r="AH24" s="54"/>
      <c r="AI24" s="54"/>
      <c r="AJ24" s="54"/>
      <c r="AK24" s="54"/>
      <c r="AL24" s="54"/>
      <c r="AM24" s="54"/>
      <c r="AN24" s="54"/>
      <c r="AO24" s="54"/>
      <c r="AP24" s="54"/>
      <c r="AQ24" s="54"/>
      <c r="AR24" s="55"/>
      <c r="AS24" s="40"/>
      <c r="AT24" s="65" t="str">
        <f t="shared" si="5"/>
        <v/>
      </c>
      <c r="AU24" s="69"/>
      <c r="AV24" s="69"/>
      <c r="AW24" s="69"/>
    </row>
    <row r="25" spans="1:49" s="38" customFormat="1" ht="15" hidden="1" customHeight="1" x14ac:dyDescent="0.2">
      <c r="A25" s="65"/>
      <c r="B25" s="54"/>
      <c r="C25" s="54"/>
      <c r="D25" s="54"/>
      <c r="E25" s="54"/>
      <c r="F25" s="54"/>
      <c r="G25" s="54"/>
      <c r="H25" s="54"/>
      <c r="I25" s="54"/>
      <c r="J25" s="54"/>
      <c r="K25" s="54"/>
      <c r="L25" s="54"/>
      <c r="M25" s="54"/>
      <c r="N25" s="55"/>
      <c r="P25" s="65" t="str">
        <f t="shared" si="3"/>
        <v/>
      </c>
      <c r="Q25" s="54"/>
      <c r="R25" s="54"/>
      <c r="S25" s="54"/>
      <c r="T25" s="54"/>
      <c r="U25" s="54"/>
      <c r="V25" s="54"/>
      <c r="W25" s="54"/>
      <c r="X25" s="54"/>
      <c r="Y25" s="54"/>
      <c r="Z25" s="54"/>
      <c r="AA25" s="54"/>
      <c r="AB25" s="54"/>
      <c r="AC25" s="55"/>
      <c r="AE25" s="65" t="str">
        <f t="shared" si="4"/>
        <v/>
      </c>
      <c r="AF25" s="54"/>
      <c r="AG25" s="54"/>
      <c r="AH25" s="54"/>
      <c r="AI25" s="54"/>
      <c r="AJ25" s="54"/>
      <c r="AK25" s="54"/>
      <c r="AL25" s="54"/>
      <c r="AM25" s="54"/>
      <c r="AN25" s="54"/>
      <c r="AO25" s="54"/>
      <c r="AP25" s="54"/>
      <c r="AQ25" s="54"/>
      <c r="AR25" s="55"/>
      <c r="AS25" s="40"/>
      <c r="AT25" s="65" t="str">
        <f t="shared" si="5"/>
        <v/>
      </c>
      <c r="AU25" s="69"/>
      <c r="AV25" s="69"/>
      <c r="AW25" s="69"/>
    </row>
    <row r="26" spans="1:49" s="38" customFormat="1" ht="15" hidden="1" customHeight="1" x14ac:dyDescent="0.2">
      <c r="A26" s="65"/>
      <c r="B26" s="54"/>
      <c r="C26" s="54"/>
      <c r="D26" s="54"/>
      <c r="E26" s="54"/>
      <c r="F26" s="54"/>
      <c r="G26" s="54"/>
      <c r="H26" s="54"/>
      <c r="I26" s="54"/>
      <c r="J26" s="54"/>
      <c r="K26" s="54"/>
      <c r="L26" s="54"/>
      <c r="M26" s="54"/>
      <c r="N26" s="55"/>
      <c r="P26" s="65" t="str">
        <f t="shared" si="3"/>
        <v/>
      </c>
      <c r="Q26" s="54"/>
      <c r="R26" s="54"/>
      <c r="S26" s="54"/>
      <c r="T26" s="54"/>
      <c r="U26" s="54"/>
      <c r="V26" s="54"/>
      <c r="W26" s="54"/>
      <c r="X26" s="54"/>
      <c r="Y26" s="54"/>
      <c r="Z26" s="54"/>
      <c r="AA26" s="54"/>
      <c r="AB26" s="54"/>
      <c r="AC26" s="55"/>
      <c r="AE26" s="65" t="str">
        <f t="shared" si="4"/>
        <v/>
      </c>
      <c r="AF26" s="54"/>
      <c r="AG26" s="54"/>
      <c r="AH26" s="54"/>
      <c r="AI26" s="54"/>
      <c r="AJ26" s="54"/>
      <c r="AK26" s="54"/>
      <c r="AL26" s="54"/>
      <c r="AM26" s="54"/>
      <c r="AN26" s="54"/>
      <c r="AO26" s="54"/>
      <c r="AP26" s="54"/>
      <c r="AQ26" s="54"/>
      <c r="AR26" s="55"/>
      <c r="AS26" s="40"/>
      <c r="AT26" s="65" t="str">
        <f t="shared" si="5"/>
        <v/>
      </c>
      <c r="AU26" s="69"/>
      <c r="AV26" s="69"/>
      <c r="AW26" s="69"/>
    </row>
    <row r="27" spans="1:49" s="38" customFormat="1" ht="15" hidden="1" customHeight="1" x14ac:dyDescent="0.2">
      <c r="A27" s="65"/>
      <c r="B27" s="54"/>
      <c r="C27" s="54"/>
      <c r="D27" s="54"/>
      <c r="E27" s="54"/>
      <c r="F27" s="54"/>
      <c r="G27" s="54"/>
      <c r="H27" s="54"/>
      <c r="I27" s="54"/>
      <c r="J27" s="54"/>
      <c r="K27" s="54"/>
      <c r="L27" s="54"/>
      <c r="M27" s="54"/>
      <c r="N27" s="55"/>
      <c r="P27" s="65" t="str">
        <f t="shared" si="3"/>
        <v/>
      </c>
      <c r="Q27" s="54"/>
      <c r="R27" s="54"/>
      <c r="S27" s="54"/>
      <c r="T27" s="54"/>
      <c r="U27" s="54"/>
      <c r="V27" s="54"/>
      <c r="W27" s="54"/>
      <c r="X27" s="54"/>
      <c r="Y27" s="54"/>
      <c r="Z27" s="54"/>
      <c r="AA27" s="54"/>
      <c r="AB27" s="54"/>
      <c r="AC27" s="55"/>
      <c r="AE27" s="65" t="str">
        <f t="shared" si="4"/>
        <v/>
      </c>
      <c r="AF27" s="54"/>
      <c r="AG27" s="54"/>
      <c r="AH27" s="54"/>
      <c r="AI27" s="54"/>
      <c r="AJ27" s="54"/>
      <c r="AK27" s="54"/>
      <c r="AL27" s="54"/>
      <c r="AM27" s="54"/>
      <c r="AN27" s="54"/>
      <c r="AO27" s="54"/>
      <c r="AP27" s="54"/>
      <c r="AQ27" s="54"/>
      <c r="AR27" s="55"/>
      <c r="AS27" s="40"/>
      <c r="AT27" s="65" t="str">
        <f t="shared" si="5"/>
        <v/>
      </c>
      <c r="AU27" s="69"/>
      <c r="AV27" s="69"/>
      <c r="AW27" s="69"/>
    </row>
    <row r="28" spans="1:49" s="38" customFormat="1" ht="15" hidden="1" customHeight="1" x14ac:dyDescent="0.2">
      <c r="A28" s="65"/>
      <c r="B28" s="54"/>
      <c r="C28" s="54"/>
      <c r="D28" s="54"/>
      <c r="E28" s="54"/>
      <c r="F28" s="54"/>
      <c r="G28" s="54"/>
      <c r="H28" s="54"/>
      <c r="I28" s="54"/>
      <c r="J28" s="54"/>
      <c r="K28" s="54"/>
      <c r="L28" s="54"/>
      <c r="M28" s="54"/>
      <c r="N28" s="55"/>
      <c r="P28" s="65" t="str">
        <f t="shared" si="3"/>
        <v/>
      </c>
      <c r="Q28" s="54"/>
      <c r="R28" s="54"/>
      <c r="S28" s="54"/>
      <c r="T28" s="54"/>
      <c r="U28" s="54"/>
      <c r="V28" s="54"/>
      <c r="W28" s="54"/>
      <c r="X28" s="54"/>
      <c r="Y28" s="54"/>
      <c r="Z28" s="54"/>
      <c r="AA28" s="54"/>
      <c r="AB28" s="54"/>
      <c r="AC28" s="55"/>
      <c r="AE28" s="65" t="str">
        <f t="shared" si="4"/>
        <v/>
      </c>
      <c r="AF28" s="54"/>
      <c r="AG28" s="54"/>
      <c r="AH28" s="54"/>
      <c r="AI28" s="54"/>
      <c r="AJ28" s="54"/>
      <c r="AK28" s="54"/>
      <c r="AL28" s="54"/>
      <c r="AM28" s="54"/>
      <c r="AN28" s="54"/>
      <c r="AO28" s="54"/>
      <c r="AP28" s="54"/>
      <c r="AQ28" s="54"/>
      <c r="AR28" s="55"/>
      <c r="AS28" s="40"/>
      <c r="AT28" s="65" t="str">
        <f t="shared" si="5"/>
        <v/>
      </c>
      <c r="AU28" s="69"/>
      <c r="AV28" s="69"/>
      <c r="AW28" s="69"/>
    </row>
    <row r="29" spans="1:49" s="38" customFormat="1" ht="15" hidden="1" customHeight="1" x14ac:dyDescent="0.2">
      <c r="A29" s="65"/>
      <c r="B29" s="54"/>
      <c r="C29" s="54"/>
      <c r="D29" s="54"/>
      <c r="E29" s="54"/>
      <c r="F29" s="54"/>
      <c r="G29" s="54"/>
      <c r="H29" s="54"/>
      <c r="I29" s="54"/>
      <c r="J29" s="54"/>
      <c r="K29" s="54"/>
      <c r="L29" s="54"/>
      <c r="M29" s="54"/>
      <c r="N29" s="55"/>
      <c r="P29" s="65" t="str">
        <f t="shared" si="3"/>
        <v/>
      </c>
      <c r="Q29" s="54"/>
      <c r="R29" s="54"/>
      <c r="S29" s="54"/>
      <c r="T29" s="54"/>
      <c r="U29" s="54"/>
      <c r="V29" s="54"/>
      <c r="W29" s="54"/>
      <c r="X29" s="54"/>
      <c r="Y29" s="54"/>
      <c r="Z29" s="54"/>
      <c r="AA29" s="54"/>
      <c r="AB29" s="54"/>
      <c r="AC29" s="55"/>
      <c r="AE29" s="65" t="str">
        <f t="shared" si="4"/>
        <v/>
      </c>
      <c r="AF29" s="54"/>
      <c r="AG29" s="54"/>
      <c r="AH29" s="54"/>
      <c r="AI29" s="54"/>
      <c r="AJ29" s="54"/>
      <c r="AK29" s="54"/>
      <c r="AL29" s="54"/>
      <c r="AM29" s="54"/>
      <c r="AN29" s="54"/>
      <c r="AO29" s="54"/>
      <c r="AP29" s="54"/>
      <c r="AQ29" s="54"/>
      <c r="AR29" s="55"/>
      <c r="AS29" s="40"/>
      <c r="AT29" s="65" t="str">
        <f t="shared" si="5"/>
        <v/>
      </c>
      <c r="AU29" s="69"/>
      <c r="AV29" s="69"/>
      <c r="AW29" s="69"/>
    </row>
    <row r="30" spans="1:49" s="38" customFormat="1" ht="15" hidden="1" customHeight="1" x14ac:dyDescent="0.2">
      <c r="A30" s="65"/>
      <c r="B30" s="54"/>
      <c r="C30" s="54"/>
      <c r="D30" s="54"/>
      <c r="E30" s="54"/>
      <c r="F30" s="54"/>
      <c r="G30" s="54"/>
      <c r="H30" s="54"/>
      <c r="I30" s="54"/>
      <c r="J30" s="54"/>
      <c r="K30" s="54"/>
      <c r="L30" s="54"/>
      <c r="M30" s="54"/>
      <c r="N30" s="55"/>
      <c r="P30" s="65" t="str">
        <f t="shared" si="3"/>
        <v/>
      </c>
      <c r="Q30" s="54"/>
      <c r="R30" s="54"/>
      <c r="S30" s="54"/>
      <c r="T30" s="54"/>
      <c r="U30" s="54"/>
      <c r="V30" s="54"/>
      <c r="W30" s="54"/>
      <c r="X30" s="54"/>
      <c r="Y30" s="54"/>
      <c r="Z30" s="54"/>
      <c r="AA30" s="54"/>
      <c r="AB30" s="54"/>
      <c r="AC30" s="55"/>
      <c r="AE30" s="65" t="str">
        <f t="shared" si="4"/>
        <v/>
      </c>
      <c r="AF30" s="54"/>
      <c r="AG30" s="54"/>
      <c r="AH30" s="54"/>
      <c r="AI30" s="54"/>
      <c r="AJ30" s="54"/>
      <c r="AK30" s="54"/>
      <c r="AL30" s="54"/>
      <c r="AM30" s="54"/>
      <c r="AN30" s="54"/>
      <c r="AO30" s="54"/>
      <c r="AP30" s="54"/>
      <c r="AQ30" s="54"/>
      <c r="AR30" s="55"/>
      <c r="AS30" s="40"/>
      <c r="AT30" s="65" t="str">
        <f t="shared" si="5"/>
        <v/>
      </c>
      <c r="AU30" s="69"/>
      <c r="AV30" s="69"/>
      <c r="AW30" s="69"/>
    </row>
    <row r="31" spans="1:49" s="38" customFormat="1" ht="15" hidden="1" customHeight="1" x14ac:dyDescent="0.2">
      <c r="A31" s="65"/>
      <c r="B31" s="54"/>
      <c r="C31" s="54"/>
      <c r="D31" s="54"/>
      <c r="E31" s="54"/>
      <c r="F31" s="54"/>
      <c r="G31" s="54"/>
      <c r="H31" s="54"/>
      <c r="I31" s="54"/>
      <c r="J31" s="54"/>
      <c r="K31" s="54"/>
      <c r="L31" s="54"/>
      <c r="M31" s="54"/>
      <c r="N31" s="55"/>
      <c r="P31" s="65" t="str">
        <f t="shared" si="3"/>
        <v/>
      </c>
      <c r="Q31" s="54"/>
      <c r="R31" s="54"/>
      <c r="S31" s="54"/>
      <c r="T31" s="54"/>
      <c r="U31" s="54"/>
      <c r="V31" s="54"/>
      <c r="W31" s="54"/>
      <c r="X31" s="54"/>
      <c r="Y31" s="54"/>
      <c r="Z31" s="54"/>
      <c r="AA31" s="54"/>
      <c r="AB31" s="54"/>
      <c r="AC31" s="55"/>
      <c r="AE31" s="65" t="str">
        <f t="shared" si="4"/>
        <v/>
      </c>
      <c r="AF31" s="54"/>
      <c r="AG31" s="54"/>
      <c r="AH31" s="54"/>
      <c r="AI31" s="54"/>
      <c r="AJ31" s="54"/>
      <c r="AK31" s="54"/>
      <c r="AL31" s="54"/>
      <c r="AM31" s="54"/>
      <c r="AN31" s="54"/>
      <c r="AO31" s="54"/>
      <c r="AP31" s="54"/>
      <c r="AQ31" s="54"/>
      <c r="AR31" s="55"/>
      <c r="AS31" s="40"/>
      <c r="AT31" s="65" t="str">
        <f t="shared" si="5"/>
        <v/>
      </c>
      <c r="AU31" s="69"/>
      <c r="AV31" s="69"/>
      <c r="AW31" s="69"/>
    </row>
    <row r="32" spans="1:49" s="38" customFormat="1" ht="9.6" customHeight="1" x14ac:dyDescent="0.2">
      <c r="N32" s="40"/>
      <c r="AC32" s="40"/>
      <c r="AR32" s="40"/>
      <c r="AU32" s="40"/>
      <c r="AV32" s="40"/>
      <c r="AW32" s="40"/>
    </row>
    <row r="33" spans="1:49" s="38" customFormat="1" ht="15" customHeight="1" x14ac:dyDescent="0.2">
      <c r="A33" s="41" t="s">
        <v>35</v>
      </c>
      <c r="N33" s="42" t="s">
        <v>36</v>
      </c>
      <c r="P33" s="41" t="s">
        <v>35</v>
      </c>
      <c r="AC33" s="42" t="s">
        <v>36</v>
      </c>
      <c r="AE33" s="41" t="s">
        <v>35</v>
      </c>
      <c r="AR33" s="42" t="s">
        <v>36</v>
      </c>
      <c r="AT33" s="41" t="s">
        <v>35</v>
      </c>
      <c r="AU33" s="40" t="s">
        <v>22</v>
      </c>
      <c r="AV33" s="40" t="s">
        <v>22</v>
      </c>
      <c r="AW33" s="40" t="s">
        <v>22</v>
      </c>
    </row>
    <row r="34" spans="1:49" s="38" customFormat="1" ht="15" customHeight="1" x14ac:dyDescent="0.2">
      <c r="A34" s="65" t="str">
        <f>IF(A7=0,"",A7)</f>
        <v>Product 1</v>
      </c>
      <c r="B34" s="56">
        <v>19.989999999999998</v>
      </c>
      <c r="C34" s="56">
        <v>19.989999999999998</v>
      </c>
      <c r="D34" s="56">
        <v>19.989999999999998</v>
      </c>
      <c r="E34" s="56">
        <v>19.989999999999998</v>
      </c>
      <c r="F34" s="56">
        <v>19.989999999999998</v>
      </c>
      <c r="G34" s="56">
        <v>19.989999999999998</v>
      </c>
      <c r="H34" s="56">
        <v>19.989999999999998</v>
      </c>
      <c r="I34" s="56">
        <v>19.989999999999998</v>
      </c>
      <c r="J34" s="56">
        <v>19.989999999999998</v>
      </c>
      <c r="K34" s="56">
        <v>19.989999999999998</v>
      </c>
      <c r="L34" s="56">
        <v>19.989999999999998</v>
      </c>
      <c r="M34" s="56">
        <v>19.989999999999998</v>
      </c>
      <c r="N34" s="57">
        <f>AVERAGE(B34:M34)</f>
        <v>19.990000000000002</v>
      </c>
      <c r="P34" s="65" t="str">
        <f t="shared" ref="P34:P58" si="7">IF(A7=0,"",A7)</f>
        <v>Product 1</v>
      </c>
      <c r="Q34" s="56">
        <v>19.989999999999998</v>
      </c>
      <c r="R34" s="56">
        <v>19.989999999999998</v>
      </c>
      <c r="S34" s="56">
        <v>19.989999999999998</v>
      </c>
      <c r="T34" s="56">
        <v>19.989999999999998</v>
      </c>
      <c r="U34" s="56">
        <v>19.989999999999998</v>
      </c>
      <c r="V34" s="56">
        <v>19.989999999999998</v>
      </c>
      <c r="W34" s="56">
        <v>19.989999999999998</v>
      </c>
      <c r="X34" s="56">
        <v>19.989999999999998</v>
      </c>
      <c r="Y34" s="56">
        <v>19.989999999999998</v>
      </c>
      <c r="Z34" s="56">
        <v>19.989999999999998</v>
      </c>
      <c r="AA34" s="56">
        <v>19.989999999999998</v>
      </c>
      <c r="AB34" s="56">
        <v>19.989999999999998</v>
      </c>
      <c r="AC34" s="57">
        <f>AVERAGE(Q34:AB34)</f>
        <v>19.990000000000002</v>
      </c>
      <c r="AE34" s="65" t="str">
        <f t="shared" ref="AE34:AE58" si="8">IF(A7=0,"",A7)</f>
        <v>Product 1</v>
      </c>
      <c r="AF34" s="73">
        <v>19.989999999999998</v>
      </c>
      <c r="AG34" s="73">
        <v>19.989999999999998</v>
      </c>
      <c r="AH34" s="73">
        <v>19.989999999999998</v>
      </c>
      <c r="AI34" s="73">
        <v>19.989999999999998</v>
      </c>
      <c r="AJ34" s="73">
        <v>19.989999999999998</v>
      </c>
      <c r="AK34" s="73">
        <v>19.989999999999998</v>
      </c>
      <c r="AL34" s="73">
        <v>19.989999999999998</v>
      </c>
      <c r="AM34" s="73">
        <v>19.989999999999998</v>
      </c>
      <c r="AN34" s="73">
        <v>19.989999999999998</v>
      </c>
      <c r="AO34" s="73">
        <v>19.989999999999998</v>
      </c>
      <c r="AP34" s="73">
        <v>19.989999999999998</v>
      </c>
      <c r="AQ34" s="73">
        <v>19.989999999999998</v>
      </c>
      <c r="AR34" s="57">
        <f>AVERAGE(AF34:AQ34)</f>
        <v>19.990000000000002</v>
      </c>
      <c r="AT34" s="65" t="str">
        <f t="shared" ref="AT34:AT58" si="9">IF(A7=0,"",A7)</f>
        <v>Product 1</v>
      </c>
      <c r="AU34" s="67">
        <f>AC34-N34</f>
        <v>0</v>
      </c>
      <c r="AV34" s="67">
        <f>AR34-N34</f>
        <v>0</v>
      </c>
      <c r="AW34" s="67">
        <f>AR34-AC34</f>
        <v>0</v>
      </c>
    </row>
    <row r="35" spans="1:49" s="38" customFormat="1" ht="15" customHeight="1" x14ac:dyDescent="0.2">
      <c r="A35" s="65" t="str">
        <f t="shared" ref="A35:A58" si="10">IF(A8=0,"",A8)</f>
        <v>Product 2</v>
      </c>
      <c r="B35" s="56">
        <v>14.99</v>
      </c>
      <c r="C35" s="56">
        <v>14.99</v>
      </c>
      <c r="D35" s="56">
        <v>14.99</v>
      </c>
      <c r="E35" s="56">
        <v>14.99</v>
      </c>
      <c r="F35" s="56">
        <v>14.99</v>
      </c>
      <c r="G35" s="56">
        <v>14.99</v>
      </c>
      <c r="H35" s="56">
        <v>14.99</v>
      </c>
      <c r="I35" s="56">
        <v>14.99</v>
      </c>
      <c r="J35" s="56">
        <v>14.99</v>
      </c>
      <c r="K35" s="56">
        <v>14.99</v>
      </c>
      <c r="L35" s="56">
        <v>14.99</v>
      </c>
      <c r="M35" s="56">
        <v>14.99</v>
      </c>
      <c r="N35" s="57">
        <f>AVERAGE(B35:M35)</f>
        <v>14.990000000000002</v>
      </c>
      <c r="P35" s="65" t="str">
        <f t="shared" si="7"/>
        <v>Product 2</v>
      </c>
      <c r="Q35" s="56">
        <v>14.99</v>
      </c>
      <c r="R35" s="56">
        <v>14.99</v>
      </c>
      <c r="S35" s="56">
        <v>14.99</v>
      </c>
      <c r="T35" s="56">
        <v>14.99</v>
      </c>
      <c r="U35" s="56">
        <v>14.99</v>
      </c>
      <c r="V35" s="56">
        <v>14.99</v>
      </c>
      <c r="W35" s="56">
        <v>14.99</v>
      </c>
      <c r="X35" s="56">
        <v>14.99</v>
      </c>
      <c r="Y35" s="56">
        <v>14.99</v>
      </c>
      <c r="Z35" s="56">
        <v>14.99</v>
      </c>
      <c r="AA35" s="56">
        <v>14.99</v>
      </c>
      <c r="AB35" s="56">
        <v>14.99</v>
      </c>
      <c r="AC35" s="57">
        <f>AVERAGE(Q35:AB35)</f>
        <v>14.990000000000002</v>
      </c>
      <c r="AE35" s="65" t="str">
        <f t="shared" si="8"/>
        <v>Product 2</v>
      </c>
      <c r="AF35" s="73">
        <v>14.99</v>
      </c>
      <c r="AG35" s="73">
        <v>14.99</v>
      </c>
      <c r="AH35" s="73">
        <v>14.99</v>
      </c>
      <c r="AI35" s="73">
        <v>14.99</v>
      </c>
      <c r="AJ35" s="73">
        <v>14.99</v>
      </c>
      <c r="AK35" s="73">
        <v>14.99</v>
      </c>
      <c r="AL35" s="73">
        <v>14.99</v>
      </c>
      <c r="AM35" s="73">
        <v>14.99</v>
      </c>
      <c r="AN35" s="73">
        <v>14.99</v>
      </c>
      <c r="AO35" s="73">
        <v>14.99</v>
      </c>
      <c r="AP35" s="73">
        <v>14.99</v>
      </c>
      <c r="AQ35" s="73">
        <v>14.99</v>
      </c>
      <c r="AR35" s="57">
        <f>AVERAGE(AF35:AQ35)</f>
        <v>14.990000000000002</v>
      </c>
      <c r="AT35" s="65" t="str">
        <f t="shared" si="9"/>
        <v>Product 2</v>
      </c>
      <c r="AU35" s="67">
        <f>AC35-N35</f>
        <v>0</v>
      </c>
      <c r="AV35" s="67">
        <f t="shared" ref="AV35:AV36" si="11">AR35-N35</f>
        <v>0</v>
      </c>
      <c r="AW35" s="67">
        <f>AR35-AC35</f>
        <v>0</v>
      </c>
    </row>
    <row r="36" spans="1:49" s="38" customFormat="1" ht="15" customHeight="1" x14ac:dyDescent="0.2">
      <c r="A36" s="65" t="str">
        <f t="shared" si="10"/>
        <v>Product 3</v>
      </c>
      <c r="B36" s="56">
        <v>49.99</v>
      </c>
      <c r="C36" s="56">
        <v>49.99</v>
      </c>
      <c r="D36" s="56">
        <v>49.99</v>
      </c>
      <c r="E36" s="56">
        <v>49.99</v>
      </c>
      <c r="F36" s="56">
        <v>49.99</v>
      </c>
      <c r="G36" s="56">
        <v>49.99</v>
      </c>
      <c r="H36" s="56">
        <v>49.99</v>
      </c>
      <c r="I36" s="56">
        <v>49.99</v>
      </c>
      <c r="J36" s="56">
        <v>49.99</v>
      </c>
      <c r="K36" s="56">
        <v>49.99</v>
      </c>
      <c r="L36" s="56">
        <v>49.99</v>
      </c>
      <c r="M36" s="56">
        <v>49.99</v>
      </c>
      <c r="N36" s="57">
        <f>AVERAGE(B36:M36)</f>
        <v>49.99</v>
      </c>
      <c r="P36" s="65" t="str">
        <f t="shared" si="7"/>
        <v>Product 3</v>
      </c>
      <c r="Q36" s="56">
        <v>54.99</v>
      </c>
      <c r="R36" s="56">
        <v>54.99</v>
      </c>
      <c r="S36" s="56">
        <v>54.99</v>
      </c>
      <c r="T36" s="56">
        <v>54.99</v>
      </c>
      <c r="U36" s="56">
        <v>54.99</v>
      </c>
      <c r="V36" s="56">
        <v>54.99</v>
      </c>
      <c r="W36" s="56">
        <v>54.99</v>
      </c>
      <c r="X36" s="56">
        <v>54.99</v>
      </c>
      <c r="Y36" s="56">
        <v>54.99</v>
      </c>
      <c r="Z36" s="56">
        <v>54.99</v>
      </c>
      <c r="AA36" s="56">
        <v>54.99</v>
      </c>
      <c r="AB36" s="56">
        <v>54.99</v>
      </c>
      <c r="AC36" s="57">
        <f>AVERAGE(Q36:AB36)</f>
        <v>54.99</v>
      </c>
      <c r="AE36" s="65" t="str">
        <f t="shared" si="8"/>
        <v>Product 3</v>
      </c>
      <c r="AF36" s="73">
        <v>59.99</v>
      </c>
      <c r="AG36" s="73">
        <v>59.99</v>
      </c>
      <c r="AH36" s="73">
        <v>59.99</v>
      </c>
      <c r="AI36" s="73">
        <v>59.99</v>
      </c>
      <c r="AJ36" s="73">
        <v>59.99</v>
      </c>
      <c r="AK36" s="73">
        <v>59.99</v>
      </c>
      <c r="AL36" s="73">
        <v>59.99</v>
      </c>
      <c r="AM36" s="73">
        <v>59.99</v>
      </c>
      <c r="AN36" s="73">
        <v>59.99</v>
      </c>
      <c r="AO36" s="73">
        <v>59.99</v>
      </c>
      <c r="AP36" s="73">
        <v>59.99</v>
      </c>
      <c r="AQ36" s="73">
        <v>59.99</v>
      </c>
      <c r="AR36" s="57">
        <f>AVERAGE(AF36:AQ36)</f>
        <v>59.99</v>
      </c>
      <c r="AT36" s="65" t="str">
        <f t="shared" si="9"/>
        <v>Product 3</v>
      </c>
      <c r="AU36" s="67">
        <f>AC36-N36</f>
        <v>5</v>
      </c>
      <c r="AV36" s="67">
        <f t="shared" si="11"/>
        <v>10</v>
      </c>
      <c r="AW36" s="67">
        <f>AR36-AC36</f>
        <v>5</v>
      </c>
    </row>
    <row r="37" spans="1:49" s="38" customFormat="1" ht="15" hidden="1" customHeight="1" x14ac:dyDescent="0.2">
      <c r="A37" s="65" t="str">
        <f t="shared" si="10"/>
        <v/>
      </c>
      <c r="B37" s="56"/>
      <c r="C37" s="56"/>
      <c r="D37" s="56"/>
      <c r="E37" s="56"/>
      <c r="F37" s="56"/>
      <c r="G37" s="56"/>
      <c r="H37" s="56"/>
      <c r="I37" s="56"/>
      <c r="J37" s="56"/>
      <c r="K37" s="56"/>
      <c r="L37" s="56"/>
      <c r="M37" s="56"/>
      <c r="N37" s="57"/>
      <c r="P37" s="65" t="str">
        <f t="shared" si="7"/>
        <v/>
      </c>
      <c r="Q37" s="56"/>
      <c r="R37" s="56"/>
      <c r="S37" s="56"/>
      <c r="T37" s="56"/>
      <c r="U37" s="56"/>
      <c r="V37" s="56"/>
      <c r="W37" s="56"/>
      <c r="X37" s="56"/>
      <c r="Y37" s="56"/>
      <c r="Z37" s="56"/>
      <c r="AA37" s="56"/>
      <c r="AB37" s="56"/>
      <c r="AC37" s="57"/>
      <c r="AE37" s="65" t="str">
        <f t="shared" si="8"/>
        <v/>
      </c>
      <c r="AF37" s="73"/>
      <c r="AG37" s="73"/>
      <c r="AH37" s="73"/>
      <c r="AI37" s="73"/>
      <c r="AJ37" s="73"/>
      <c r="AK37" s="73"/>
      <c r="AL37" s="73"/>
      <c r="AM37" s="73"/>
      <c r="AN37" s="73"/>
      <c r="AO37" s="73"/>
      <c r="AP37" s="73"/>
      <c r="AQ37" s="73"/>
      <c r="AR37" s="57"/>
      <c r="AT37" s="65" t="str">
        <f t="shared" si="9"/>
        <v/>
      </c>
      <c r="AU37" s="67"/>
      <c r="AV37" s="67"/>
      <c r="AW37" s="67"/>
    </row>
    <row r="38" spans="1:49" s="38" customFormat="1" ht="15" hidden="1" customHeight="1" x14ac:dyDescent="0.2">
      <c r="A38" s="65" t="str">
        <f t="shared" si="10"/>
        <v/>
      </c>
      <c r="B38" s="56"/>
      <c r="C38" s="56"/>
      <c r="D38" s="56"/>
      <c r="E38" s="56"/>
      <c r="F38" s="56"/>
      <c r="G38" s="56"/>
      <c r="H38" s="56"/>
      <c r="I38" s="56"/>
      <c r="J38" s="56"/>
      <c r="K38" s="56"/>
      <c r="L38" s="56"/>
      <c r="M38" s="56"/>
      <c r="N38" s="57"/>
      <c r="P38" s="65" t="str">
        <f t="shared" si="7"/>
        <v/>
      </c>
      <c r="Q38" s="56"/>
      <c r="R38" s="56"/>
      <c r="S38" s="56"/>
      <c r="T38" s="56"/>
      <c r="U38" s="56"/>
      <c r="V38" s="56"/>
      <c r="W38" s="56"/>
      <c r="X38" s="56"/>
      <c r="Y38" s="56"/>
      <c r="Z38" s="56"/>
      <c r="AA38" s="56"/>
      <c r="AB38" s="56"/>
      <c r="AC38" s="57"/>
      <c r="AE38" s="65" t="str">
        <f t="shared" si="8"/>
        <v/>
      </c>
      <c r="AF38" s="73"/>
      <c r="AG38" s="73"/>
      <c r="AH38" s="73"/>
      <c r="AI38" s="73"/>
      <c r="AJ38" s="73"/>
      <c r="AK38" s="73"/>
      <c r="AL38" s="73"/>
      <c r="AM38" s="73"/>
      <c r="AN38" s="73"/>
      <c r="AO38" s="73"/>
      <c r="AP38" s="73"/>
      <c r="AQ38" s="73"/>
      <c r="AR38" s="57"/>
      <c r="AT38" s="65" t="str">
        <f t="shared" si="9"/>
        <v/>
      </c>
      <c r="AU38" s="67"/>
      <c r="AV38" s="67"/>
      <c r="AW38" s="67"/>
    </row>
    <row r="39" spans="1:49" s="38" customFormat="1" ht="15" hidden="1" customHeight="1" x14ac:dyDescent="0.2">
      <c r="A39" s="65" t="str">
        <f t="shared" si="10"/>
        <v/>
      </c>
      <c r="B39" s="56"/>
      <c r="C39" s="56"/>
      <c r="D39" s="56"/>
      <c r="E39" s="56"/>
      <c r="F39" s="56"/>
      <c r="G39" s="56"/>
      <c r="H39" s="56"/>
      <c r="I39" s="56"/>
      <c r="J39" s="56"/>
      <c r="K39" s="56"/>
      <c r="L39" s="56"/>
      <c r="M39" s="56"/>
      <c r="N39" s="57"/>
      <c r="P39" s="65" t="str">
        <f t="shared" si="7"/>
        <v/>
      </c>
      <c r="Q39" s="56"/>
      <c r="R39" s="56"/>
      <c r="S39" s="56"/>
      <c r="T39" s="56"/>
      <c r="U39" s="56"/>
      <c r="V39" s="56"/>
      <c r="W39" s="56"/>
      <c r="X39" s="56"/>
      <c r="Y39" s="56"/>
      <c r="Z39" s="56"/>
      <c r="AA39" s="56"/>
      <c r="AB39" s="56"/>
      <c r="AC39" s="57"/>
      <c r="AE39" s="65" t="str">
        <f t="shared" si="8"/>
        <v/>
      </c>
      <c r="AF39" s="73"/>
      <c r="AG39" s="73"/>
      <c r="AH39" s="73"/>
      <c r="AI39" s="73"/>
      <c r="AJ39" s="73"/>
      <c r="AK39" s="73"/>
      <c r="AL39" s="73"/>
      <c r="AM39" s="73"/>
      <c r="AN39" s="73"/>
      <c r="AO39" s="73"/>
      <c r="AP39" s="73"/>
      <c r="AQ39" s="73"/>
      <c r="AR39" s="57"/>
      <c r="AT39" s="65" t="str">
        <f t="shared" si="9"/>
        <v/>
      </c>
      <c r="AU39" s="67"/>
      <c r="AV39" s="67"/>
      <c r="AW39" s="67"/>
    </row>
    <row r="40" spans="1:49" s="38" customFormat="1" ht="15" hidden="1" customHeight="1" x14ac:dyDescent="0.2">
      <c r="A40" s="65" t="str">
        <f t="shared" si="10"/>
        <v/>
      </c>
      <c r="B40" s="56"/>
      <c r="C40" s="56"/>
      <c r="D40" s="56"/>
      <c r="E40" s="56"/>
      <c r="F40" s="56"/>
      <c r="G40" s="56"/>
      <c r="H40" s="56"/>
      <c r="I40" s="56"/>
      <c r="J40" s="56"/>
      <c r="K40" s="56"/>
      <c r="L40" s="56"/>
      <c r="M40" s="56"/>
      <c r="N40" s="57"/>
      <c r="P40" s="65" t="str">
        <f t="shared" si="7"/>
        <v/>
      </c>
      <c r="Q40" s="56"/>
      <c r="R40" s="56"/>
      <c r="S40" s="56"/>
      <c r="T40" s="56"/>
      <c r="U40" s="56"/>
      <c r="V40" s="56"/>
      <c r="W40" s="56"/>
      <c r="X40" s="56"/>
      <c r="Y40" s="56"/>
      <c r="Z40" s="56"/>
      <c r="AA40" s="56"/>
      <c r="AB40" s="56"/>
      <c r="AC40" s="57"/>
      <c r="AE40" s="65" t="str">
        <f t="shared" si="8"/>
        <v/>
      </c>
      <c r="AF40" s="73"/>
      <c r="AG40" s="73"/>
      <c r="AH40" s="73"/>
      <c r="AI40" s="73"/>
      <c r="AJ40" s="73"/>
      <c r="AK40" s="73"/>
      <c r="AL40" s="73"/>
      <c r="AM40" s="73"/>
      <c r="AN40" s="73"/>
      <c r="AO40" s="73"/>
      <c r="AP40" s="73"/>
      <c r="AQ40" s="73"/>
      <c r="AR40" s="57"/>
      <c r="AT40" s="65" t="str">
        <f t="shared" si="9"/>
        <v/>
      </c>
      <c r="AU40" s="67"/>
      <c r="AV40" s="67"/>
      <c r="AW40" s="67"/>
    </row>
    <row r="41" spans="1:49" s="38" customFormat="1" ht="15" hidden="1" customHeight="1" x14ac:dyDescent="0.2">
      <c r="A41" s="65" t="str">
        <f t="shared" si="10"/>
        <v/>
      </c>
      <c r="B41" s="56"/>
      <c r="C41" s="56"/>
      <c r="D41" s="56"/>
      <c r="E41" s="56"/>
      <c r="F41" s="56"/>
      <c r="G41" s="56"/>
      <c r="H41" s="56"/>
      <c r="I41" s="56"/>
      <c r="J41" s="56"/>
      <c r="K41" s="56"/>
      <c r="L41" s="56"/>
      <c r="M41" s="56"/>
      <c r="N41" s="57"/>
      <c r="P41" s="65" t="str">
        <f t="shared" si="7"/>
        <v/>
      </c>
      <c r="Q41" s="56"/>
      <c r="R41" s="56"/>
      <c r="S41" s="56"/>
      <c r="T41" s="56"/>
      <c r="U41" s="56"/>
      <c r="V41" s="56"/>
      <c r="W41" s="56"/>
      <c r="X41" s="56"/>
      <c r="Y41" s="56"/>
      <c r="Z41" s="56"/>
      <c r="AA41" s="56"/>
      <c r="AB41" s="56"/>
      <c r="AC41" s="57"/>
      <c r="AE41" s="65" t="str">
        <f t="shared" si="8"/>
        <v/>
      </c>
      <c r="AF41" s="73"/>
      <c r="AG41" s="73"/>
      <c r="AH41" s="73"/>
      <c r="AI41" s="73"/>
      <c r="AJ41" s="73"/>
      <c r="AK41" s="73"/>
      <c r="AL41" s="73"/>
      <c r="AM41" s="73"/>
      <c r="AN41" s="73"/>
      <c r="AO41" s="73"/>
      <c r="AP41" s="73"/>
      <c r="AQ41" s="73"/>
      <c r="AR41" s="57"/>
      <c r="AT41" s="65" t="str">
        <f t="shared" si="9"/>
        <v/>
      </c>
      <c r="AU41" s="67"/>
      <c r="AV41" s="67"/>
      <c r="AW41" s="67"/>
    </row>
    <row r="42" spans="1:49" s="38" customFormat="1" ht="15" hidden="1" customHeight="1" x14ac:dyDescent="0.2">
      <c r="A42" s="65" t="str">
        <f t="shared" si="10"/>
        <v/>
      </c>
      <c r="B42" s="56"/>
      <c r="C42" s="56"/>
      <c r="D42" s="56"/>
      <c r="E42" s="56"/>
      <c r="F42" s="56"/>
      <c r="G42" s="56"/>
      <c r="H42" s="56"/>
      <c r="I42" s="56"/>
      <c r="J42" s="56"/>
      <c r="K42" s="56"/>
      <c r="L42" s="56"/>
      <c r="M42" s="56"/>
      <c r="N42" s="57"/>
      <c r="P42" s="65" t="str">
        <f t="shared" si="7"/>
        <v/>
      </c>
      <c r="Q42" s="56"/>
      <c r="R42" s="56"/>
      <c r="S42" s="56"/>
      <c r="T42" s="56"/>
      <c r="U42" s="56"/>
      <c r="V42" s="56"/>
      <c r="W42" s="56"/>
      <c r="X42" s="56"/>
      <c r="Y42" s="56"/>
      <c r="Z42" s="56"/>
      <c r="AA42" s="56"/>
      <c r="AB42" s="56"/>
      <c r="AC42" s="57"/>
      <c r="AE42" s="65" t="str">
        <f t="shared" si="8"/>
        <v/>
      </c>
      <c r="AF42" s="73"/>
      <c r="AG42" s="73"/>
      <c r="AH42" s="73"/>
      <c r="AI42" s="73"/>
      <c r="AJ42" s="73"/>
      <c r="AK42" s="73"/>
      <c r="AL42" s="73"/>
      <c r="AM42" s="73"/>
      <c r="AN42" s="73"/>
      <c r="AO42" s="73"/>
      <c r="AP42" s="73"/>
      <c r="AQ42" s="73"/>
      <c r="AR42" s="57"/>
      <c r="AT42" s="65" t="str">
        <f t="shared" si="9"/>
        <v/>
      </c>
      <c r="AU42" s="67"/>
      <c r="AV42" s="67"/>
      <c r="AW42" s="67"/>
    </row>
    <row r="43" spans="1:49" s="38" customFormat="1" ht="15" hidden="1" customHeight="1" x14ac:dyDescent="0.2">
      <c r="A43" s="65" t="str">
        <f t="shared" si="10"/>
        <v/>
      </c>
      <c r="B43" s="56"/>
      <c r="C43" s="56"/>
      <c r="D43" s="56"/>
      <c r="E43" s="56"/>
      <c r="F43" s="56"/>
      <c r="G43" s="56"/>
      <c r="H43" s="56"/>
      <c r="I43" s="56"/>
      <c r="J43" s="56"/>
      <c r="K43" s="56"/>
      <c r="L43" s="56"/>
      <c r="M43" s="56"/>
      <c r="N43" s="57"/>
      <c r="P43" s="65" t="str">
        <f t="shared" si="7"/>
        <v/>
      </c>
      <c r="Q43" s="56"/>
      <c r="R43" s="56"/>
      <c r="S43" s="56"/>
      <c r="T43" s="56"/>
      <c r="U43" s="56"/>
      <c r="V43" s="56"/>
      <c r="W43" s="56"/>
      <c r="X43" s="56"/>
      <c r="Y43" s="56"/>
      <c r="Z43" s="56"/>
      <c r="AA43" s="56"/>
      <c r="AB43" s="56"/>
      <c r="AC43" s="57"/>
      <c r="AE43" s="65" t="str">
        <f t="shared" si="8"/>
        <v/>
      </c>
      <c r="AF43" s="73"/>
      <c r="AG43" s="73"/>
      <c r="AH43" s="73"/>
      <c r="AI43" s="73"/>
      <c r="AJ43" s="73"/>
      <c r="AK43" s="73"/>
      <c r="AL43" s="73"/>
      <c r="AM43" s="73"/>
      <c r="AN43" s="73"/>
      <c r="AO43" s="73"/>
      <c r="AP43" s="73"/>
      <c r="AQ43" s="73"/>
      <c r="AR43" s="57"/>
      <c r="AT43" s="65" t="str">
        <f t="shared" si="9"/>
        <v/>
      </c>
      <c r="AU43" s="67"/>
      <c r="AV43" s="67"/>
      <c r="AW43" s="67"/>
    </row>
    <row r="44" spans="1:49" s="38" customFormat="1" ht="15" hidden="1" customHeight="1" x14ac:dyDescent="0.2">
      <c r="A44" s="65" t="str">
        <f t="shared" si="10"/>
        <v/>
      </c>
      <c r="B44" s="56"/>
      <c r="C44" s="56"/>
      <c r="D44" s="56"/>
      <c r="E44" s="56"/>
      <c r="F44" s="56"/>
      <c r="G44" s="56"/>
      <c r="H44" s="56"/>
      <c r="I44" s="56"/>
      <c r="J44" s="56"/>
      <c r="K44" s="56"/>
      <c r="L44" s="56"/>
      <c r="M44" s="56"/>
      <c r="N44" s="57"/>
      <c r="P44" s="65" t="str">
        <f t="shared" si="7"/>
        <v/>
      </c>
      <c r="Q44" s="56"/>
      <c r="R44" s="56"/>
      <c r="S44" s="56"/>
      <c r="T44" s="56"/>
      <c r="U44" s="56"/>
      <c r="V44" s="56"/>
      <c r="W44" s="56"/>
      <c r="X44" s="56"/>
      <c r="Y44" s="56"/>
      <c r="Z44" s="56"/>
      <c r="AA44" s="56"/>
      <c r="AB44" s="56"/>
      <c r="AC44" s="57"/>
      <c r="AE44" s="65" t="str">
        <f t="shared" si="8"/>
        <v/>
      </c>
      <c r="AF44" s="73"/>
      <c r="AG44" s="73"/>
      <c r="AH44" s="73"/>
      <c r="AI44" s="73"/>
      <c r="AJ44" s="73"/>
      <c r="AK44" s="73"/>
      <c r="AL44" s="73"/>
      <c r="AM44" s="73"/>
      <c r="AN44" s="73"/>
      <c r="AO44" s="73"/>
      <c r="AP44" s="73"/>
      <c r="AQ44" s="73"/>
      <c r="AR44" s="57"/>
      <c r="AT44" s="65" t="str">
        <f t="shared" si="9"/>
        <v/>
      </c>
      <c r="AU44" s="67"/>
      <c r="AV44" s="67"/>
      <c r="AW44" s="67"/>
    </row>
    <row r="45" spans="1:49" s="38" customFormat="1" ht="15" hidden="1" customHeight="1" x14ac:dyDescent="0.2">
      <c r="A45" s="65" t="str">
        <f t="shared" si="10"/>
        <v/>
      </c>
      <c r="B45" s="56"/>
      <c r="C45" s="56"/>
      <c r="D45" s="56"/>
      <c r="E45" s="56"/>
      <c r="F45" s="56"/>
      <c r="G45" s="56"/>
      <c r="H45" s="56"/>
      <c r="I45" s="56"/>
      <c r="J45" s="56"/>
      <c r="K45" s="56"/>
      <c r="L45" s="56"/>
      <c r="M45" s="56"/>
      <c r="N45" s="57"/>
      <c r="P45" s="65" t="str">
        <f t="shared" si="7"/>
        <v/>
      </c>
      <c r="Q45" s="56"/>
      <c r="R45" s="56"/>
      <c r="S45" s="56"/>
      <c r="T45" s="56"/>
      <c r="U45" s="56"/>
      <c r="V45" s="56"/>
      <c r="W45" s="56"/>
      <c r="X45" s="56"/>
      <c r="Y45" s="56"/>
      <c r="Z45" s="56"/>
      <c r="AA45" s="56"/>
      <c r="AB45" s="56"/>
      <c r="AC45" s="57"/>
      <c r="AE45" s="65" t="str">
        <f t="shared" si="8"/>
        <v/>
      </c>
      <c r="AF45" s="73"/>
      <c r="AG45" s="73"/>
      <c r="AH45" s="73"/>
      <c r="AI45" s="73"/>
      <c r="AJ45" s="73"/>
      <c r="AK45" s="73"/>
      <c r="AL45" s="73"/>
      <c r="AM45" s="73"/>
      <c r="AN45" s="73"/>
      <c r="AO45" s="73"/>
      <c r="AP45" s="73"/>
      <c r="AQ45" s="73"/>
      <c r="AR45" s="57"/>
      <c r="AT45" s="65" t="str">
        <f t="shared" si="9"/>
        <v/>
      </c>
      <c r="AU45" s="67"/>
      <c r="AV45" s="67"/>
      <c r="AW45" s="67"/>
    </row>
    <row r="46" spans="1:49" s="38" customFormat="1" ht="15" hidden="1" customHeight="1" x14ac:dyDescent="0.2">
      <c r="A46" s="65" t="str">
        <f t="shared" si="10"/>
        <v/>
      </c>
      <c r="B46" s="56"/>
      <c r="C46" s="56"/>
      <c r="D46" s="56"/>
      <c r="E46" s="56"/>
      <c r="F46" s="56"/>
      <c r="G46" s="56"/>
      <c r="H46" s="56"/>
      <c r="I46" s="56"/>
      <c r="J46" s="56"/>
      <c r="K46" s="56"/>
      <c r="L46" s="56"/>
      <c r="M46" s="56"/>
      <c r="N46" s="57"/>
      <c r="P46" s="65" t="str">
        <f t="shared" si="7"/>
        <v/>
      </c>
      <c r="Q46" s="56"/>
      <c r="R46" s="56"/>
      <c r="S46" s="56"/>
      <c r="T46" s="56"/>
      <c r="U46" s="56"/>
      <c r="V46" s="56"/>
      <c r="W46" s="56"/>
      <c r="X46" s="56"/>
      <c r="Y46" s="56"/>
      <c r="Z46" s="56"/>
      <c r="AA46" s="56"/>
      <c r="AB46" s="56"/>
      <c r="AC46" s="57"/>
      <c r="AE46" s="65" t="str">
        <f t="shared" si="8"/>
        <v/>
      </c>
      <c r="AF46" s="73"/>
      <c r="AG46" s="73"/>
      <c r="AH46" s="73"/>
      <c r="AI46" s="73"/>
      <c r="AJ46" s="73"/>
      <c r="AK46" s="73"/>
      <c r="AL46" s="73"/>
      <c r="AM46" s="73"/>
      <c r="AN46" s="73"/>
      <c r="AO46" s="73"/>
      <c r="AP46" s="73"/>
      <c r="AQ46" s="73"/>
      <c r="AR46" s="57"/>
      <c r="AT46" s="65" t="str">
        <f t="shared" si="9"/>
        <v/>
      </c>
      <c r="AU46" s="67"/>
      <c r="AV46" s="67"/>
      <c r="AW46" s="67"/>
    </row>
    <row r="47" spans="1:49" s="38" customFormat="1" ht="15" hidden="1" customHeight="1" x14ac:dyDescent="0.2">
      <c r="A47" s="65" t="str">
        <f t="shared" si="10"/>
        <v/>
      </c>
      <c r="B47" s="56"/>
      <c r="C47" s="56"/>
      <c r="D47" s="56"/>
      <c r="E47" s="56"/>
      <c r="F47" s="56"/>
      <c r="G47" s="56"/>
      <c r="H47" s="56"/>
      <c r="I47" s="56"/>
      <c r="J47" s="56"/>
      <c r="K47" s="56"/>
      <c r="L47" s="56"/>
      <c r="M47" s="56"/>
      <c r="N47" s="57"/>
      <c r="P47" s="65" t="str">
        <f t="shared" si="7"/>
        <v/>
      </c>
      <c r="Q47" s="56"/>
      <c r="R47" s="56"/>
      <c r="S47" s="56"/>
      <c r="T47" s="56"/>
      <c r="U47" s="56"/>
      <c r="V47" s="56"/>
      <c r="W47" s="56"/>
      <c r="X47" s="56"/>
      <c r="Y47" s="56"/>
      <c r="Z47" s="56"/>
      <c r="AA47" s="56"/>
      <c r="AB47" s="56"/>
      <c r="AC47" s="57"/>
      <c r="AE47" s="65" t="str">
        <f t="shared" si="8"/>
        <v/>
      </c>
      <c r="AF47" s="73"/>
      <c r="AG47" s="73"/>
      <c r="AH47" s="73"/>
      <c r="AI47" s="73"/>
      <c r="AJ47" s="73"/>
      <c r="AK47" s="73"/>
      <c r="AL47" s="73"/>
      <c r="AM47" s="73"/>
      <c r="AN47" s="73"/>
      <c r="AO47" s="73"/>
      <c r="AP47" s="73"/>
      <c r="AQ47" s="73"/>
      <c r="AR47" s="57"/>
      <c r="AT47" s="65" t="str">
        <f t="shared" si="9"/>
        <v/>
      </c>
      <c r="AU47" s="67"/>
      <c r="AV47" s="67"/>
      <c r="AW47" s="67"/>
    </row>
    <row r="48" spans="1:49" s="38" customFormat="1" ht="15" hidden="1" customHeight="1" x14ac:dyDescent="0.2">
      <c r="A48" s="65" t="str">
        <f t="shared" si="10"/>
        <v/>
      </c>
      <c r="B48" s="56"/>
      <c r="C48" s="56"/>
      <c r="D48" s="56"/>
      <c r="E48" s="56"/>
      <c r="F48" s="56"/>
      <c r="G48" s="56"/>
      <c r="H48" s="56"/>
      <c r="I48" s="56"/>
      <c r="J48" s="56"/>
      <c r="K48" s="56"/>
      <c r="L48" s="56"/>
      <c r="M48" s="56"/>
      <c r="N48" s="57"/>
      <c r="P48" s="65" t="str">
        <f t="shared" si="7"/>
        <v/>
      </c>
      <c r="Q48" s="56"/>
      <c r="R48" s="56"/>
      <c r="S48" s="56"/>
      <c r="T48" s="56"/>
      <c r="U48" s="56"/>
      <c r="V48" s="56"/>
      <c r="W48" s="56"/>
      <c r="X48" s="56"/>
      <c r="Y48" s="56"/>
      <c r="Z48" s="56"/>
      <c r="AA48" s="56"/>
      <c r="AB48" s="56"/>
      <c r="AC48" s="57"/>
      <c r="AE48" s="65" t="str">
        <f t="shared" si="8"/>
        <v/>
      </c>
      <c r="AF48" s="73"/>
      <c r="AG48" s="73"/>
      <c r="AH48" s="73"/>
      <c r="AI48" s="73"/>
      <c r="AJ48" s="73"/>
      <c r="AK48" s="73"/>
      <c r="AL48" s="73"/>
      <c r="AM48" s="73"/>
      <c r="AN48" s="73"/>
      <c r="AO48" s="73"/>
      <c r="AP48" s="73"/>
      <c r="AQ48" s="73"/>
      <c r="AR48" s="57"/>
      <c r="AT48" s="65" t="str">
        <f t="shared" si="9"/>
        <v/>
      </c>
      <c r="AU48" s="67"/>
      <c r="AV48" s="67"/>
      <c r="AW48" s="67"/>
    </row>
    <row r="49" spans="1:49" s="38" customFormat="1" ht="15" hidden="1" customHeight="1" x14ac:dyDescent="0.2">
      <c r="A49" s="65" t="str">
        <f t="shared" si="10"/>
        <v/>
      </c>
      <c r="B49" s="56"/>
      <c r="C49" s="56"/>
      <c r="D49" s="56"/>
      <c r="E49" s="56"/>
      <c r="F49" s="56"/>
      <c r="G49" s="56"/>
      <c r="H49" s="56"/>
      <c r="I49" s="56"/>
      <c r="J49" s="56"/>
      <c r="K49" s="56"/>
      <c r="L49" s="56"/>
      <c r="M49" s="56"/>
      <c r="N49" s="57"/>
      <c r="P49" s="65" t="str">
        <f t="shared" si="7"/>
        <v/>
      </c>
      <c r="Q49" s="56"/>
      <c r="R49" s="56"/>
      <c r="S49" s="56"/>
      <c r="T49" s="56"/>
      <c r="U49" s="56"/>
      <c r="V49" s="56"/>
      <c r="W49" s="56"/>
      <c r="X49" s="56"/>
      <c r="Y49" s="56"/>
      <c r="Z49" s="56"/>
      <c r="AA49" s="56"/>
      <c r="AB49" s="56"/>
      <c r="AC49" s="57"/>
      <c r="AE49" s="65" t="str">
        <f t="shared" si="8"/>
        <v/>
      </c>
      <c r="AF49" s="73"/>
      <c r="AG49" s="73"/>
      <c r="AH49" s="73"/>
      <c r="AI49" s="73"/>
      <c r="AJ49" s="73"/>
      <c r="AK49" s="73"/>
      <c r="AL49" s="73"/>
      <c r="AM49" s="73"/>
      <c r="AN49" s="73"/>
      <c r="AO49" s="73"/>
      <c r="AP49" s="73"/>
      <c r="AQ49" s="73"/>
      <c r="AR49" s="57"/>
      <c r="AT49" s="65" t="str">
        <f t="shared" si="9"/>
        <v/>
      </c>
      <c r="AU49" s="67"/>
      <c r="AV49" s="67"/>
      <c r="AW49" s="67"/>
    </row>
    <row r="50" spans="1:49" s="38" customFormat="1" ht="15" hidden="1" customHeight="1" x14ac:dyDescent="0.2">
      <c r="A50" s="65" t="str">
        <f t="shared" si="10"/>
        <v/>
      </c>
      <c r="B50" s="56"/>
      <c r="C50" s="56"/>
      <c r="D50" s="56"/>
      <c r="E50" s="56"/>
      <c r="F50" s="56"/>
      <c r="G50" s="56"/>
      <c r="H50" s="56"/>
      <c r="I50" s="56"/>
      <c r="J50" s="56"/>
      <c r="K50" s="56"/>
      <c r="L50" s="56"/>
      <c r="M50" s="56"/>
      <c r="N50" s="57"/>
      <c r="P50" s="65" t="str">
        <f t="shared" si="7"/>
        <v/>
      </c>
      <c r="Q50" s="56"/>
      <c r="R50" s="56"/>
      <c r="S50" s="56"/>
      <c r="T50" s="56"/>
      <c r="U50" s="56"/>
      <c r="V50" s="56"/>
      <c r="W50" s="56"/>
      <c r="X50" s="56"/>
      <c r="Y50" s="56"/>
      <c r="Z50" s="56"/>
      <c r="AA50" s="56"/>
      <c r="AB50" s="56"/>
      <c r="AC50" s="57"/>
      <c r="AE50" s="65" t="str">
        <f t="shared" si="8"/>
        <v/>
      </c>
      <c r="AF50" s="73"/>
      <c r="AG50" s="73"/>
      <c r="AH50" s="73"/>
      <c r="AI50" s="73"/>
      <c r="AJ50" s="73"/>
      <c r="AK50" s="73"/>
      <c r="AL50" s="73"/>
      <c r="AM50" s="73"/>
      <c r="AN50" s="73"/>
      <c r="AO50" s="73"/>
      <c r="AP50" s="73"/>
      <c r="AQ50" s="73"/>
      <c r="AR50" s="57"/>
      <c r="AT50" s="65" t="str">
        <f t="shared" si="9"/>
        <v/>
      </c>
      <c r="AU50" s="67"/>
      <c r="AV50" s="67"/>
      <c r="AW50" s="67"/>
    </row>
    <row r="51" spans="1:49" s="38" customFormat="1" ht="15" hidden="1" customHeight="1" x14ac:dyDescent="0.2">
      <c r="A51" s="65" t="str">
        <f t="shared" si="10"/>
        <v/>
      </c>
      <c r="B51" s="56"/>
      <c r="C51" s="56"/>
      <c r="D51" s="56"/>
      <c r="E51" s="56"/>
      <c r="F51" s="56"/>
      <c r="G51" s="56"/>
      <c r="H51" s="56"/>
      <c r="I51" s="56"/>
      <c r="J51" s="56"/>
      <c r="K51" s="56"/>
      <c r="L51" s="56"/>
      <c r="M51" s="56"/>
      <c r="N51" s="57"/>
      <c r="P51" s="65" t="str">
        <f t="shared" si="7"/>
        <v/>
      </c>
      <c r="Q51" s="56"/>
      <c r="R51" s="56"/>
      <c r="S51" s="56"/>
      <c r="T51" s="56"/>
      <c r="U51" s="56"/>
      <c r="V51" s="56"/>
      <c r="W51" s="56"/>
      <c r="X51" s="56"/>
      <c r="Y51" s="56"/>
      <c r="Z51" s="56"/>
      <c r="AA51" s="56"/>
      <c r="AB51" s="56"/>
      <c r="AC51" s="57"/>
      <c r="AE51" s="65" t="str">
        <f t="shared" si="8"/>
        <v/>
      </c>
      <c r="AF51" s="73"/>
      <c r="AG51" s="73"/>
      <c r="AH51" s="73"/>
      <c r="AI51" s="73"/>
      <c r="AJ51" s="73"/>
      <c r="AK51" s="73"/>
      <c r="AL51" s="73"/>
      <c r="AM51" s="73"/>
      <c r="AN51" s="73"/>
      <c r="AO51" s="73"/>
      <c r="AP51" s="73"/>
      <c r="AQ51" s="73"/>
      <c r="AR51" s="57"/>
      <c r="AT51" s="65" t="str">
        <f t="shared" si="9"/>
        <v/>
      </c>
      <c r="AU51" s="67"/>
      <c r="AV51" s="67"/>
      <c r="AW51" s="67"/>
    </row>
    <row r="52" spans="1:49" s="38" customFormat="1" ht="15" hidden="1" customHeight="1" x14ac:dyDescent="0.2">
      <c r="A52" s="65" t="str">
        <f t="shared" si="10"/>
        <v/>
      </c>
      <c r="B52" s="54"/>
      <c r="C52" s="54"/>
      <c r="D52" s="54"/>
      <c r="E52" s="54"/>
      <c r="F52" s="54"/>
      <c r="G52" s="54"/>
      <c r="H52" s="54"/>
      <c r="I52" s="54"/>
      <c r="J52" s="54"/>
      <c r="K52" s="54"/>
      <c r="L52" s="54"/>
      <c r="M52" s="54"/>
      <c r="N52" s="55"/>
      <c r="P52" s="65" t="str">
        <f t="shared" si="7"/>
        <v/>
      </c>
      <c r="Q52" s="54"/>
      <c r="R52" s="54"/>
      <c r="S52" s="54"/>
      <c r="T52" s="54"/>
      <c r="U52" s="54"/>
      <c r="V52" s="54"/>
      <c r="W52" s="54"/>
      <c r="X52" s="54"/>
      <c r="Y52" s="54"/>
      <c r="Z52" s="54"/>
      <c r="AA52" s="54"/>
      <c r="AB52" s="54"/>
      <c r="AC52" s="55"/>
      <c r="AE52" s="65" t="str">
        <f t="shared" si="8"/>
        <v/>
      </c>
      <c r="AF52" s="54"/>
      <c r="AG52" s="54"/>
      <c r="AH52" s="54"/>
      <c r="AI52" s="54"/>
      <c r="AJ52" s="54"/>
      <c r="AK52" s="54"/>
      <c r="AL52" s="54"/>
      <c r="AM52" s="54"/>
      <c r="AN52" s="54"/>
      <c r="AO52" s="54"/>
      <c r="AP52" s="54"/>
      <c r="AQ52" s="54"/>
      <c r="AR52" s="55"/>
      <c r="AS52" s="40"/>
      <c r="AT52" s="65" t="str">
        <f t="shared" si="9"/>
        <v/>
      </c>
      <c r="AU52" s="69"/>
      <c r="AV52" s="69"/>
      <c r="AW52" s="69"/>
    </row>
    <row r="53" spans="1:49" s="38" customFormat="1" ht="15" hidden="1" customHeight="1" x14ac:dyDescent="0.2">
      <c r="A53" s="65" t="str">
        <f t="shared" si="10"/>
        <v/>
      </c>
      <c r="B53" s="54"/>
      <c r="C53" s="54"/>
      <c r="D53" s="54"/>
      <c r="E53" s="54"/>
      <c r="F53" s="54"/>
      <c r="G53" s="54"/>
      <c r="H53" s="54"/>
      <c r="I53" s="54"/>
      <c r="J53" s="54"/>
      <c r="K53" s="54"/>
      <c r="L53" s="54"/>
      <c r="M53" s="54"/>
      <c r="N53" s="55"/>
      <c r="P53" s="65" t="str">
        <f t="shared" si="7"/>
        <v/>
      </c>
      <c r="Q53" s="54"/>
      <c r="R53" s="54"/>
      <c r="S53" s="54"/>
      <c r="T53" s="54"/>
      <c r="U53" s="54"/>
      <c r="V53" s="54"/>
      <c r="W53" s="54"/>
      <c r="X53" s="54"/>
      <c r="Y53" s="54"/>
      <c r="Z53" s="54"/>
      <c r="AA53" s="54"/>
      <c r="AB53" s="54"/>
      <c r="AC53" s="55"/>
      <c r="AE53" s="65" t="str">
        <f t="shared" si="8"/>
        <v/>
      </c>
      <c r="AF53" s="54"/>
      <c r="AG53" s="54"/>
      <c r="AH53" s="54"/>
      <c r="AI53" s="54"/>
      <c r="AJ53" s="54"/>
      <c r="AK53" s="54"/>
      <c r="AL53" s="54"/>
      <c r="AM53" s="54"/>
      <c r="AN53" s="54"/>
      <c r="AO53" s="54"/>
      <c r="AP53" s="54"/>
      <c r="AQ53" s="54"/>
      <c r="AR53" s="55"/>
      <c r="AS53" s="40"/>
      <c r="AT53" s="65" t="str">
        <f t="shared" si="9"/>
        <v/>
      </c>
      <c r="AU53" s="69"/>
      <c r="AV53" s="69"/>
      <c r="AW53" s="69"/>
    </row>
    <row r="54" spans="1:49" s="38" customFormat="1" ht="15" hidden="1" customHeight="1" x14ac:dyDescent="0.2">
      <c r="A54" s="65" t="str">
        <f t="shared" si="10"/>
        <v/>
      </c>
      <c r="B54" s="54"/>
      <c r="C54" s="54"/>
      <c r="D54" s="54"/>
      <c r="E54" s="54"/>
      <c r="F54" s="54"/>
      <c r="G54" s="54"/>
      <c r="H54" s="54"/>
      <c r="I54" s="54"/>
      <c r="J54" s="54"/>
      <c r="K54" s="54"/>
      <c r="L54" s="54"/>
      <c r="M54" s="54"/>
      <c r="N54" s="55"/>
      <c r="P54" s="65" t="str">
        <f t="shared" si="7"/>
        <v/>
      </c>
      <c r="Q54" s="54"/>
      <c r="R54" s="54"/>
      <c r="S54" s="54"/>
      <c r="T54" s="54"/>
      <c r="U54" s="54"/>
      <c r="V54" s="54"/>
      <c r="W54" s="54"/>
      <c r="X54" s="54"/>
      <c r="Y54" s="54"/>
      <c r="Z54" s="54"/>
      <c r="AA54" s="54"/>
      <c r="AB54" s="54"/>
      <c r="AC54" s="55"/>
      <c r="AE54" s="65" t="str">
        <f t="shared" si="8"/>
        <v/>
      </c>
      <c r="AF54" s="54"/>
      <c r="AG54" s="54"/>
      <c r="AH54" s="54"/>
      <c r="AI54" s="54"/>
      <c r="AJ54" s="54"/>
      <c r="AK54" s="54"/>
      <c r="AL54" s="54"/>
      <c r="AM54" s="54"/>
      <c r="AN54" s="54"/>
      <c r="AO54" s="54"/>
      <c r="AP54" s="54"/>
      <c r="AQ54" s="54"/>
      <c r="AR54" s="55"/>
      <c r="AS54" s="40"/>
      <c r="AT54" s="65" t="str">
        <f t="shared" si="9"/>
        <v/>
      </c>
      <c r="AU54" s="69"/>
      <c r="AV54" s="69"/>
      <c r="AW54" s="69"/>
    </row>
    <row r="55" spans="1:49" s="38" customFormat="1" ht="15" hidden="1" customHeight="1" x14ac:dyDescent="0.2">
      <c r="A55" s="65" t="str">
        <f t="shared" si="10"/>
        <v/>
      </c>
      <c r="B55" s="54"/>
      <c r="C55" s="54"/>
      <c r="D55" s="54"/>
      <c r="E55" s="54"/>
      <c r="F55" s="54"/>
      <c r="G55" s="54"/>
      <c r="H55" s="54"/>
      <c r="I55" s="54"/>
      <c r="J55" s="54"/>
      <c r="K55" s="54"/>
      <c r="L55" s="54"/>
      <c r="M55" s="54"/>
      <c r="N55" s="55"/>
      <c r="P55" s="65" t="str">
        <f t="shared" si="7"/>
        <v/>
      </c>
      <c r="Q55" s="54"/>
      <c r="R55" s="54"/>
      <c r="S55" s="54"/>
      <c r="T55" s="54"/>
      <c r="U55" s="54"/>
      <c r="V55" s="54"/>
      <c r="W55" s="54"/>
      <c r="X55" s="54"/>
      <c r="Y55" s="54"/>
      <c r="Z55" s="54"/>
      <c r="AA55" s="54"/>
      <c r="AB55" s="54"/>
      <c r="AC55" s="55"/>
      <c r="AE55" s="65" t="str">
        <f t="shared" si="8"/>
        <v/>
      </c>
      <c r="AF55" s="54"/>
      <c r="AG55" s="54"/>
      <c r="AH55" s="54"/>
      <c r="AI55" s="54"/>
      <c r="AJ55" s="54"/>
      <c r="AK55" s="54"/>
      <c r="AL55" s="54"/>
      <c r="AM55" s="54"/>
      <c r="AN55" s="54"/>
      <c r="AO55" s="54"/>
      <c r="AP55" s="54"/>
      <c r="AQ55" s="54"/>
      <c r="AR55" s="55"/>
      <c r="AS55" s="40"/>
      <c r="AT55" s="65" t="str">
        <f t="shared" si="9"/>
        <v/>
      </c>
      <c r="AU55" s="69"/>
      <c r="AV55" s="69"/>
      <c r="AW55" s="69"/>
    </row>
    <row r="56" spans="1:49" s="38" customFormat="1" ht="15" hidden="1" customHeight="1" x14ac:dyDescent="0.2">
      <c r="A56" s="65" t="str">
        <f t="shared" si="10"/>
        <v/>
      </c>
      <c r="B56" s="54"/>
      <c r="C56" s="54"/>
      <c r="D56" s="54"/>
      <c r="E56" s="54"/>
      <c r="F56" s="54"/>
      <c r="G56" s="54"/>
      <c r="H56" s="54"/>
      <c r="I56" s="54"/>
      <c r="J56" s="54"/>
      <c r="K56" s="54"/>
      <c r="L56" s="54"/>
      <c r="M56" s="54"/>
      <c r="N56" s="55"/>
      <c r="P56" s="65" t="str">
        <f t="shared" si="7"/>
        <v/>
      </c>
      <c r="Q56" s="54"/>
      <c r="R56" s="54"/>
      <c r="S56" s="54"/>
      <c r="T56" s="54"/>
      <c r="U56" s="54"/>
      <c r="V56" s="54"/>
      <c r="W56" s="54"/>
      <c r="X56" s="54"/>
      <c r="Y56" s="54"/>
      <c r="Z56" s="54"/>
      <c r="AA56" s="54"/>
      <c r="AB56" s="54"/>
      <c r="AC56" s="55"/>
      <c r="AE56" s="65" t="str">
        <f t="shared" si="8"/>
        <v/>
      </c>
      <c r="AF56" s="54"/>
      <c r="AG56" s="54"/>
      <c r="AH56" s="54"/>
      <c r="AI56" s="54"/>
      <c r="AJ56" s="54"/>
      <c r="AK56" s="54"/>
      <c r="AL56" s="54"/>
      <c r="AM56" s="54"/>
      <c r="AN56" s="54"/>
      <c r="AO56" s="54"/>
      <c r="AP56" s="54"/>
      <c r="AQ56" s="54"/>
      <c r="AR56" s="55"/>
      <c r="AS56" s="40"/>
      <c r="AT56" s="65" t="str">
        <f t="shared" si="9"/>
        <v/>
      </c>
      <c r="AU56" s="69"/>
      <c r="AV56" s="69"/>
      <c r="AW56" s="69"/>
    </row>
    <row r="57" spans="1:49" s="38" customFormat="1" ht="15" hidden="1" customHeight="1" x14ac:dyDescent="0.2">
      <c r="A57" s="65" t="str">
        <f t="shared" si="10"/>
        <v/>
      </c>
      <c r="B57" s="54"/>
      <c r="C57" s="54"/>
      <c r="D57" s="54"/>
      <c r="E57" s="54"/>
      <c r="F57" s="54"/>
      <c r="G57" s="54"/>
      <c r="H57" s="54"/>
      <c r="I57" s="54"/>
      <c r="J57" s="54"/>
      <c r="K57" s="54"/>
      <c r="L57" s="54"/>
      <c r="M57" s="54"/>
      <c r="N57" s="55"/>
      <c r="P57" s="65" t="str">
        <f t="shared" si="7"/>
        <v/>
      </c>
      <c r="Q57" s="54"/>
      <c r="R57" s="54"/>
      <c r="S57" s="54"/>
      <c r="T57" s="54"/>
      <c r="U57" s="54"/>
      <c r="V57" s="54"/>
      <c r="W57" s="54"/>
      <c r="X57" s="54"/>
      <c r="Y57" s="54"/>
      <c r="Z57" s="54"/>
      <c r="AA57" s="54"/>
      <c r="AB57" s="54"/>
      <c r="AC57" s="55"/>
      <c r="AE57" s="65" t="str">
        <f t="shared" si="8"/>
        <v/>
      </c>
      <c r="AF57" s="54"/>
      <c r="AG57" s="54"/>
      <c r="AH57" s="54"/>
      <c r="AI57" s="54"/>
      <c r="AJ57" s="54"/>
      <c r="AK57" s="54"/>
      <c r="AL57" s="54"/>
      <c r="AM57" s="54"/>
      <c r="AN57" s="54"/>
      <c r="AO57" s="54"/>
      <c r="AP57" s="54"/>
      <c r="AQ57" s="54"/>
      <c r="AR57" s="55"/>
      <c r="AS57" s="40"/>
      <c r="AT57" s="65" t="str">
        <f t="shared" si="9"/>
        <v/>
      </c>
      <c r="AU57" s="69"/>
      <c r="AV57" s="69"/>
      <c r="AW57" s="69"/>
    </row>
    <row r="58" spans="1:49" s="38" customFormat="1" ht="15" hidden="1" customHeight="1" x14ac:dyDescent="0.2">
      <c r="A58" s="65" t="str">
        <f t="shared" si="10"/>
        <v/>
      </c>
      <c r="B58" s="54"/>
      <c r="C58" s="54"/>
      <c r="D58" s="54"/>
      <c r="E58" s="54"/>
      <c r="F58" s="54"/>
      <c r="G58" s="54"/>
      <c r="H58" s="54"/>
      <c r="I58" s="54"/>
      <c r="J58" s="54"/>
      <c r="K58" s="54"/>
      <c r="L58" s="54"/>
      <c r="M58" s="54"/>
      <c r="N58" s="55"/>
      <c r="P58" s="65" t="str">
        <f t="shared" si="7"/>
        <v/>
      </c>
      <c r="Q58" s="54"/>
      <c r="R58" s="54"/>
      <c r="S58" s="54"/>
      <c r="T58" s="54"/>
      <c r="U58" s="54"/>
      <c r="V58" s="54"/>
      <c r="W58" s="54"/>
      <c r="X58" s="54"/>
      <c r="Y58" s="54"/>
      <c r="Z58" s="54"/>
      <c r="AA58" s="54"/>
      <c r="AB58" s="54"/>
      <c r="AC58" s="55"/>
      <c r="AE58" s="65" t="str">
        <f t="shared" si="8"/>
        <v/>
      </c>
      <c r="AF58" s="54"/>
      <c r="AG58" s="54"/>
      <c r="AH58" s="54"/>
      <c r="AI58" s="54"/>
      <c r="AJ58" s="54"/>
      <c r="AK58" s="54"/>
      <c r="AL58" s="54"/>
      <c r="AM58" s="54"/>
      <c r="AN58" s="54"/>
      <c r="AO58" s="54"/>
      <c r="AP58" s="54"/>
      <c r="AQ58" s="54"/>
      <c r="AR58" s="55"/>
      <c r="AS58" s="40"/>
      <c r="AT58" s="65" t="str">
        <f t="shared" si="9"/>
        <v/>
      </c>
      <c r="AU58" s="69"/>
      <c r="AV58" s="69"/>
      <c r="AW58" s="69"/>
    </row>
    <row r="59" spans="1:49" s="38" customFormat="1" ht="9.6" customHeight="1" x14ac:dyDescent="0.2">
      <c r="N59" s="40"/>
      <c r="AC59" s="40"/>
      <c r="AR59" s="40"/>
      <c r="AU59" s="40"/>
      <c r="AV59" s="40"/>
      <c r="AW59" s="40"/>
    </row>
    <row r="60" spans="1:49" s="38" customFormat="1" ht="15" customHeight="1" x14ac:dyDescent="0.2">
      <c r="A60" s="41" t="s">
        <v>33</v>
      </c>
      <c r="N60" s="42" t="s">
        <v>34</v>
      </c>
      <c r="P60" s="41" t="s">
        <v>33</v>
      </c>
      <c r="AC60" s="42" t="s">
        <v>34</v>
      </c>
      <c r="AE60" s="41" t="s">
        <v>33</v>
      </c>
      <c r="AR60" s="42" t="s">
        <v>34</v>
      </c>
      <c r="AT60" s="41" t="s">
        <v>33</v>
      </c>
      <c r="AU60" s="40" t="s">
        <v>22</v>
      </c>
      <c r="AV60" s="40"/>
      <c r="AW60" s="40" t="s">
        <v>22</v>
      </c>
    </row>
    <row r="61" spans="1:49" s="38" customFormat="1" ht="15" customHeight="1" x14ac:dyDescent="0.2">
      <c r="A61" s="82" t="str">
        <f>IF(A7=0,"",A7)</f>
        <v>Product 1</v>
      </c>
      <c r="B61" s="74">
        <v>0</v>
      </c>
      <c r="C61" s="74">
        <f>(C7/B7)-1</f>
        <v>5.0000000000000044E-2</v>
      </c>
      <c r="D61" s="74">
        <f t="shared" ref="C61:M63" si="12">(D7/C7)-1</f>
        <v>4.7619047619047672E-2</v>
      </c>
      <c r="E61" s="74">
        <f t="shared" si="12"/>
        <v>4.5454545454545414E-2</v>
      </c>
      <c r="F61" s="74">
        <f t="shared" si="12"/>
        <v>-4.3478260869565188E-2</v>
      </c>
      <c r="G61" s="74">
        <f t="shared" si="12"/>
        <v>-4.5454545454545414E-2</v>
      </c>
      <c r="H61" s="74">
        <f t="shared" si="12"/>
        <v>0</v>
      </c>
      <c r="I61" s="74">
        <f t="shared" si="12"/>
        <v>4.7619047619047672E-2</v>
      </c>
      <c r="J61" s="74">
        <f t="shared" si="12"/>
        <v>4.5454545454545414E-2</v>
      </c>
      <c r="K61" s="74">
        <f t="shared" si="12"/>
        <v>4.3478260869565188E-2</v>
      </c>
      <c r="L61" s="74">
        <f t="shared" si="12"/>
        <v>8.3333333333333259E-2</v>
      </c>
      <c r="M61" s="74">
        <f t="shared" si="12"/>
        <v>0</v>
      </c>
      <c r="N61" s="58">
        <f>AVERAGE(C61:M61)</f>
        <v>2.491145218417946E-2</v>
      </c>
      <c r="P61" s="65" t="str">
        <f t="shared" ref="P61:P85" si="13">IF(A7=0,"",A7)</f>
        <v>Product 1</v>
      </c>
      <c r="Q61" s="74">
        <f>(Q7/M7)-1</f>
        <v>-3.8461538461538436E-2</v>
      </c>
      <c r="R61" s="74">
        <f t="shared" ref="R61:AB63" si="14">(R7/Q7)-1</f>
        <v>-4.0000000000000036E-2</v>
      </c>
      <c r="S61" s="74">
        <f t="shared" si="14"/>
        <v>-4.166666666666663E-2</v>
      </c>
      <c r="T61" s="74">
        <f t="shared" si="14"/>
        <v>-4.3478260869565188E-2</v>
      </c>
      <c r="U61" s="74">
        <f t="shared" si="14"/>
        <v>4.5454545454545414E-2</v>
      </c>
      <c r="V61" s="74">
        <f t="shared" si="14"/>
        <v>4.3478260869565188E-2</v>
      </c>
      <c r="W61" s="74">
        <f t="shared" si="14"/>
        <v>0</v>
      </c>
      <c r="X61" s="74">
        <f t="shared" si="14"/>
        <v>4.1666666666666741E-2</v>
      </c>
      <c r="Y61" s="74">
        <f t="shared" si="14"/>
        <v>4.0000000000000036E-2</v>
      </c>
      <c r="Z61" s="74">
        <f t="shared" si="14"/>
        <v>3.8461538461538547E-2</v>
      </c>
      <c r="AA61" s="74">
        <f t="shared" si="14"/>
        <v>3.7037037037036979E-2</v>
      </c>
      <c r="AB61" s="74">
        <f t="shared" si="14"/>
        <v>3.5714285714285809E-2</v>
      </c>
      <c r="AC61" s="58">
        <f>AVERAGE(R61:AB61)</f>
        <v>1.4242491515218806E-2</v>
      </c>
      <c r="AE61" s="65" t="str">
        <f t="shared" ref="AE61:AE85" si="15">IF(A7=0,"",A7)</f>
        <v>Product 1</v>
      </c>
      <c r="AF61" s="74">
        <f>(AF7/AB7)-1</f>
        <v>3.4482758620689724E-2</v>
      </c>
      <c r="AG61" s="74">
        <f t="shared" ref="AG61:AQ63" si="16">(AG7/AF7)-1</f>
        <v>-6.6666666666666652E-2</v>
      </c>
      <c r="AH61" s="74">
        <f t="shared" si="16"/>
        <v>-7.1428571428571397E-2</v>
      </c>
      <c r="AI61" s="74">
        <f t="shared" si="16"/>
        <v>0</v>
      </c>
      <c r="AJ61" s="74">
        <f t="shared" si="16"/>
        <v>3.8461538461538547E-2</v>
      </c>
      <c r="AK61" s="74">
        <f t="shared" si="16"/>
        <v>3.7037037037036979E-2</v>
      </c>
      <c r="AL61" s="74">
        <f t="shared" si="16"/>
        <v>0</v>
      </c>
      <c r="AM61" s="74">
        <f t="shared" si="16"/>
        <v>3.5714285714285809E-2</v>
      </c>
      <c r="AN61" s="74">
        <f t="shared" si="16"/>
        <v>3.4482758620689724E-2</v>
      </c>
      <c r="AO61" s="74">
        <f t="shared" si="16"/>
        <v>6.6666666666666652E-2</v>
      </c>
      <c r="AP61" s="74">
        <f t="shared" si="16"/>
        <v>6.25E-2</v>
      </c>
      <c r="AQ61" s="74">
        <f t="shared" si="16"/>
        <v>5.8823529411764719E-2</v>
      </c>
      <c r="AR61" s="58">
        <f>AVERAGE(AG61:AQ61)</f>
        <v>1.7780961619704036E-2</v>
      </c>
      <c r="AT61" s="65" t="str">
        <f t="shared" ref="AT61:AT85" si="17">IF(A7=0,"",A7)</f>
        <v>Product 1</v>
      </c>
      <c r="AU61" s="68">
        <f>AC61-N61</f>
        <v>-1.0668960668960654E-2</v>
      </c>
      <c r="AV61" s="68">
        <f>AR61-N61</f>
        <v>-7.1304905644754245E-3</v>
      </c>
      <c r="AW61" s="68">
        <f>AR61-AC61</f>
        <v>3.5384701044852297E-3</v>
      </c>
    </row>
    <row r="62" spans="1:49" s="38" customFormat="1" ht="15" customHeight="1" x14ac:dyDescent="0.2">
      <c r="A62" s="82" t="str">
        <f t="shared" ref="A62:A85" si="18">IF(A8=0,"",A8)</f>
        <v>Product 2</v>
      </c>
      <c r="B62" s="74">
        <v>0</v>
      </c>
      <c r="C62" s="74">
        <f t="shared" si="12"/>
        <v>-0.33333333333333337</v>
      </c>
      <c r="D62" s="74">
        <f t="shared" si="12"/>
        <v>0</v>
      </c>
      <c r="E62" s="74">
        <f t="shared" si="12"/>
        <v>0.25</v>
      </c>
      <c r="F62" s="74">
        <f t="shared" si="12"/>
        <v>0</v>
      </c>
      <c r="G62" s="74">
        <f t="shared" si="12"/>
        <v>0.19999999999999996</v>
      </c>
      <c r="H62" s="74">
        <f t="shared" si="12"/>
        <v>0</v>
      </c>
      <c r="I62" s="74">
        <f t="shared" si="12"/>
        <v>0.16666666666666674</v>
      </c>
      <c r="J62" s="74">
        <f t="shared" si="12"/>
        <v>0.14285714285714279</v>
      </c>
      <c r="K62" s="74">
        <f t="shared" si="12"/>
        <v>0.25</v>
      </c>
      <c r="L62" s="74">
        <f t="shared" si="12"/>
        <v>0.19999999999999996</v>
      </c>
      <c r="M62" s="74">
        <f t="shared" si="12"/>
        <v>0</v>
      </c>
      <c r="N62" s="58">
        <f>AVERAGE(C62:M62)</f>
        <v>7.9653679653679643E-2</v>
      </c>
      <c r="P62" s="65" t="str">
        <f t="shared" si="13"/>
        <v>Product 2</v>
      </c>
      <c r="Q62" s="74">
        <f>(Q8/M8)-1</f>
        <v>-0.33333333333333337</v>
      </c>
      <c r="R62" s="74">
        <f t="shared" si="14"/>
        <v>-0.25</v>
      </c>
      <c r="S62" s="74">
        <f t="shared" si="14"/>
        <v>0</v>
      </c>
      <c r="T62" s="74">
        <f t="shared" si="14"/>
        <v>0.16666666666666674</v>
      </c>
      <c r="U62" s="74">
        <f t="shared" si="14"/>
        <v>0</v>
      </c>
      <c r="V62" s="74">
        <f t="shared" si="14"/>
        <v>0.14285714285714279</v>
      </c>
      <c r="W62" s="74">
        <f t="shared" si="14"/>
        <v>0</v>
      </c>
      <c r="X62" s="74">
        <f t="shared" si="14"/>
        <v>0.125</v>
      </c>
      <c r="Y62" s="74">
        <f t="shared" si="14"/>
        <v>0.11111111111111116</v>
      </c>
      <c r="Z62" s="74">
        <f t="shared" si="14"/>
        <v>0.19999999999999996</v>
      </c>
      <c r="AA62" s="74">
        <f t="shared" si="14"/>
        <v>0.16666666666666674</v>
      </c>
      <c r="AB62" s="74">
        <f t="shared" si="14"/>
        <v>0</v>
      </c>
      <c r="AC62" s="58">
        <f>AVERAGE(R62:AB62)</f>
        <v>6.0209235209235219E-2</v>
      </c>
      <c r="AE62" s="65" t="str">
        <f t="shared" si="15"/>
        <v>Product 2</v>
      </c>
      <c r="AF62" s="74">
        <f>(AF8/AB8)-1</f>
        <v>-0.1428571428571429</v>
      </c>
      <c r="AG62" s="74">
        <f t="shared" si="16"/>
        <v>-0.33333333333333337</v>
      </c>
      <c r="AH62" s="74">
        <f t="shared" si="16"/>
        <v>0</v>
      </c>
      <c r="AI62" s="74">
        <f t="shared" si="16"/>
        <v>0.125</v>
      </c>
      <c r="AJ62" s="74">
        <f t="shared" si="16"/>
        <v>0</v>
      </c>
      <c r="AK62" s="74">
        <f t="shared" si="16"/>
        <v>0.11111111111111116</v>
      </c>
      <c r="AL62" s="74">
        <f t="shared" si="16"/>
        <v>0</v>
      </c>
      <c r="AM62" s="74">
        <f t="shared" si="16"/>
        <v>0.10000000000000009</v>
      </c>
      <c r="AN62" s="74">
        <f t="shared" si="16"/>
        <v>9.0909090909090828E-2</v>
      </c>
      <c r="AO62" s="74">
        <f t="shared" si="16"/>
        <v>0.16666666666666674</v>
      </c>
      <c r="AP62" s="74">
        <f t="shared" si="16"/>
        <v>0.14285714285714279</v>
      </c>
      <c r="AQ62" s="74">
        <f t="shared" si="16"/>
        <v>0</v>
      </c>
      <c r="AR62" s="58">
        <f>AVERAGE(AG62:AQ62)</f>
        <v>3.6655516200970746E-2</v>
      </c>
      <c r="AT62" s="65" t="str">
        <f t="shared" si="17"/>
        <v>Product 2</v>
      </c>
      <c r="AU62" s="68">
        <f>AC62-N62</f>
        <v>-1.9444444444444424E-2</v>
      </c>
      <c r="AV62" s="68">
        <f t="shared" ref="AV62:AV63" si="19">AR62-N62</f>
        <v>-4.2998163452708897E-2</v>
      </c>
      <c r="AW62" s="68">
        <f>AR62-AC62</f>
        <v>-2.3553719008264473E-2</v>
      </c>
    </row>
    <row r="63" spans="1:49" s="38" customFormat="1" ht="15" customHeight="1" x14ac:dyDescent="0.2">
      <c r="A63" s="82" t="str">
        <f t="shared" si="18"/>
        <v>Product 3</v>
      </c>
      <c r="B63" s="74">
        <v>0</v>
      </c>
      <c r="C63" s="74">
        <f t="shared" si="12"/>
        <v>0.33333333333333326</v>
      </c>
      <c r="D63" s="74">
        <f t="shared" si="12"/>
        <v>0.25</v>
      </c>
      <c r="E63" s="74">
        <f t="shared" si="12"/>
        <v>0.19999999999999996</v>
      </c>
      <c r="F63" s="74">
        <f t="shared" si="12"/>
        <v>0.16666666666666674</v>
      </c>
      <c r="G63" s="74">
        <f t="shared" si="12"/>
        <v>0.14285714285714279</v>
      </c>
      <c r="H63" s="74">
        <f t="shared" si="12"/>
        <v>0</v>
      </c>
      <c r="I63" s="74">
        <f t="shared" si="12"/>
        <v>-0.125</v>
      </c>
      <c r="J63" s="74">
        <f t="shared" si="12"/>
        <v>0</v>
      </c>
      <c r="K63" s="74">
        <f t="shared" si="12"/>
        <v>-0.1428571428571429</v>
      </c>
      <c r="L63" s="74">
        <f t="shared" si="12"/>
        <v>0</v>
      </c>
      <c r="M63" s="74">
        <f t="shared" si="12"/>
        <v>0</v>
      </c>
      <c r="N63" s="58">
        <f>AVERAGE(C63:M63)</f>
        <v>7.4999999999999983E-2</v>
      </c>
      <c r="P63" s="65" t="str">
        <f t="shared" si="13"/>
        <v>Product 3</v>
      </c>
      <c r="Q63" s="74">
        <f>(Q9/M9)-1</f>
        <v>0</v>
      </c>
      <c r="R63" s="74">
        <f t="shared" si="14"/>
        <v>-0.16666666666666663</v>
      </c>
      <c r="S63" s="74">
        <f t="shared" si="14"/>
        <v>0.19999999999999996</v>
      </c>
      <c r="T63" s="74">
        <f t="shared" si="14"/>
        <v>0.16666666666666674</v>
      </c>
      <c r="U63" s="74">
        <f t="shared" si="14"/>
        <v>0.14285714285714279</v>
      </c>
      <c r="V63" s="74">
        <f t="shared" si="14"/>
        <v>0.125</v>
      </c>
      <c r="W63" s="74">
        <f t="shared" si="14"/>
        <v>0.11111111111111116</v>
      </c>
      <c r="X63" s="74">
        <f t="shared" si="14"/>
        <v>-0.19999999999999996</v>
      </c>
      <c r="Y63" s="74">
        <f t="shared" si="14"/>
        <v>0</v>
      </c>
      <c r="Z63" s="74">
        <f t="shared" si="14"/>
        <v>-0.125</v>
      </c>
      <c r="AA63" s="74">
        <f t="shared" si="14"/>
        <v>0</v>
      </c>
      <c r="AB63" s="74">
        <f t="shared" si="14"/>
        <v>-7.1428571428571397E-2</v>
      </c>
      <c r="AC63" s="58">
        <f>AVERAGE(R63:AB63)</f>
        <v>1.6594516594516606E-2</v>
      </c>
      <c r="AE63" s="65" t="str">
        <f t="shared" si="15"/>
        <v>Product 3</v>
      </c>
      <c r="AF63" s="74">
        <f>(AF9/AB9)-1</f>
        <v>0</v>
      </c>
      <c r="AG63" s="74">
        <f t="shared" si="16"/>
        <v>7.6923076923076872E-2</v>
      </c>
      <c r="AH63" s="74">
        <f t="shared" si="16"/>
        <v>0.14285714285714279</v>
      </c>
      <c r="AI63" s="74">
        <f t="shared" si="16"/>
        <v>0.125</v>
      </c>
      <c r="AJ63" s="74">
        <f t="shared" si="16"/>
        <v>0.11111111111111116</v>
      </c>
      <c r="AK63" s="74">
        <f t="shared" si="16"/>
        <v>0.10000000000000009</v>
      </c>
      <c r="AL63" s="74">
        <f t="shared" si="16"/>
        <v>9.0909090909090828E-2</v>
      </c>
      <c r="AM63" s="74">
        <f t="shared" si="16"/>
        <v>-0.16666666666666663</v>
      </c>
      <c r="AN63" s="74">
        <f t="shared" si="16"/>
        <v>0</v>
      </c>
      <c r="AO63" s="74">
        <f t="shared" si="16"/>
        <v>-9.9999999999999978E-2</v>
      </c>
      <c r="AP63" s="74">
        <f t="shared" si="16"/>
        <v>0</v>
      </c>
      <c r="AQ63" s="74">
        <f t="shared" si="16"/>
        <v>-5.555555555555558E-2</v>
      </c>
      <c r="AR63" s="58">
        <f>AVERAGE(AG63:AQ63)</f>
        <v>2.9507109052563596E-2</v>
      </c>
      <c r="AT63" s="65" t="str">
        <f t="shared" si="17"/>
        <v>Product 3</v>
      </c>
      <c r="AU63" s="68">
        <f>AC63-N63</f>
        <v>-5.8405483405483377E-2</v>
      </c>
      <c r="AV63" s="68">
        <f t="shared" si="19"/>
        <v>-4.5492890947436387E-2</v>
      </c>
      <c r="AW63" s="68">
        <f>AR63-AC63</f>
        <v>1.291259245804699E-2</v>
      </c>
    </row>
    <row r="64" spans="1:49" s="38" customFormat="1" ht="15" hidden="1" customHeight="1" x14ac:dyDescent="0.2">
      <c r="A64" s="82" t="str">
        <f t="shared" si="18"/>
        <v/>
      </c>
      <c r="B64" s="74"/>
      <c r="C64" s="74"/>
      <c r="D64" s="74"/>
      <c r="E64" s="74"/>
      <c r="F64" s="74"/>
      <c r="G64" s="74"/>
      <c r="H64" s="74"/>
      <c r="I64" s="74"/>
      <c r="J64" s="74"/>
      <c r="K64" s="74"/>
      <c r="L64" s="74"/>
      <c r="M64" s="74"/>
      <c r="N64" s="58"/>
      <c r="P64" s="65" t="str">
        <f t="shared" si="13"/>
        <v/>
      </c>
      <c r="Q64" s="74"/>
      <c r="R64" s="74"/>
      <c r="S64" s="74"/>
      <c r="T64" s="74"/>
      <c r="U64" s="74"/>
      <c r="V64" s="74"/>
      <c r="W64" s="74"/>
      <c r="X64" s="74"/>
      <c r="Y64" s="74"/>
      <c r="Z64" s="74"/>
      <c r="AA64" s="74"/>
      <c r="AB64" s="74"/>
      <c r="AC64" s="58"/>
      <c r="AE64" s="65" t="str">
        <f t="shared" si="15"/>
        <v/>
      </c>
      <c r="AF64" s="74"/>
      <c r="AG64" s="74"/>
      <c r="AH64" s="74"/>
      <c r="AI64" s="74"/>
      <c r="AJ64" s="74"/>
      <c r="AK64" s="74"/>
      <c r="AL64" s="74"/>
      <c r="AM64" s="74"/>
      <c r="AN64" s="74"/>
      <c r="AO64" s="74"/>
      <c r="AP64" s="74"/>
      <c r="AQ64" s="74"/>
      <c r="AR64" s="58"/>
      <c r="AT64" s="65" t="str">
        <f t="shared" si="17"/>
        <v/>
      </c>
      <c r="AU64" s="68"/>
      <c r="AV64" s="68"/>
      <c r="AW64" s="68"/>
    </row>
    <row r="65" spans="1:49" s="38" customFormat="1" ht="15" hidden="1" customHeight="1" x14ac:dyDescent="0.2">
      <c r="A65" s="82" t="str">
        <f t="shared" si="18"/>
        <v/>
      </c>
      <c r="B65" s="74"/>
      <c r="C65" s="74"/>
      <c r="D65" s="74"/>
      <c r="E65" s="74"/>
      <c r="F65" s="74"/>
      <c r="G65" s="74"/>
      <c r="H65" s="74"/>
      <c r="I65" s="74"/>
      <c r="J65" s="74"/>
      <c r="K65" s="74"/>
      <c r="L65" s="74"/>
      <c r="M65" s="74"/>
      <c r="N65" s="58"/>
      <c r="P65" s="65" t="str">
        <f t="shared" si="13"/>
        <v/>
      </c>
      <c r="Q65" s="74"/>
      <c r="R65" s="74"/>
      <c r="S65" s="74"/>
      <c r="T65" s="74"/>
      <c r="U65" s="74"/>
      <c r="V65" s="74"/>
      <c r="W65" s="74"/>
      <c r="X65" s="74"/>
      <c r="Y65" s="74"/>
      <c r="Z65" s="74"/>
      <c r="AA65" s="74"/>
      <c r="AB65" s="74"/>
      <c r="AC65" s="58"/>
      <c r="AE65" s="65" t="str">
        <f t="shared" si="15"/>
        <v/>
      </c>
      <c r="AF65" s="74"/>
      <c r="AG65" s="74"/>
      <c r="AH65" s="74"/>
      <c r="AI65" s="74"/>
      <c r="AJ65" s="74"/>
      <c r="AK65" s="74"/>
      <c r="AL65" s="74"/>
      <c r="AM65" s="74"/>
      <c r="AN65" s="74"/>
      <c r="AO65" s="74"/>
      <c r="AP65" s="74"/>
      <c r="AQ65" s="74"/>
      <c r="AR65" s="58"/>
      <c r="AT65" s="65" t="str">
        <f t="shared" si="17"/>
        <v/>
      </c>
      <c r="AU65" s="68"/>
      <c r="AV65" s="68"/>
      <c r="AW65" s="68"/>
    </row>
    <row r="66" spans="1:49" s="38" customFormat="1" ht="15" hidden="1" customHeight="1" x14ac:dyDescent="0.2">
      <c r="A66" s="82" t="str">
        <f t="shared" si="18"/>
        <v/>
      </c>
      <c r="B66" s="74"/>
      <c r="C66" s="74"/>
      <c r="D66" s="74"/>
      <c r="E66" s="74"/>
      <c r="F66" s="74"/>
      <c r="G66" s="74"/>
      <c r="H66" s="74"/>
      <c r="I66" s="74"/>
      <c r="J66" s="74"/>
      <c r="K66" s="74"/>
      <c r="L66" s="74"/>
      <c r="M66" s="74"/>
      <c r="N66" s="58"/>
      <c r="P66" s="65" t="str">
        <f t="shared" si="13"/>
        <v/>
      </c>
      <c r="Q66" s="74"/>
      <c r="R66" s="74"/>
      <c r="S66" s="74"/>
      <c r="T66" s="74"/>
      <c r="U66" s="74"/>
      <c r="V66" s="74"/>
      <c r="W66" s="74"/>
      <c r="X66" s="74"/>
      <c r="Y66" s="74"/>
      <c r="Z66" s="74"/>
      <c r="AA66" s="74"/>
      <c r="AB66" s="74"/>
      <c r="AC66" s="58"/>
      <c r="AE66" s="65" t="str">
        <f t="shared" si="15"/>
        <v/>
      </c>
      <c r="AF66" s="74"/>
      <c r="AG66" s="74"/>
      <c r="AH66" s="74"/>
      <c r="AI66" s="74"/>
      <c r="AJ66" s="74"/>
      <c r="AK66" s="74"/>
      <c r="AL66" s="74"/>
      <c r="AM66" s="74"/>
      <c r="AN66" s="74"/>
      <c r="AO66" s="74"/>
      <c r="AP66" s="74"/>
      <c r="AQ66" s="74"/>
      <c r="AR66" s="58"/>
      <c r="AT66" s="65" t="str">
        <f t="shared" si="17"/>
        <v/>
      </c>
      <c r="AU66" s="68"/>
      <c r="AV66" s="68"/>
      <c r="AW66" s="68"/>
    </row>
    <row r="67" spans="1:49" s="38" customFormat="1" ht="15" hidden="1" customHeight="1" x14ac:dyDescent="0.2">
      <c r="A67" s="82" t="str">
        <f t="shared" si="18"/>
        <v/>
      </c>
      <c r="B67" s="74"/>
      <c r="C67" s="74"/>
      <c r="D67" s="74"/>
      <c r="E67" s="74"/>
      <c r="F67" s="74"/>
      <c r="G67" s="74"/>
      <c r="H67" s="74"/>
      <c r="I67" s="74"/>
      <c r="J67" s="74"/>
      <c r="K67" s="74"/>
      <c r="L67" s="74"/>
      <c r="M67" s="74"/>
      <c r="N67" s="58"/>
      <c r="P67" s="65" t="str">
        <f t="shared" si="13"/>
        <v/>
      </c>
      <c r="Q67" s="74"/>
      <c r="R67" s="74"/>
      <c r="S67" s="74"/>
      <c r="T67" s="74"/>
      <c r="U67" s="74"/>
      <c r="V67" s="74"/>
      <c r="W67" s="74"/>
      <c r="X67" s="74"/>
      <c r="Y67" s="74"/>
      <c r="Z67" s="74"/>
      <c r="AA67" s="74"/>
      <c r="AB67" s="74"/>
      <c r="AC67" s="58"/>
      <c r="AE67" s="65" t="str">
        <f t="shared" si="15"/>
        <v/>
      </c>
      <c r="AF67" s="74"/>
      <c r="AG67" s="74"/>
      <c r="AH67" s="74"/>
      <c r="AI67" s="74"/>
      <c r="AJ67" s="74"/>
      <c r="AK67" s="74"/>
      <c r="AL67" s="74"/>
      <c r="AM67" s="74"/>
      <c r="AN67" s="74"/>
      <c r="AO67" s="74"/>
      <c r="AP67" s="74"/>
      <c r="AQ67" s="74"/>
      <c r="AR67" s="58"/>
      <c r="AT67" s="65" t="str">
        <f t="shared" si="17"/>
        <v/>
      </c>
      <c r="AU67" s="68"/>
      <c r="AV67" s="68"/>
      <c r="AW67" s="68"/>
    </row>
    <row r="68" spans="1:49" s="38" customFormat="1" ht="15" hidden="1" customHeight="1" x14ac:dyDescent="0.2">
      <c r="A68" s="82" t="str">
        <f t="shared" si="18"/>
        <v/>
      </c>
      <c r="B68" s="74"/>
      <c r="C68" s="74"/>
      <c r="D68" s="74"/>
      <c r="E68" s="74"/>
      <c r="F68" s="74"/>
      <c r="G68" s="74"/>
      <c r="H68" s="74"/>
      <c r="I68" s="74"/>
      <c r="J68" s="74"/>
      <c r="K68" s="74"/>
      <c r="L68" s="74"/>
      <c r="M68" s="74"/>
      <c r="N68" s="58"/>
      <c r="P68" s="65" t="str">
        <f t="shared" si="13"/>
        <v/>
      </c>
      <c r="Q68" s="74"/>
      <c r="R68" s="74"/>
      <c r="S68" s="74"/>
      <c r="T68" s="74"/>
      <c r="U68" s="74"/>
      <c r="V68" s="74"/>
      <c r="W68" s="74"/>
      <c r="X68" s="74"/>
      <c r="Y68" s="74"/>
      <c r="Z68" s="74"/>
      <c r="AA68" s="74"/>
      <c r="AB68" s="74"/>
      <c r="AC68" s="58"/>
      <c r="AE68" s="65" t="str">
        <f t="shared" si="15"/>
        <v/>
      </c>
      <c r="AF68" s="74"/>
      <c r="AG68" s="74"/>
      <c r="AH68" s="74"/>
      <c r="AI68" s="74"/>
      <c r="AJ68" s="74"/>
      <c r="AK68" s="74"/>
      <c r="AL68" s="74"/>
      <c r="AM68" s="74"/>
      <c r="AN68" s="74"/>
      <c r="AO68" s="74"/>
      <c r="AP68" s="74"/>
      <c r="AQ68" s="74"/>
      <c r="AR68" s="58"/>
      <c r="AT68" s="65" t="str">
        <f t="shared" si="17"/>
        <v/>
      </c>
      <c r="AU68" s="68"/>
      <c r="AV68" s="68"/>
      <c r="AW68" s="68"/>
    </row>
    <row r="69" spans="1:49" s="38" customFormat="1" ht="15" hidden="1" customHeight="1" x14ac:dyDescent="0.2">
      <c r="A69" s="82" t="str">
        <f t="shared" si="18"/>
        <v/>
      </c>
      <c r="B69" s="74"/>
      <c r="C69" s="74"/>
      <c r="D69" s="74"/>
      <c r="E69" s="74"/>
      <c r="F69" s="74"/>
      <c r="G69" s="74"/>
      <c r="H69" s="74"/>
      <c r="I69" s="74"/>
      <c r="J69" s="74"/>
      <c r="K69" s="74"/>
      <c r="L69" s="74"/>
      <c r="M69" s="74"/>
      <c r="N69" s="58"/>
      <c r="P69" s="65" t="str">
        <f t="shared" si="13"/>
        <v/>
      </c>
      <c r="Q69" s="74"/>
      <c r="R69" s="74"/>
      <c r="S69" s="74"/>
      <c r="T69" s="74"/>
      <c r="U69" s="74"/>
      <c r="V69" s="74"/>
      <c r="W69" s="74"/>
      <c r="X69" s="74"/>
      <c r="Y69" s="74"/>
      <c r="Z69" s="74"/>
      <c r="AA69" s="74"/>
      <c r="AB69" s="74"/>
      <c r="AC69" s="58"/>
      <c r="AE69" s="65" t="str">
        <f t="shared" si="15"/>
        <v/>
      </c>
      <c r="AF69" s="74"/>
      <c r="AG69" s="74"/>
      <c r="AH69" s="74"/>
      <c r="AI69" s="74"/>
      <c r="AJ69" s="74"/>
      <c r="AK69" s="74"/>
      <c r="AL69" s="74"/>
      <c r="AM69" s="74"/>
      <c r="AN69" s="74"/>
      <c r="AO69" s="74"/>
      <c r="AP69" s="74"/>
      <c r="AQ69" s="74"/>
      <c r="AR69" s="58"/>
      <c r="AT69" s="65" t="str">
        <f t="shared" si="17"/>
        <v/>
      </c>
      <c r="AU69" s="68"/>
      <c r="AV69" s="68"/>
      <c r="AW69" s="68"/>
    </row>
    <row r="70" spans="1:49" s="38" customFormat="1" ht="15" hidden="1" customHeight="1" x14ac:dyDescent="0.2">
      <c r="A70" s="82" t="str">
        <f t="shared" si="18"/>
        <v/>
      </c>
      <c r="B70" s="74"/>
      <c r="C70" s="74"/>
      <c r="D70" s="74"/>
      <c r="E70" s="74"/>
      <c r="F70" s="74"/>
      <c r="G70" s="74"/>
      <c r="H70" s="74"/>
      <c r="I70" s="74"/>
      <c r="J70" s="74"/>
      <c r="K70" s="74"/>
      <c r="L70" s="74"/>
      <c r="M70" s="74"/>
      <c r="N70" s="58"/>
      <c r="P70" s="65" t="str">
        <f t="shared" si="13"/>
        <v/>
      </c>
      <c r="Q70" s="74"/>
      <c r="R70" s="74"/>
      <c r="S70" s="74"/>
      <c r="T70" s="74"/>
      <c r="U70" s="74"/>
      <c r="V70" s="74"/>
      <c r="W70" s="74"/>
      <c r="X70" s="74"/>
      <c r="Y70" s="74"/>
      <c r="Z70" s="74"/>
      <c r="AA70" s="74"/>
      <c r="AB70" s="74"/>
      <c r="AC70" s="58"/>
      <c r="AE70" s="65" t="str">
        <f t="shared" si="15"/>
        <v/>
      </c>
      <c r="AF70" s="74"/>
      <c r="AG70" s="74"/>
      <c r="AH70" s="74"/>
      <c r="AI70" s="74"/>
      <c r="AJ70" s="74"/>
      <c r="AK70" s="74"/>
      <c r="AL70" s="74"/>
      <c r="AM70" s="74"/>
      <c r="AN70" s="74"/>
      <c r="AO70" s="74"/>
      <c r="AP70" s="74"/>
      <c r="AQ70" s="74"/>
      <c r="AR70" s="58"/>
      <c r="AT70" s="65" t="str">
        <f t="shared" si="17"/>
        <v/>
      </c>
      <c r="AU70" s="68"/>
      <c r="AV70" s="68"/>
      <c r="AW70" s="68"/>
    </row>
    <row r="71" spans="1:49" s="38" customFormat="1" ht="15" hidden="1" customHeight="1" x14ac:dyDescent="0.2">
      <c r="A71" s="82" t="str">
        <f t="shared" si="18"/>
        <v/>
      </c>
      <c r="B71" s="74"/>
      <c r="C71" s="74"/>
      <c r="D71" s="74"/>
      <c r="E71" s="74"/>
      <c r="F71" s="74"/>
      <c r="G71" s="74"/>
      <c r="H71" s="74"/>
      <c r="I71" s="74"/>
      <c r="J71" s="74"/>
      <c r="K71" s="74"/>
      <c r="L71" s="74"/>
      <c r="M71" s="74"/>
      <c r="N71" s="58"/>
      <c r="P71" s="65" t="str">
        <f t="shared" si="13"/>
        <v/>
      </c>
      <c r="Q71" s="74"/>
      <c r="R71" s="74"/>
      <c r="S71" s="74"/>
      <c r="T71" s="74"/>
      <c r="U71" s="74"/>
      <c r="V71" s="74"/>
      <c r="W71" s="74"/>
      <c r="X71" s="74"/>
      <c r="Y71" s="74"/>
      <c r="Z71" s="74"/>
      <c r="AA71" s="74"/>
      <c r="AB71" s="74"/>
      <c r="AC71" s="58"/>
      <c r="AE71" s="65" t="str">
        <f t="shared" si="15"/>
        <v/>
      </c>
      <c r="AF71" s="74"/>
      <c r="AG71" s="74"/>
      <c r="AH71" s="74"/>
      <c r="AI71" s="74"/>
      <c r="AJ71" s="74"/>
      <c r="AK71" s="74"/>
      <c r="AL71" s="74"/>
      <c r="AM71" s="74"/>
      <c r="AN71" s="74"/>
      <c r="AO71" s="74"/>
      <c r="AP71" s="74"/>
      <c r="AQ71" s="74"/>
      <c r="AR71" s="58"/>
      <c r="AT71" s="65" t="str">
        <f t="shared" si="17"/>
        <v/>
      </c>
      <c r="AU71" s="68"/>
      <c r="AV71" s="68"/>
      <c r="AW71" s="68"/>
    </row>
    <row r="72" spans="1:49" s="38" customFormat="1" ht="15" hidden="1" customHeight="1" x14ac:dyDescent="0.2">
      <c r="A72" s="82" t="str">
        <f t="shared" si="18"/>
        <v/>
      </c>
      <c r="B72" s="74"/>
      <c r="C72" s="74"/>
      <c r="D72" s="74"/>
      <c r="E72" s="74"/>
      <c r="F72" s="74"/>
      <c r="G72" s="74"/>
      <c r="H72" s="74"/>
      <c r="I72" s="74"/>
      <c r="J72" s="74"/>
      <c r="K72" s="74"/>
      <c r="L72" s="74"/>
      <c r="M72" s="74"/>
      <c r="N72" s="58"/>
      <c r="P72" s="65" t="str">
        <f t="shared" si="13"/>
        <v/>
      </c>
      <c r="Q72" s="74"/>
      <c r="R72" s="74"/>
      <c r="S72" s="74"/>
      <c r="T72" s="74"/>
      <c r="U72" s="74"/>
      <c r="V72" s="74"/>
      <c r="W72" s="74"/>
      <c r="X72" s="74"/>
      <c r="Y72" s="74"/>
      <c r="Z72" s="74"/>
      <c r="AA72" s="74"/>
      <c r="AB72" s="74"/>
      <c r="AC72" s="58"/>
      <c r="AE72" s="65" t="str">
        <f t="shared" si="15"/>
        <v/>
      </c>
      <c r="AF72" s="74"/>
      <c r="AG72" s="74"/>
      <c r="AH72" s="74"/>
      <c r="AI72" s="74"/>
      <c r="AJ72" s="74"/>
      <c r="AK72" s="74"/>
      <c r="AL72" s="74"/>
      <c r="AM72" s="74"/>
      <c r="AN72" s="74"/>
      <c r="AO72" s="74"/>
      <c r="AP72" s="74"/>
      <c r="AQ72" s="74"/>
      <c r="AR72" s="58"/>
      <c r="AT72" s="65" t="str">
        <f t="shared" si="17"/>
        <v/>
      </c>
      <c r="AU72" s="68"/>
      <c r="AV72" s="68"/>
      <c r="AW72" s="68"/>
    </row>
    <row r="73" spans="1:49" s="38" customFormat="1" ht="15" hidden="1" customHeight="1" x14ac:dyDescent="0.2">
      <c r="A73" s="82" t="str">
        <f t="shared" si="18"/>
        <v/>
      </c>
      <c r="B73" s="74"/>
      <c r="C73" s="74"/>
      <c r="D73" s="74"/>
      <c r="E73" s="74"/>
      <c r="F73" s="74"/>
      <c r="G73" s="74"/>
      <c r="H73" s="74"/>
      <c r="I73" s="74"/>
      <c r="J73" s="74"/>
      <c r="K73" s="74"/>
      <c r="L73" s="74"/>
      <c r="M73" s="74"/>
      <c r="N73" s="58"/>
      <c r="P73" s="65" t="str">
        <f t="shared" si="13"/>
        <v/>
      </c>
      <c r="Q73" s="74"/>
      <c r="R73" s="74"/>
      <c r="S73" s="74"/>
      <c r="T73" s="74"/>
      <c r="U73" s="74"/>
      <c r="V73" s="74"/>
      <c r="W73" s="74"/>
      <c r="X73" s="74"/>
      <c r="Y73" s="74"/>
      <c r="Z73" s="74"/>
      <c r="AA73" s="74"/>
      <c r="AB73" s="74"/>
      <c r="AC73" s="58"/>
      <c r="AE73" s="65" t="str">
        <f t="shared" si="15"/>
        <v/>
      </c>
      <c r="AF73" s="74"/>
      <c r="AG73" s="74"/>
      <c r="AH73" s="74"/>
      <c r="AI73" s="74"/>
      <c r="AJ73" s="74"/>
      <c r="AK73" s="74"/>
      <c r="AL73" s="74"/>
      <c r="AM73" s="74"/>
      <c r="AN73" s="74"/>
      <c r="AO73" s="74"/>
      <c r="AP73" s="74"/>
      <c r="AQ73" s="74"/>
      <c r="AR73" s="58"/>
      <c r="AT73" s="65" t="str">
        <f t="shared" si="17"/>
        <v/>
      </c>
      <c r="AU73" s="68"/>
      <c r="AV73" s="68"/>
      <c r="AW73" s="68"/>
    </row>
    <row r="74" spans="1:49" s="38" customFormat="1" ht="15" hidden="1" customHeight="1" x14ac:dyDescent="0.2">
      <c r="A74" s="82" t="str">
        <f t="shared" si="18"/>
        <v/>
      </c>
      <c r="B74" s="74"/>
      <c r="C74" s="74"/>
      <c r="D74" s="74"/>
      <c r="E74" s="74"/>
      <c r="F74" s="74"/>
      <c r="G74" s="74"/>
      <c r="H74" s="74"/>
      <c r="I74" s="74"/>
      <c r="J74" s="74"/>
      <c r="K74" s="74"/>
      <c r="L74" s="74"/>
      <c r="M74" s="74"/>
      <c r="N74" s="58"/>
      <c r="P74" s="65" t="str">
        <f t="shared" si="13"/>
        <v/>
      </c>
      <c r="Q74" s="74"/>
      <c r="R74" s="74"/>
      <c r="S74" s="74"/>
      <c r="T74" s="74"/>
      <c r="U74" s="74"/>
      <c r="V74" s="74"/>
      <c r="W74" s="74"/>
      <c r="X74" s="74"/>
      <c r="Y74" s="74"/>
      <c r="Z74" s="74"/>
      <c r="AA74" s="74"/>
      <c r="AB74" s="74"/>
      <c r="AC74" s="58"/>
      <c r="AE74" s="65" t="str">
        <f t="shared" si="15"/>
        <v/>
      </c>
      <c r="AF74" s="74"/>
      <c r="AG74" s="74"/>
      <c r="AH74" s="74"/>
      <c r="AI74" s="74"/>
      <c r="AJ74" s="74"/>
      <c r="AK74" s="74"/>
      <c r="AL74" s="74"/>
      <c r="AM74" s="74"/>
      <c r="AN74" s="74"/>
      <c r="AO74" s="74"/>
      <c r="AP74" s="74"/>
      <c r="AQ74" s="74"/>
      <c r="AR74" s="58"/>
      <c r="AT74" s="65" t="str">
        <f t="shared" si="17"/>
        <v/>
      </c>
      <c r="AU74" s="68"/>
      <c r="AV74" s="68"/>
      <c r="AW74" s="68"/>
    </row>
    <row r="75" spans="1:49" s="38" customFormat="1" ht="15" hidden="1" customHeight="1" x14ac:dyDescent="0.2">
      <c r="A75" s="82" t="str">
        <f t="shared" si="18"/>
        <v/>
      </c>
      <c r="B75" s="74"/>
      <c r="C75" s="74"/>
      <c r="D75" s="74"/>
      <c r="E75" s="74"/>
      <c r="F75" s="74"/>
      <c r="G75" s="74"/>
      <c r="H75" s="74"/>
      <c r="I75" s="74"/>
      <c r="J75" s="74"/>
      <c r="K75" s="74"/>
      <c r="L75" s="74"/>
      <c r="M75" s="74"/>
      <c r="N75" s="58"/>
      <c r="P75" s="65" t="str">
        <f t="shared" si="13"/>
        <v/>
      </c>
      <c r="Q75" s="74"/>
      <c r="R75" s="74"/>
      <c r="S75" s="74"/>
      <c r="T75" s="74"/>
      <c r="U75" s="74"/>
      <c r="V75" s="74"/>
      <c r="W75" s="74"/>
      <c r="X75" s="74"/>
      <c r="Y75" s="74"/>
      <c r="Z75" s="74"/>
      <c r="AA75" s="74"/>
      <c r="AB75" s="74"/>
      <c r="AC75" s="58"/>
      <c r="AE75" s="65" t="str">
        <f t="shared" si="15"/>
        <v/>
      </c>
      <c r="AF75" s="74"/>
      <c r="AG75" s="74"/>
      <c r="AH75" s="74"/>
      <c r="AI75" s="74"/>
      <c r="AJ75" s="74"/>
      <c r="AK75" s="74"/>
      <c r="AL75" s="74"/>
      <c r="AM75" s="74"/>
      <c r="AN75" s="74"/>
      <c r="AO75" s="74"/>
      <c r="AP75" s="74"/>
      <c r="AQ75" s="74"/>
      <c r="AR75" s="58"/>
      <c r="AT75" s="65" t="str">
        <f t="shared" si="17"/>
        <v/>
      </c>
      <c r="AU75" s="68"/>
      <c r="AV75" s="68"/>
      <c r="AW75" s="68"/>
    </row>
    <row r="76" spans="1:49" s="38" customFormat="1" ht="15" hidden="1" customHeight="1" x14ac:dyDescent="0.2">
      <c r="A76" s="82" t="str">
        <f t="shared" si="18"/>
        <v/>
      </c>
      <c r="B76" s="74"/>
      <c r="C76" s="74"/>
      <c r="D76" s="74"/>
      <c r="E76" s="74"/>
      <c r="F76" s="74"/>
      <c r="G76" s="74"/>
      <c r="H76" s="74"/>
      <c r="I76" s="74"/>
      <c r="J76" s="74"/>
      <c r="K76" s="74"/>
      <c r="L76" s="74"/>
      <c r="M76" s="74"/>
      <c r="N76" s="58"/>
      <c r="P76" s="65" t="str">
        <f t="shared" si="13"/>
        <v/>
      </c>
      <c r="Q76" s="74"/>
      <c r="R76" s="74"/>
      <c r="S76" s="74"/>
      <c r="T76" s="74"/>
      <c r="U76" s="74"/>
      <c r="V76" s="74"/>
      <c r="W76" s="74"/>
      <c r="X76" s="74"/>
      <c r="Y76" s="74"/>
      <c r="Z76" s="74"/>
      <c r="AA76" s="74"/>
      <c r="AB76" s="74"/>
      <c r="AC76" s="58"/>
      <c r="AE76" s="65" t="str">
        <f t="shared" si="15"/>
        <v/>
      </c>
      <c r="AF76" s="74"/>
      <c r="AG76" s="74"/>
      <c r="AH76" s="74"/>
      <c r="AI76" s="74"/>
      <c r="AJ76" s="74"/>
      <c r="AK76" s="74"/>
      <c r="AL76" s="74"/>
      <c r="AM76" s="74"/>
      <c r="AN76" s="74"/>
      <c r="AO76" s="74"/>
      <c r="AP76" s="74"/>
      <c r="AQ76" s="74"/>
      <c r="AR76" s="58"/>
      <c r="AT76" s="65" t="str">
        <f t="shared" si="17"/>
        <v/>
      </c>
      <c r="AU76" s="68"/>
      <c r="AV76" s="68"/>
      <c r="AW76" s="68"/>
    </row>
    <row r="77" spans="1:49" s="38" customFormat="1" ht="15" hidden="1" customHeight="1" x14ac:dyDescent="0.2">
      <c r="A77" s="82" t="str">
        <f t="shared" si="18"/>
        <v/>
      </c>
      <c r="B77" s="74"/>
      <c r="C77" s="74"/>
      <c r="D77" s="74"/>
      <c r="E77" s="74"/>
      <c r="F77" s="74"/>
      <c r="G77" s="74"/>
      <c r="H77" s="74"/>
      <c r="I77" s="74"/>
      <c r="J77" s="74"/>
      <c r="K77" s="74"/>
      <c r="L77" s="74"/>
      <c r="M77" s="74"/>
      <c r="N77" s="58"/>
      <c r="P77" s="65" t="str">
        <f t="shared" si="13"/>
        <v/>
      </c>
      <c r="Q77" s="74"/>
      <c r="R77" s="74"/>
      <c r="S77" s="74"/>
      <c r="T77" s="74"/>
      <c r="U77" s="74"/>
      <c r="V77" s="74"/>
      <c r="W77" s="74"/>
      <c r="X77" s="74"/>
      <c r="Y77" s="74"/>
      <c r="Z77" s="74"/>
      <c r="AA77" s="74"/>
      <c r="AB77" s="74"/>
      <c r="AC77" s="58"/>
      <c r="AE77" s="65" t="str">
        <f t="shared" si="15"/>
        <v/>
      </c>
      <c r="AF77" s="74"/>
      <c r="AG77" s="74"/>
      <c r="AH77" s="74"/>
      <c r="AI77" s="74"/>
      <c r="AJ77" s="74"/>
      <c r="AK77" s="74"/>
      <c r="AL77" s="74"/>
      <c r="AM77" s="74"/>
      <c r="AN77" s="74"/>
      <c r="AO77" s="74"/>
      <c r="AP77" s="74"/>
      <c r="AQ77" s="74"/>
      <c r="AR77" s="58"/>
      <c r="AT77" s="65" t="str">
        <f t="shared" si="17"/>
        <v/>
      </c>
      <c r="AU77" s="68"/>
      <c r="AV77" s="68"/>
      <c r="AW77" s="68"/>
    </row>
    <row r="78" spans="1:49" s="38" customFormat="1" ht="15" hidden="1" customHeight="1" x14ac:dyDescent="0.2">
      <c r="A78" s="82" t="str">
        <f t="shared" si="18"/>
        <v/>
      </c>
      <c r="B78" s="74"/>
      <c r="C78" s="74"/>
      <c r="D78" s="74"/>
      <c r="E78" s="74"/>
      <c r="F78" s="74"/>
      <c r="G78" s="74"/>
      <c r="H78" s="74"/>
      <c r="I78" s="74"/>
      <c r="J78" s="74"/>
      <c r="K78" s="74"/>
      <c r="L78" s="74"/>
      <c r="M78" s="74"/>
      <c r="N78" s="58"/>
      <c r="P78" s="65" t="str">
        <f t="shared" si="13"/>
        <v/>
      </c>
      <c r="Q78" s="74"/>
      <c r="R78" s="74"/>
      <c r="S78" s="74"/>
      <c r="T78" s="74"/>
      <c r="U78" s="74"/>
      <c r="V78" s="74"/>
      <c r="W78" s="74"/>
      <c r="X78" s="74"/>
      <c r="Y78" s="74"/>
      <c r="Z78" s="74"/>
      <c r="AA78" s="74"/>
      <c r="AB78" s="74"/>
      <c r="AC78" s="58"/>
      <c r="AE78" s="65" t="str">
        <f t="shared" si="15"/>
        <v/>
      </c>
      <c r="AF78" s="54"/>
      <c r="AG78" s="54"/>
      <c r="AH78" s="54"/>
      <c r="AI78" s="54"/>
      <c r="AJ78" s="54"/>
      <c r="AK78" s="54"/>
      <c r="AL78" s="54"/>
      <c r="AM78" s="54"/>
      <c r="AN78" s="54"/>
      <c r="AO78" s="54"/>
      <c r="AP78" s="54"/>
      <c r="AQ78" s="54"/>
      <c r="AR78" s="55"/>
      <c r="AS78" s="40"/>
      <c r="AT78" s="65" t="str">
        <f t="shared" si="17"/>
        <v/>
      </c>
      <c r="AU78" s="69"/>
      <c r="AV78" s="69"/>
      <c r="AW78" s="69"/>
    </row>
    <row r="79" spans="1:49" s="38" customFormat="1" ht="15" hidden="1" customHeight="1" x14ac:dyDescent="0.2">
      <c r="A79" s="82" t="str">
        <f t="shared" si="18"/>
        <v/>
      </c>
      <c r="B79" s="74"/>
      <c r="C79" s="74"/>
      <c r="D79" s="74"/>
      <c r="E79" s="74"/>
      <c r="F79" s="74"/>
      <c r="G79" s="74"/>
      <c r="H79" s="74"/>
      <c r="I79" s="74"/>
      <c r="J79" s="74"/>
      <c r="K79" s="74"/>
      <c r="L79" s="74"/>
      <c r="M79" s="74"/>
      <c r="N79" s="58"/>
      <c r="P79" s="65" t="str">
        <f t="shared" si="13"/>
        <v/>
      </c>
      <c r="Q79" s="74"/>
      <c r="R79" s="74"/>
      <c r="S79" s="74"/>
      <c r="T79" s="74"/>
      <c r="U79" s="74"/>
      <c r="V79" s="74"/>
      <c r="W79" s="74"/>
      <c r="X79" s="74"/>
      <c r="Y79" s="74"/>
      <c r="Z79" s="74"/>
      <c r="AA79" s="74"/>
      <c r="AB79" s="74"/>
      <c r="AC79" s="58"/>
      <c r="AE79" s="65" t="str">
        <f t="shared" si="15"/>
        <v/>
      </c>
      <c r="AF79" s="54"/>
      <c r="AG79" s="54"/>
      <c r="AH79" s="54"/>
      <c r="AI79" s="54"/>
      <c r="AJ79" s="54"/>
      <c r="AK79" s="54"/>
      <c r="AL79" s="54"/>
      <c r="AM79" s="54"/>
      <c r="AN79" s="54"/>
      <c r="AO79" s="54"/>
      <c r="AP79" s="54"/>
      <c r="AQ79" s="54"/>
      <c r="AR79" s="55"/>
      <c r="AS79" s="40"/>
      <c r="AT79" s="65" t="str">
        <f t="shared" si="17"/>
        <v/>
      </c>
      <c r="AU79" s="69"/>
      <c r="AV79" s="69"/>
      <c r="AW79" s="69"/>
    </row>
    <row r="80" spans="1:49" s="38" customFormat="1" ht="15" hidden="1" customHeight="1" x14ac:dyDescent="0.2">
      <c r="A80" s="82" t="str">
        <f t="shared" si="18"/>
        <v/>
      </c>
      <c r="B80" s="74"/>
      <c r="C80" s="74"/>
      <c r="D80" s="74"/>
      <c r="E80" s="74"/>
      <c r="F80" s="74"/>
      <c r="G80" s="74"/>
      <c r="H80" s="74"/>
      <c r="I80" s="74"/>
      <c r="J80" s="74"/>
      <c r="K80" s="74"/>
      <c r="L80" s="74"/>
      <c r="M80" s="74"/>
      <c r="N80" s="58"/>
      <c r="P80" s="65" t="str">
        <f t="shared" si="13"/>
        <v/>
      </c>
      <c r="Q80" s="74"/>
      <c r="R80" s="74"/>
      <c r="S80" s="74"/>
      <c r="T80" s="74"/>
      <c r="U80" s="74"/>
      <c r="V80" s="74"/>
      <c r="W80" s="74"/>
      <c r="X80" s="74"/>
      <c r="Y80" s="74"/>
      <c r="Z80" s="74"/>
      <c r="AA80" s="74"/>
      <c r="AB80" s="74"/>
      <c r="AC80" s="58"/>
      <c r="AE80" s="65" t="str">
        <f t="shared" si="15"/>
        <v/>
      </c>
      <c r="AF80" s="54"/>
      <c r="AG80" s="54"/>
      <c r="AH80" s="54"/>
      <c r="AI80" s="54"/>
      <c r="AJ80" s="54"/>
      <c r="AK80" s="54"/>
      <c r="AL80" s="54"/>
      <c r="AM80" s="54"/>
      <c r="AN80" s="54"/>
      <c r="AO80" s="54"/>
      <c r="AP80" s="54"/>
      <c r="AQ80" s="54"/>
      <c r="AR80" s="55"/>
      <c r="AS80" s="40"/>
      <c r="AT80" s="65" t="str">
        <f t="shared" si="17"/>
        <v/>
      </c>
      <c r="AU80" s="69"/>
      <c r="AV80" s="69"/>
      <c r="AW80" s="69"/>
    </row>
    <row r="81" spans="1:49" s="38" customFormat="1" ht="15" hidden="1" customHeight="1" x14ac:dyDescent="0.2">
      <c r="A81" s="82" t="str">
        <f t="shared" si="18"/>
        <v/>
      </c>
      <c r="B81" s="74"/>
      <c r="C81" s="74"/>
      <c r="D81" s="74"/>
      <c r="E81" s="74"/>
      <c r="F81" s="74"/>
      <c r="G81" s="74"/>
      <c r="H81" s="74"/>
      <c r="I81" s="74"/>
      <c r="J81" s="74"/>
      <c r="K81" s="74"/>
      <c r="L81" s="74"/>
      <c r="M81" s="74"/>
      <c r="N81" s="58"/>
      <c r="P81" s="65" t="str">
        <f t="shared" si="13"/>
        <v/>
      </c>
      <c r="Q81" s="74"/>
      <c r="R81" s="74"/>
      <c r="S81" s="74"/>
      <c r="T81" s="74"/>
      <c r="U81" s="74"/>
      <c r="V81" s="74"/>
      <c r="W81" s="74"/>
      <c r="X81" s="74"/>
      <c r="Y81" s="74"/>
      <c r="Z81" s="74"/>
      <c r="AA81" s="74"/>
      <c r="AB81" s="74"/>
      <c r="AC81" s="58"/>
      <c r="AE81" s="65" t="str">
        <f t="shared" si="15"/>
        <v/>
      </c>
      <c r="AF81" s="54"/>
      <c r="AG81" s="54"/>
      <c r="AH81" s="54"/>
      <c r="AI81" s="54"/>
      <c r="AJ81" s="54"/>
      <c r="AK81" s="54"/>
      <c r="AL81" s="54"/>
      <c r="AM81" s="54"/>
      <c r="AN81" s="54"/>
      <c r="AO81" s="54"/>
      <c r="AP81" s="54"/>
      <c r="AQ81" s="54"/>
      <c r="AR81" s="55"/>
      <c r="AS81" s="40"/>
      <c r="AT81" s="65" t="str">
        <f t="shared" si="17"/>
        <v/>
      </c>
      <c r="AU81" s="69"/>
      <c r="AV81" s="69"/>
      <c r="AW81" s="69"/>
    </row>
    <row r="82" spans="1:49" s="38" customFormat="1" ht="15" hidden="1" customHeight="1" x14ac:dyDescent="0.2">
      <c r="A82" s="82" t="str">
        <f t="shared" si="18"/>
        <v/>
      </c>
      <c r="B82" s="74"/>
      <c r="C82" s="74"/>
      <c r="D82" s="74"/>
      <c r="E82" s="74"/>
      <c r="F82" s="74"/>
      <c r="G82" s="74"/>
      <c r="H82" s="74"/>
      <c r="I82" s="74"/>
      <c r="J82" s="74"/>
      <c r="K82" s="74"/>
      <c r="L82" s="74"/>
      <c r="M82" s="74"/>
      <c r="N82" s="58"/>
      <c r="P82" s="65" t="str">
        <f t="shared" si="13"/>
        <v/>
      </c>
      <c r="Q82" s="74"/>
      <c r="R82" s="74"/>
      <c r="S82" s="74"/>
      <c r="T82" s="74"/>
      <c r="U82" s="74"/>
      <c r="V82" s="74"/>
      <c r="W82" s="74"/>
      <c r="X82" s="74"/>
      <c r="Y82" s="74"/>
      <c r="Z82" s="74"/>
      <c r="AA82" s="74"/>
      <c r="AB82" s="74"/>
      <c r="AC82" s="58"/>
      <c r="AE82" s="65" t="str">
        <f t="shared" si="15"/>
        <v/>
      </c>
      <c r="AF82" s="54"/>
      <c r="AG82" s="54"/>
      <c r="AH82" s="54"/>
      <c r="AI82" s="54"/>
      <c r="AJ82" s="54"/>
      <c r="AK82" s="54"/>
      <c r="AL82" s="54"/>
      <c r="AM82" s="54"/>
      <c r="AN82" s="54"/>
      <c r="AO82" s="54"/>
      <c r="AP82" s="54"/>
      <c r="AQ82" s="54"/>
      <c r="AR82" s="55"/>
      <c r="AS82" s="40"/>
      <c r="AT82" s="65" t="str">
        <f t="shared" si="17"/>
        <v/>
      </c>
      <c r="AU82" s="69"/>
      <c r="AV82" s="69"/>
      <c r="AW82" s="69"/>
    </row>
    <row r="83" spans="1:49" s="38" customFormat="1" ht="15" hidden="1" customHeight="1" x14ac:dyDescent="0.2">
      <c r="A83" s="82" t="str">
        <f t="shared" si="18"/>
        <v/>
      </c>
      <c r="B83" s="74"/>
      <c r="C83" s="74"/>
      <c r="D83" s="74"/>
      <c r="E83" s="74"/>
      <c r="F83" s="74"/>
      <c r="G83" s="74"/>
      <c r="H83" s="74"/>
      <c r="I83" s="74"/>
      <c r="J83" s="74"/>
      <c r="K83" s="74"/>
      <c r="L83" s="74"/>
      <c r="M83" s="74"/>
      <c r="N83" s="58"/>
      <c r="P83" s="65" t="str">
        <f t="shared" si="13"/>
        <v/>
      </c>
      <c r="Q83" s="74"/>
      <c r="R83" s="74"/>
      <c r="S83" s="74"/>
      <c r="T83" s="74"/>
      <c r="U83" s="74"/>
      <c r="V83" s="74"/>
      <c r="W83" s="74"/>
      <c r="X83" s="74"/>
      <c r="Y83" s="74"/>
      <c r="Z83" s="74"/>
      <c r="AA83" s="74"/>
      <c r="AB83" s="74"/>
      <c r="AC83" s="58"/>
      <c r="AE83" s="65" t="str">
        <f t="shared" si="15"/>
        <v/>
      </c>
      <c r="AF83" s="54"/>
      <c r="AG83" s="54"/>
      <c r="AH83" s="54"/>
      <c r="AI83" s="54"/>
      <c r="AJ83" s="54"/>
      <c r="AK83" s="54"/>
      <c r="AL83" s="54"/>
      <c r="AM83" s="54"/>
      <c r="AN83" s="54"/>
      <c r="AO83" s="54"/>
      <c r="AP83" s="54"/>
      <c r="AQ83" s="54"/>
      <c r="AR83" s="55"/>
      <c r="AS83" s="40"/>
      <c r="AT83" s="65" t="str">
        <f t="shared" si="17"/>
        <v/>
      </c>
      <c r="AU83" s="69"/>
      <c r="AV83" s="69"/>
      <c r="AW83" s="69"/>
    </row>
    <row r="84" spans="1:49" s="38" customFormat="1" ht="15" hidden="1" customHeight="1" x14ac:dyDescent="0.2">
      <c r="A84" s="82" t="str">
        <f t="shared" si="18"/>
        <v/>
      </c>
      <c r="B84" s="74"/>
      <c r="C84" s="74"/>
      <c r="D84" s="74"/>
      <c r="E84" s="74"/>
      <c r="F84" s="74"/>
      <c r="G84" s="74"/>
      <c r="H84" s="74"/>
      <c r="I84" s="74"/>
      <c r="J84" s="74"/>
      <c r="K84" s="74"/>
      <c r="L84" s="74"/>
      <c r="M84" s="74"/>
      <c r="N84" s="58"/>
      <c r="P84" s="65" t="str">
        <f t="shared" si="13"/>
        <v/>
      </c>
      <c r="Q84" s="74"/>
      <c r="R84" s="74"/>
      <c r="S84" s="74"/>
      <c r="T84" s="74"/>
      <c r="U84" s="74"/>
      <c r="V84" s="74"/>
      <c r="W84" s="74"/>
      <c r="X84" s="74"/>
      <c r="Y84" s="74"/>
      <c r="Z84" s="74"/>
      <c r="AA84" s="74"/>
      <c r="AB84" s="74"/>
      <c r="AC84" s="58"/>
      <c r="AE84" s="65" t="str">
        <f t="shared" si="15"/>
        <v/>
      </c>
      <c r="AF84" s="54"/>
      <c r="AG84" s="54"/>
      <c r="AH84" s="54"/>
      <c r="AI84" s="54"/>
      <c r="AJ84" s="54"/>
      <c r="AK84" s="54"/>
      <c r="AL84" s="54"/>
      <c r="AM84" s="54"/>
      <c r="AN84" s="54"/>
      <c r="AO84" s="54"/>
      <c r="AP84" s="54"/>
      <c r="AQ84" s="54"/>
      <c r="AR84" s="55"/>
      <c r="AS84" s="40"/>
      <c r="AT84" s="65" t="str">
        <f t="shared" si="17"/>
        <v/>
      </c>
      <c r="AU84" s="69"/>
      <c r="AV84" s="69"/>
      <c r="AW84" s="69"/>
    </row>
    <row r="85" spans="1:49" s="38" customFormat="1" ht="15" hidden="1" customHeight="1" x14ac:dyDescent="0.2">
      <c r="A85" s="82" t="str">
        <f t="shared" si="18"/>
        <v/>
      </c>
      <c r="B85" s="74"/>
      <c r="C85" s="74"/>
      <c r="D85" s="74"/>
      <c r="E85" s="74"/>
      <c r="F85" s="74"/>
      <c r="G85" s="74"/>
      <c r="H85" s="74"/>
      <c r="I85" s="74"/>
      <c r="J85" s="74"/>
      <c r="K85" s="74"/>
      <c r="L85" s="74"/>
      <c r="M85" s="74"/>
      <c r="N85" s="58"/>
      <c r="P85" s="65" t="str">
        <f t="shared" si="13"/>
        <v/>
      </c>
      <c r="Q85" s="74"/>
      <c r="R85" s="74"/>
      <c r="S85" s="74"/>
      <c r="T85" s="74"/>
      <c r="U85" s="74"/>
      <c r="V85" s="74"/>
      <c r="W85" s="74"/>
      <c r="X85" s="74"/>
      <c r="Y85" s="74"/>
      <c r="Z85" s="74"/>
      <c r="AA85" s="74"/>
      <c r="AB85" s="74"/>
      <c r="AC85" s="58"/>
      <c r="AE85" s="65" t="str">
        <f t="shared" si="15"/>
        <v/>
      </c>
      <c r="AF85" s="54"/>
      <c r="AG85" s="54"/>
      <c r="AH85" s="54"/>
      <c r="AI85" s="54"/>
      <c r="AJ85" s="54"/>
      <c r="AK85" s="54"/>
      <c r="AL85" s="54"/>
      <c r="AM85" s="54"/>
      <c r="AN85" s="54"/>
      <c r="AO85" s="54"/>
      <c r="AP85" s="54"/>
      <c r="AQ85" s="54"/>
      <c r="AR85" s="55"/>
      <c r="AS85" s="40"/>
      <c r="AT85" s="65" t="str">
        <f t="shared" si="17"/>
        <v/>
      </c>
      <c r="AU85" s="69"/>
      <c r="AV85" s="69"/>
      <c r="AW85" s="69"/>
    </row>
    <row r="86" spans="1:49" s="38" customFormat="1" ht="9.6" customHeight="1" x14ac:dyDescent="0.2">
      <c r="N86" s="40"/>
      <c r="AC86" s="40"/>
      <c r="AR86" s="40"/>
      <c r="AU86" s="40"/>
      <c r="AV86" s="40"/>
      <c r="AW86" s="40"/>
    </row>
    <row r="87" spans="1:49" s="38" customFormat="1" ht="15" customHeight="1" x14ac:dyDescent="0.2">
      <c r="A87" s="41" t="s">
        <v>31</v>
      </c>
      <c r="B87" s="43" t="s">
        <v>32</v>
      </c>
      <c r="N87" s="42" t="s">
        <v>30</v>
      </c>
      <c r="P87" s="41" t="s">
        <v>31</v>
      </c>
      <c r="Q87" s="43"/>
      <c r="AC87" s="42" t="s">
        <v>30</v>
      </c>
      <c r="AE87" s="41" t="s">
        <v>31</v>
      </c>
      <c r="AF87" s="43"/>
      <c r="AR87" s="42" t="s">
        <v>30</v>
      </c>
      <c r="AT87" s="41" t="s">
        <v>31</v>
      </c>
      <c r="AU87" s="40" t="s">
        <v>22</v>
      </c>
      <c r="AV87" s="40" t="s">
        <v>22</v>
      </c>
      <c r="AW87" s="40" t="s">
        <v>22</v>
      </c>
    </row>
    <row r="88" spans="1:49" s="38" customFormat="1" ht="15" customHeight="1" x14ac:dyDescent="0.2">
      <c r="A88" s="82" t="str">
        <f>IF(A7=0,"",A7)</f>
        <v>Product 1</v>
      </c>
      <c r="B88" s="75">
        <f t="shared" ref="B88:M90" si="20">B7*B34</f>
        <v>9995</v>
      </c>
      <c r="C88" s="75">
        <f t="shared" si="20"/>
        <v>10494.75</v>
      </c>
      <c r="D88" s="75">
        <f t="shared" si="20"/>
        <v>10994.5</v>
      </c>
      <c r="E88" s="75">
        <f t="shared" si="20"/>
        <v>11494.25</v>
      </c>
      <c r="F88" s="75">
        <f t="shared" si="20"/>
        <v>10994.5</v>
      </c>
      <c r="G88" s="75">
        <f t="shared" si="20"/>
        <v>10494.75</v>
      </c>
      <c r="H88" s="75">
        <f t="shared" si="20"/>
        <v>10494.75</v>
      </c>
      <c r="I88" s="75">
        <f t="shared" si="20"/>
        <v>10994.5</v>
      </c>
      <c r="J88" s="75">
        <f t="shared" si="20"/>
        <v>11494.25</v>
      </c>
      <c r="K88" s="75">
        <f t="shared" si="20"/>
        <v>11993.999999999998</v>
      </c>
      <c r="L88" s="75">
        <f t="shared" si="20"/>
        <v>12993.499999999998</v>
      </c>
      <c r="M88" s="75">
        <f t="shared" si="20"/>
        <v>12993.499999999998</v>
      </c>
      <c r="N88" s="70">
        <f>SUM(B88:M88)</f>
        <v>135432.25</v>
      </c>
      <c r="P88" s="65" t="str">
        <f t="shared" ref="P88:P112" si="21">IF(A7=0,"",A7)</f>
        <v>Product 1</v>
      </c>
      <c r="Q88" s="75">
        <f t="shared" ref="Q88:AB90" si="22">Q7*Q34</f>
        <v>12493.749999999998</v>
      </c>
      <c r="R88" s="75">
        <f t="shared" si="22"/>
        <v>11993.999999999998</v>
      </c>
      <c r="S88" s="75">
        <f t="shared" si="22"/>
        <v>11494.25</v>
      </c>
      <c r="T88" s="75">
        <f t="shared" si="22"/>
        <v>10994.5</v>
      </c>
      <c r="U88" s="75">
        <f t="shared" si="22"/>
        <v>11494.25</v>
      </c>
      <c r="V88" s="75">
        <f t="shared" si="22"/>
        <v>11993.999999999998</v>
      </c>
      <c r="W88" s="75">
        <f t="shared" si="22"/>
        <v>11993.999999999998</v>
      </c>
      <c r="X88" s="75">
        <f t="shared" si="22"/>
        <v>12493.749999999998</v>
      </c>
      <c r="Y88" s="75">
        <f t="shared" si="22"/>
        <v>12993.499999999998</v>
      </c>
      <c r="Z88" s="75">
        <f t="shared" si="22"/>
        <v>13493.249999999998</v>
      </c>
      <c r="AA88" s="75">
        <f t="shared" si="22"/>
        <v>13992.999999999998</v>
      </c>
      <c r="AB88" s="75">
        <f t="shared" si="22"/>
        <v>14492.749999999998</v>
      </c>
      <c r="AC88" s="70">
        <f>SUM(Q88:AB88)</f>
        <v>149925</v>
      </c>
      <c r="AE88" s="65" t="str">
        <f t="shared" ref="AE88:AE112" si="23">IF(A7=0,"",A7)</f>
        <v>Product 1</v>
      </c>
      <c r="AF88" s="75">
        <f t="shared" ref="AF88:AQ90" si="24">AF7*AF34</f>
        <v>14992.499999999998</v>
      </c>
      <c r="AG88" s="75">
        <f t="shared" si="24"/>
        <v>13992.999999999998</v>
      </c>
      <c r="AH88" s="75">
        <f t="shared" si="24"/>
        <v>12993.499999999998</v>
      </c>
      <c r="AI88" s="75">
        <f t="shared" si="24"/>
        <v>12993.499999999998</v>
      </c>
      <c r="AJ88" s="75">
        <f t="shared" si="24"/>
        <v>13493.249999999998</v>
      </c>
      <c r="AK88" s="75">
        <f t="shared" si="24"/>
        <v>13992.999999999998</v>
      </c>
      <c r="AL88" s="75">
        <f t="shared" si="24"/>
        <v>13992.999999999998</v>
      </c>
      <c r="AM88" s="75">
        <f t="shared" si="24"/>
        <v>14492.749999999998</v>
      </c>
      <c r="AN88" s="75">
        <f t="shared" si="24"/>
        <v>14992.499999999998</v>
      </c>
      <c r="AO88" s="75">
        <f t="shared" si="24"/>
        <v>15991.999999999998</v>
      </c>
      <c r="AP88" s="75">
        <f t="shared" si="24"/>
        <v>16991.5</v>
      </c>
      <c r="AQ88" s="75">
        <f t="shared" si="24"/>
        <v>17991</v>
      </c>
      <c r="AR88" s="70">
        <f>SUM(AF88:AQ88)</f>
        <v>176911.49999999997</v>
      </c>
      <c r="AT88" s="65" t="str">
        <f t="shared" ref="AT88:AT112" si="25">IF(A7=0,"",A7)</f>
        <v>Product 1</v>
      </c>
      <c r="AU88" s="66">
        <f>AC88-N88</f>
        <v>14492.75</v>
      </c>
      <c r="AV88" s="66">
        <f>AR88-AC88</f>
        <v>26986.499999999971</v>
      </c>
      <c r="AW88" s="66">
        <f>AR88-AC88</f>
        <v>26986.499999999971</v>
      </c>
    </row>
    <row r="89" spans="1:49" s="38" customFormat="1" ht="15" customHeight="1" x14ac:dyDescent="0.2">
      <c r="A89" s="82" t="str">
        <f t="shared" ref="A89:A111" si="26">IF(A8=0,"",A8)</f>
        <v>Product 2</v>
      </c>
      <c r="B89" s="75">
        <f t="shared" si="20"/>
        <v>22485</v>
      </c>
      <c r="C89" s="75">
        <f t="shared" si="20"/>
        <v>14990</v>
      </c>
      <c r="D89" s="75">
        <f t="shared" si="20"/>
        <v>14990</v>
      </c>
      <c r="E89" s="75">
        <f t="shared" si="20"/>
        <v>18737.5</v>
      </c>
      <c r="F89" s="75">
        <f t="shared" si="20"/>
        <v>18737.5</v>
      </c>
      <c r="G89" s="75">
        <f t="shared" si="20"/>
        <v>22485</v>
      </c>
      <c r="H89" s="75">
        <f t="shared" si="20"/>
        <v>22485</v>
      </c>
      <c r="I89" s="75">
        <f t="shared" si="20"/>
        <v>26232.5</v>
      </c>
      <c r="J89" s="75">
        <f t="shared" si="20"/>
        <v>29980</v>
      </c>
      <c r="K89" s="75">
        <f t="shared" si="20"/>
        <v>37475</v>
      </c>
      <c r="L89" s="75">
        <f t="shared" si="20"/>
        <v>44970</v>
      </c>
      <c r="M89" s="75">
        <f t="shared" si="20"/>
        <v>44970</v>
      </c>
      <c r="N89" s="70">
        <f>SUM(B89:M89)</f>
        <v>318537.5</v>
      </c>
      <c r="P89" s="65" t="str">
        <f t="shared" si="21"/>
        <v>Product 2</v>
      </c>
      <c r="Q89" s="75">
        <f t="shared" si="22"/>
        <v>29980</v>
      </c>
      <c r="R89" s="75">
        <f t="shared" si="22"/>
        <v>22485</v>
      </c>
      <c r="S89" s="75">
        <f t="shared" si="22"/>
        <v>22485</v>
      </c>
      <c r="T89" s="75">
        <f t="shared" si="22"/>
        <v>26232.5</v>
      </c>
      <c r="U89" s="75">
        <f t="shared" si="22"/>
        <v>26232.5</v>
      </c>
      <c r="V89" s="75">
        <f t="shared" si="22"/>
        <v>29980</v>
      </c>
      <c r="W89" s="75">
        <f t="shared" si="22"/>
        <v>29980</v>
      </c>
      <c r="X89" s="75">
        <f t="shared" si="22"/>
        <v>33727.5</v>
      </c>
      <c r="Y89" s="75">
        <f t="shared" si="22"/>
        <v>37475</v>
      </c>
      <c r="Z89" s="75">
        <f t="shared" si="22"/>
        <v>44970</v>
      </c>
      <c r="AA89" s="75">
        <f t="shared" si="22"/>
        <v>52465</v>
      </c>
      <c r="AB89" s="75">
        <f t="shared" si="22"/>
        <v>52465</v>
      </c>
      <c r="AC89" s="70">
        <f>SUM(Q89:AB89)</f>
        <v>408477.5</v>
      </c>
      <c r="AE89" s="65" t="str">
        <f t="shared" si="23"/>
        <v>Product 2</v>
      </c>
      <c r="AF89" s="75">
        <f t="shared" si="24"/>
        <v>44970</v>
      </c>
      <c r="AG89" s="75">
        <f t="shared" si="24"/>
        <v>29980</v>
      </c>
      <c r="AH89" s="75">
        <f t="shared" si="24"/>
        <v>29980</v>
      </c>
      <c r="AI89" s="75">
        <f t="shared" si="24"/>
        <v>33727.5</v>
      </c>
      <c r="AJ89" s="75">
        <f t="shared" si="24"/>
        <v>33727.5</v>
      </c>
      <c r="AK89" s="75">
        <f t="shared" si="24"/>
        <v>37475</v>
      </c>
      <c r="AL89" s="75">
        <f t="shared" si="24"/>
        <v>37475</v>
      </c>
      <c r="AM89" s="75">
        <f t="shared" si="24"/>
        <v>41222.5</v>
      </c>
      <c r="AN89" s="75">
        <f t="shared" si="24"/>
        <v>44970</v>
      </c>
      <c r="AO89" s="75">
        <f t="shared" si="24"/>
        <v>52465</v>
      </c>
      <c r="AP89" s="75">
        <f t="shared" si="24"/>
        <v>59960</v>
      </c>
      <c r="AQ89" s="75">
        <f t="shared" si="24"/>
        <v>59960</v>
      </c>
      <c r="AR89" s="70">
        <f>SUM(AF89:AQ89)</f>
        <v>505912.5</v>
      </c>
      <c r="AT89" s="65" t="str">
        <f t="shared" si="25"/>
        <v>Product 2</v>
      </c>
      <c r="AU89" s="66">
        <f>AC89-N89</f>
        <v>89940</v>
      </c>
      <c r="AV89" s="66">
        <f t="shared" ref="AV89:AV113" si="27">AR89-AC89</f>
        <v>97435</v>
      </c>
      <c r="AW89" s="66">
        <f>AR89-AC89</f>
        <v>97435</v>
      </c>
    </row>
    <row r="90" spans="1:49" s="38" customFormat="1" ht="15" customHeight="1" x14ac:dyDescent="0.2">
      <c r="A90" s="82" t="str">
        <f t="shared" si="26"/>
        <v>Product 3</v>
      </c>
      <c r="B90" s="75">
        <f t="shared" si="20"/>
        <v>7498.5</v>
      </c>
      <c r="C90" s="75">
        <f t="shared" si="20"/>
        <v>9998</v>
      </c>
      <c r="D90" s="75">
        <f t="shared" si="20"/>
        <v>12497.5</v>
      </c>
      <c r="E90" s="75">
        <f t="shared" si="20"/>
        <v>14997</v>
      </c>
      <c r="F90" s="75">
        <f t="shared" si="20"/>
        <v>17496.5</v>
      </c>
      <c r="G90" s="75">
        <f t="shared" si="20"/>
        <v>19996</v>
      </c>
      <c r="H90" s="75">
        <f t="shared" si="20"/>
        <v>19996</v>
      </c>
      <c r="I90" s="75">
        <f t="shared" si="20"/>
        <v>17496.5</v>
      </c>
      <c r="J90" s="75">
        <f t="shared" si="20"/>
        <v>17496.5</v>
      </c>
      <c r="K90" s="75">
        <f t="shared" si="20"/>
        <v>14997</v>
      </c>
      <c r="L90" s="75">
        <f t="shared" si="20"/>
        <v>14997</v>
      </c>
      <c r="M90" s="75">
        <f t="shared" si="20"/>
        <v>14997</v>
      </c>
      <c r="N90" s="70">
        <f>SUM(B90:M90)</f>
        <v>182463.5</v>
      </c>
      <c r="P90" s="65" t="str">
        <f t="shared" si="21"/>
        <v>Product 3</v>
      </c>
      <c r="Q90" s="75">
        <f t="shared" si="22"/>
        <v>16497</v>
      </c>
      <c r="R90" s="75">
        <f t="shared" si="22"/>
        <v>13747.5</v>
      </c>
      <c r="S90" s="75">
        <f t="shared" si="22"/>
        <v>16497</v>
      </c>
      <c r="T90" s="75">
        <f t="shared" si="22"/>
        <v>19246.5</v>
      </c>
      <c r="U90" s="75">
        <f t="shared" si="22"/>
        <v>21996</v>
      </c>
      <c r="V90" s="75">
        <f t="shared" si="22"/>
        <v>24745.5</v>
      </c>
      <c r="W90" s="75">
        <f t="shared" si="22"/>
        <v>27495</v>
      </c>
      <c r="X90" s="75">
        <f t="shared" si="22"/>
        <v>21996</v>
      </c>
      <c r="Y90" s="75">
        <f t="shared" si="22"/>
        <v>21996</v>
      </c>
      <c r="Z90" s="75">
        <f t="shared" si="22"/>
        <v>19246.5</v>
      </c>
      <c r="AA90" s="75">
        <f t="shared" si="22"/>
        <v>19246.5</v>
      </c>
      <c r="AB90" s="75">
        <f t="shared" si="22"/>
        <v>17871.75</v>
      </c>
      <c r="AC90" s="70">
        <f>SUM(Q90:AB90)</f>
        <v>240581.25</v>
      </c>
      <c r="AE90" s="65" t="str">
        <f t="shared" si="23"/>
        <v>Product 3</v>
      </c>
      <c r="AF90" s="75">
        <f t="shared" si="24"/>
        <v>19496.75</v>
      </c>
      <c r="AG90" s="75">
        <f t="shared" si="24"/>
        <v>20996.5</v>
      </c>
      <c r="AH90" s="75">
        <f t="shared" si="24"/>
        <v>23996</v>
      </c>
      <c r="AI90" s="75">
        <f t="shared" si="24"/>
        <v>26995.5</v>
      </c>
      <c r="AJ90" s="75">
        <f t="shared" si="24"/>
        <v>29995</v>
      </c>
      <c r="AK90" s="75">
        <f t="shared" si="24"/>
        <v>32994.5</v>
      </c>
      <c r="AL90" s="75">
        <f t="shared" si="24"/>
        <v>35994</v>
      </c>
      <c r="AM90" s="75">
        <f t="shared" si="24"/>
        <v>29995</v>
      </c>
      <c r="AN90" s="75">
        <f t="shared" si="24"/>
        <v>29995</v>
      </c>
      <c r="AO90" s="75">
        <f t="shared" si="24"/>
        <v>26995.5</v>
      </c>
      <c r="AP90" s="75">
        <f t="shared" si="24"/>
        <v>26995.5</v>
      </c>
      <c r="AQ90" s="75">
        <f t="shared" si="24"/>
        <v>25495.75</v>
      </c>
      <c r="AR90" s="70">
        <f>SUM(AF90:AQ90)</f>
        <v>329945</v>
      </c>
      <c r="AT90" s="65" t="str">
        <f t="shared" si="25"/>
        <v>Product 3</v>
      </c>
      <c r="AU90" s="66">
        <f>AC90-N90</f>
        <v>58117.75</v>
      </c>
      <c r="AV90" s="66">
        <f t="shared" si="27"/>
        <v>89363.75</v>
      </c>
      <c r="AW90" s="66">
        <f>AR90-AC90</f>
        <v>89363.75</v>
      </c>
    </row>
    <row r="91" spans="1:49" s="38" customFormat="1" ht="15" hidden="1" customHeight="1" x14ac:dyDescent="0.2">
      <c r="A91" s="82" t="str">
        <f t="shared" si="26"/>
        <v/>
      </c>
      <c r="B91" s="75"/>
      <c r="C91" s="75"/>
      <c r="D91" s="75"/>
      <c r="E91" s="75"/>
      <c r="F91" s="75"/>
      <c r="G91" s="75"/>
      <c r="H91" s="75"/>
      <c r="I91" s="75"/>
      <c r="J91" s="75"/>
      <c r="K91" s="75"/>
      <c r="L91" s="75"/>
      <c r="M91" s="75"/>
      <c r="N91" s="59"/>
      <c r="P91" s="65" t="str">
        <f t="shared" si="21"/>
        <v/>
      </c>
      <c r="Q91" s="75"/>
      <c r="R91" s="75"/>
      <c r="S91" s="75"/>
      <c r="T91" s="75"/>
      <c r="U91" s="75"/>
      <c r="V91" s="75"/>
      <c r="W91" s="75"/>
      <c r="X91" s="75"/>
      <c r="Y91" s="75"/>
      <c r="Z91" s="75"/>
      <c r="AA91" s="75"/>
      <c r="AB91" s="75"/>
      <c r="AC91" s="59"/>
      <c r="AE91" s="65" t="str">
        <f t="shared" si="23"/>
        <v/>
      </c>
      <c r="AF91" s="75"/>
      <c r="AG91" s="75"/>
      <c r="AH91" s="75"/>
      <c r="AI91" s="75"/>
      <c r="AJ91" s="75"/>
      <c r="AK91" s="75"/>
      <c r="AL91" s="75"/>
      <c r="AM91" s="75"/>
      <c r="AN91" s="75"/>
      <c r="AO91" s="75"/>
      <c r="AP91" s="75"/>
      <c r="AQ91" s="75"/>
      <c r="AR91" s="59"/>
      <c r="AT91" s="65" t="str">
        <f t="shared" si="25"/>
        <v/>
      </c>
      <c r="AU91" s="66"/>
      <c r="AV91" s="66">
        <f t="shared" si="27"/>
        <v>0</v>
      </c>
      <c r="AW91" s="66"/>
    </row>
    <row r="92" spans="1:49" s="38" customFormat="1" ht="15" hidden="1" customHeight="1" x14ac:dyDescent="0.2">
      <c r="A92" s="82" t="str">
        <f t="shared" si="26"/>
        <v/>
      </c>
      <c r="B92" s="75"/>
      <c r="C92" s="75"/>
      <c r="D92" s="75"/>
      <c r="E92" s="75"/>
      <c r="F92" s="75"/>
      <c r="G92" s="75"/>
      <c r="H92" s="75"/>
      <c r="I92" s="75"/>
      <c r="J92" s="75"/>
      <c r="K92" s="75"/>
      <c r="L92" s="75"/>
      <c r="M92" s="75"/>
      <c r="N92" s="59"/>
      <c r="P92" s="65" t="str">
        <f t="shared" si="21"/>
        <v/>
      </c>
      <c r="Q92" s="75"/>
      <c r="R92" s="75"/>
      <c r="S92" s="75"/>
      <c r="T92" s="75"/>
      <c r="U92" s="75"/>
      <c r="V92" s="75"/>
      <c r="W92" s="75"/>
      <c r="X92" s="75"/>
      <c r="Y92" s="75"/>
      <c r="Z92" s="75"/>
      <c r="AA92" s="75"/>
      <c r="AB92" s="75"/>
      <c r="AC92" s="59"/>
      <c r="AE92" s="65" t="str">
        <f t="shared" si="23"/>
        <v/>
      </c>
      <c r="AF92" s="75"/>
      <c r="AG92" s="75"/>
      <c r="AH92" s="75"/>
      <c r="AI92" s="75"/>
      <c r="AJ92" s="75"/>
      <c r="AK92" s="75"/>
      <c r="AL92" s="75"/>
      <c r="AM92" s="75"/>
      <c r="AN92" s="75"/>
      <c r="AO92" s="75"/>
      <c r="AP92" s="75"/>
      <c r="AQ92" s="75"/>
      <c r="AR92" s="59"/>
      <c r="AT92" s="65" t="str">
        <f t="shared" si="25"/>
        <v/>
      </c>
      <c r="AU92" s="66"/>
      <c r="AV92" s="66">
        <f t="shared" si="27"/>
        <v>0</v>
      </c>
      <c r="AW92" s="66"/>
    </row>
    <row r="93" spans="1:49" s="38" customFormat="1" ht="15" hidden="1" customHeight="1" x14ac:dyDescent="0.2">
      <c r="A93" s="82" t="str">
        <f t="shared" si="26"/>
        <v/>
      </c>
      <c r="B93" s="75"/>
      <c r="C93" s="75"/>
      <c r="D93" s="75"/>
      <c r="E93" s="75"/>
      <c r="F93" s="75"/>
      <c r="G93" s="75"/>
      <c r="H93" s="75"/>
      <c r="I93" s="75"/>
      <c r="J93" s="75"/>
      <c r="K93" s="75"/>
      <c r="L93" s="75"/>
      <c r="M93" s="75"/>
      <c r="N93" s="59"/>
      <c r="P93" s="65" t="str">
        <f t="shared" si="21"/>
        <v/>
      </c>
      <c r="Q93" s="75"/>
      <c r="R93" s="75"/>
      <c r="S93" s="75"/>
      <c r="T93" s="75"/>
      <c r="U93" s="75"/>
      <c r="V93" s="75"/>
      <c r="W93" s="75"/>
      <c r="X93" s="75"/>
      <c r="Y93" s="75"/>
      <c r="Z93" s="75"/>
      <c r="AA93" s="75"/>
      <c r="AB93" s="75"/>
      <c r="AC93" s="59"/>
      <c r="AE93" s="65" t="str">
        <f t="shared" si="23"/>
        <v/>
      </c>
      <c r="AF93" s="75"/>
      <c r="AG93" s="75"/>
      <c r="AH93" s="75"/>
      <c r="AI93" s="75"/>
      <c r="AJ93" s="75"/>
      <c r="AK93" s="75"/>
      <c r="AL93" s="75"/>
      <c r="AM93" s="75"/>
      <c r="AN93" s="75"/>
      <c r="AO93" s="75"/>
      <c r="AP93" s="75"/>
      <c r="AQ93" s="75"/>
      <c r="AR93" s="59"/>
      <c r="AT93" s="65" t="str">
        <f t="shared" si="25"/>
        <v/>
      </c>
      <c r="AU93" s="66"/>
      <c r="AV93" s="66">
        <f t="shared" si="27"/>
        <v>0</v>
      </c>
      <c r="AW93" s="66"/>
    </row>
    <row r="94" spans="1:49" s="38" customFormat="1" ht="15" hidden="1" customHeight="1" x14ac:dyDescent="0.2">
      <c r="A94" s="82" t="str">
        <f t="shared" si="26"/>
        <v/>
      </c>
      <c r="B94" s="75"/>
      <c r="C94" s="75"/>
      <c r="D94" s="75"/>
      <c r="E94" s="75"/>
      <c r="F94" s="75"/>
      <c r="G94" s="75"/>
      <c r="H94" s="75"/>
      <c r="I94" s="75"/>
      <c r="J94" s="75"/>
      <c r="K94" s="75"/>
      <c r="L94" s="75"/>
      <c r="M94" s="75"/>
      <c r="N94" s="59"/>
      <c r="P94" s="65" t="str">
        <f t="shared" si="21"/>
        <v/>
      </c>
      <c r="Q94" s="75"/>
      <c r="R94" s="75"/>
      <c r="S94" s="75"/>
      <c r="T94" s="75"/>
      <c r="U94" s="75"/>
      <c r="V94" s="75"/>
      <c r="W94" s="75"/>
      <c r="X94" s="75"/>
      <c r="Y94" s="75"/>
      <c r="Z94" s="75"/>
      <c r="AA94" s="75"/>
      <c r="AB94" s="75"/>
      <c r="AC94" s="59"/>
      <c r="AE94" s="65" t="str">
        <f t="shared" si="23"/>
        <v/>
      </c>
      <c r="AF94" s="75"/>
      <c r="AG94" s="75"/>
      <c r="AH94" s="75"/>
      <c r="AI94" s="75"/>
      <c r="AJ94" s="75"/>
      <c r="AK94" s="75"/>
      <c r="AL94" s="75"/>
      <c r="AM94" s="75"/>
      <c r="AN94" s="75"/>
      <c r="AO94" s="75"/>
      <c r="AP94" s="75"/>
      <c r="AQ94" s="75"/>
      <c r="AR94" s="59"/>
      <c r="AT94" s="65" t="str">
        <f t="shared" si="25"/>
        <v/>
      </c>
      <c r="AU94" s="66"/>
      <c r="AV94" s="66">
        <f t="shared" si="27"/>
        <v>0</v>
      </c>
      <c r="AW94" s="66"/>
    </row>
    <row r="95" spans="1:49" s="38" customFormat="1" ht="15" hidden="1" customHeight="1" x14ac:dyDescent="0.2">
      <c r="A95" s="82" t="str">
        <f t="shared" si="26"/>
        <v/>
      </c>
      <c r="B95" s="75"/>
      <c r="C95" s="75"/>
      <c r="D95" s="75"/>
      <c r="E95" s="75"/>
      <c r="F95" s="75"/>
      <c r="G95" s="75"/>
      <c r="H95" s="75"/>
      <c r="I95" s="75"/>
      <c r="J95" s="75"/>
      <c r="K95" s="75"/>
      <c r="L95" s="75"/>
      <c r="M95" s="75"/>
      <c r="N95" s="59"/>
      <c r="P95" s="65" t="str">
        <f t="shared" si="21"/>
        <v/>
      </c>
      <c r="Q95" s="75"/>
      <c r="R95" s="75"/>
      <c r="S95" s="75"/>
      <c r="T95" s="75"/>
      <c r="U95" s="75"/>
      <c r="V95" s="75"/>
      <c r="W95" s="75"/>
      <c r="X95" s="75"/>
      <c r="Y95" s="75"/>
      <c r="Z95" s="75"/>
      <c r="AA95" s="75"/>
      <c r="AB95" s="75"/>
      <c r="AC95" s="59"/>
      <c r="AE95" s="65" t="str">
        <f t="shared" si="23"/>
        <v/>
      </c>
      <c r="AF95" s="75"/>
      <c r="AG95" s="75"/>
      <c r="AH95" s="75"/>
      <c r="AI95" s="75"/>
      <c r="AJ95" s="75"/>
      <c r="AK95" s="75"/>
      <c r="AL95" s="75"/>
      <c r="AM95" s="75"/>
      <c r="AN95" s="75"/>
      <c r="AO95" s="75"/>
      <c r="AP95" s="75"/>
      <c r="AQ95" s="75"/>
      <c r="AR95" s="59"/>
      <c r="AT95" s="65" t="str">
        <f t="shared" si="25"/>
        <v/>
      </c>
      <c r="AU95" s="66"/>
      <c r="AV95" s="66">
        <f t="shared" si="27"/>
        <v>0</v>
      </c>
      <c r="AW95" s="66"/>
    </row>
    <row r="96" spans="1:49" s="38" customFormat="1" ht="15" hidden="1" customHeight="1" x14ac:dyDescent="0.2">
      <c r="A96" s="82" t="str">
        <f t="shared" si="26"/>
        <v/>
      </c>
      <c r="B96" s="75"/>
      <c r="C96" s="75"/>
      <c r="D96" s="75"/>
      <c r="E96" s="75"/>
      <c r="F96" s="75"/>
      <c r="G96" s="75"/>
      <c r="H96" s="75"/>
      <c r="I96" s="75"/>
      <c r="J96" s="75"/>
      <c r="K96" s="75"/>
      <c r="L96" s="75"/>
      <c r="M96" s="75"/>
      <c r="N96" s="59"/>
      <c r="P96" s="65" t="str">
        <f t="shared" si="21"/>
        <v/>
      </c>
      <c r="Q96" s="75"/>
      <c r="R96" s="75"/>
      <c r="S96" s="75"/>
      <c r="T96" s="75"/>
      <c r="U96" s="75"/>
      <c r="V96" s="75"/>
      <c r="W96" s="75"/>
      <c r="X96" s="75"/>
      <c r="Y96" s="75"/>
      <c r="Z96" s="75"/>
      <c r="AA96" s="75"/>
      <c r="AB96" s="75"/>
      <c r="AC96" s="59"/>
      <c r="AE96" s="65" t="str">
        <f t="shared" si="23"/>
        <v/>
      </c>
      <c r="AF96" s="75"/>
      <c r="AG96" s="75"/>
      <c r="AH96" s="75"/>
      <c r="AI96" s="75"/>
      <c r="AJ96" s="75"/>
      <c r="AK96" s="75"/>
      <c r="AL96" s="75"/>
      <c r="AM96" s="75"/>
      <c r="AN96" s="75"/>
      <c r="AO96" s="75"/>
      <c r="AP96" s="75"/>
      <c r="AQ96" s="75"/>
      <c r="AR96" s="59"/>
      <c r="AT96" s="65" t="str">
        <f t="shared" si="25"/>
        <v/>
      </c>
      <c r="AU96" s="66"/>
      <c r="AV96" s="66">
        <f t="shared" si="27"/>
        <v>0</v>
      </c>
      <c r="AW96" s="66"/>
    </row>
    <row r="97" spans="1:49" s="38" customFormat="1" ht="15" hidden="1" customHeight="1" x14ac:dyDescent="0.2">
      <c r="A97" s="82" t="str">
        <f t="shared" si="26"/>
        <v/>
      </c>
      <c r="B97" s="75"/>
      <c r="C97" s="75"/>
      <c r="D97" s="75"/>
      <c r="E97" s="75"/>
      <c r="F97" s="75"/>
      <c r="G97" s="75"/>
      <c r="H97" s="75"/>
      <c r="I97" s="75"/>
      <c r="J97" s="75"/>
      <c r="K97" s="75"/>
      <c r="L97" s="75"/>
      <c r="M97" s="75"/>
      <c r="N97" s="59"/>
      <c r="P97" s="65" t="str">
        <f t="shared" si="21"/>
        <v/>
      </c>
      <c r="Q97" s="75"/>
      <c r="R97" s="75"/>
      <c r="S97" s="75"/>
      <c r="T97" s="75"/>
      <c r="U97" s="75"/>
      <c r="V97" s="75"/>
      <c r="W97" s="75"/>
      <c r="X97" s="75"/>
      <c r="Y97" s="75"/>
      <c r="Z97" s="75"/>
      <c r="AA97" s="75"/>
      <c r="AB97" s="75"/>
      <c r="AC97" s="59"/>
      <c r="AE97" s="65" t="str">
        <f t="shared" si="23"/>
        <v/>
      </c>
      <c r="AF97" s="75"/>
      <c r="AG97" s="75"/>
      <c r="AH97" s="75"/>
      <c r="AI97" s="75"/>
      <c r="AJ97" s="75"/>
      <c r="AK97" s="75"/>
      <c r="AL97" s="75"/>
      <c r="AM97" s="75"/>
      <c r="AN97" s="75"/>
      <c r="AO97" s="75"/>
      <c r="AP97" s="75"/>
      <c r="AQ97" s="75"/>
      <c r="AR97" s="59"/>
      <c r="AT97" s="65" t="str">
        <f t="shared" si="25"/>
        <v/>
      </c>
      <c r="AU97" s="66"/>
      <c r="AV97" s="66">
        <f t="shared" si="27"/>
        <v>0</v>
      </c>
      <c r="AW97" s="66"/>
    </row>
    <row r="98" spans="1:49" s="38" customFormat="1" ht="15" hidden="1" customHeight="1" x14ac:dyDescent="0.2">
      <c r="A98" s="82" t="str">
        <f t="shared" si="26"/>
        <v/>
      </c>
      <c r="B98" s="75"/>
      <c r="C98" s="75"/>
      <c r="D98" s="75"/>
      <c r="E98" s="75"/>
      <c r="F98" s="75"/>
      <c r="G98" s="75"/>
      <c r="H98" s="75"/>
      <c r="I98" s="75"/>
      <c r="J98" s="75"/>
      <c r="K98" s="75"/>
      <c r="L98" s="75"/>
      <c r="M98" s="75"/>
      <c r="N98" s="59"/>
      <c r="P98" s="65" t="str">
        <f t="shared" si="21"/>
        <v/>
      </c>
      <c r="Q98" s="75"/>
      <c r="R98" s="75"/>
      <c r="S98" s="75"/>
      <c r="T98" s="75"/>
      <c r="U98" s="75"/>
      <c r="V98" s="75"/>
      <c r="W98" s="75"/>
      <c r="X98" s="75"/>
      <c r="Y98" s="75"/>
      <c r="Z98" s="75"/>
      <c r="AA98" s="75"/>
      <c r="AB98" s="75"/>
      <c r="AC98" s="59"/>
      <c r="AE98" s="65" t="str">
        <f t="shared" si="23"/>
        <v/>
      </c>
      <c r="AF98" s="75"/>
      <c r="AG98" s="75"/>
      <c r="AH98" s="75"/>
      <c r="AI98" s="75"/>
      <c r="AJ98" s="75"/>
      <c r="AK98" s="75"/>
      <c r="AL98" s="75"/>
      <c r="AM98" s="75"/>
      <c r="AN98" s="75"/>
      <c r="AO98" s="75"/>
      <c r="AP98" s="75"/>
      <c r="AQ98" s="75"/>
      <c r="AR98" s="59"/>
      <c r="AT98" s="65" t="str">
        <f t="shared" si="25"/>
        <v/>
      </c>
      <c r="AU98" s="66"/>
      <c r="AV98" s="66">
        <f t="shared" si="27"/>
        <v>0</v>
      </c>
      <c r="AW98" s="66"/>
    </row>
    <row r="99" spans="1:49" s="38" customFormat="1" ht="15" hidden="1" customHeight="1" x14ac:dyDescent="0.2">
      <c r="A99" s="82" t="str">
        <f t="shared" si="26"/>
        <v/>
      </c>
      <c r="B99" s="75"/>
      <c r="C99" s="75"/>
      <c r="D99" s="75"/>
      <c r="E99" s="75"/>
      <c r="F99" s="75"/>
      <c r="G99" s="75"/>
      <c r="H99" s="75"/>
      <c r="I99" s="75"/>
      <c r="J99" s="75"/>
      <c r="K99" s="75"/>
      <c r="L99" s="75"/>
      <c r="M99" s="75"/>
      <c r="N99" s="59"/>
      <c r="P99" s="65" t="str">
        <f t="shared" si="21"/>
        <v/>
      </c>
      <c r="Q99" s="75"/>
      <c r="R99" s="75"/>
      <c r="S99" s="75"/>
      <c r="T99" s="75"/>
      <c r="U99" s="75"/>
      <c r="V99" s="75"/>
      <c r="W99" s="75"/>
      <c r="X99" s="75"/>
      <c r="Y99" s="75"/>
      <c r="Z99" s="75"/>
      <c r="AA99" s="75"/>
      <c r="AB99" s="75"/>
      <c r="AC99" s="59"/>
      <c r="AE99" s="65" t="str">
        <f t="shared" si="23"/>
        <v/>
      </c>
      <c r="AF99" s="75"/>
      <c r="AG99" s="75"/>
      <c r="AH99" s="75"/>
      <c r="AI99" s="75"/>
      <c r="AJ99" s="75"/>
      <c r="AK99" s="75"/>
      <c r="AL99" s="75"/>
      <c r="AM99" s="75"/>
      <c r="AN99" s="75"/>
      <c r="AO99" s="75"/>
      <c r="AP99" s="75"/>
      <c r="AQ99" s="75"/>
      <c r="AR99" s="59"/>
      <c r="AT99" s="65" t="str">
        <f t="shared" si="25"/>
        <v/>
      </c>
      <c r="AU99" s="66"/>
      <c r="AV99" s="66">
        <f t="shared" si="27"/>
        <v>0</v>
      </c>
      <c r="AW99" s="66"/>
    </row>
    <row r="100" spans="1:49" s="38" customFormat="1" ht="15" hidden="1" customHeight="1" x14ac:dyDescent="0.2">
      <c r="A100" s="82" t="str">
        <f t="shared" si="26"/>
        <v/>
      </c>
      <c r="B100" s="75"/>
      <c r="C100" s="75"/>
      <c r="D100" s="75"/>
      <c r="E100" s="75"/>
      <c r="F100" s="75"/>
      <c r="G100" s="75"/>
      <c r="H100" s="75"/>
      <c r="I100" s="75"/>
      <c r="J100" s="75"/>
      <c r="K100" s="75"/>
      <c r="L100" s="75"/>
      <c r="M100" s="75"/>
      <c r="N100" s="59"/>
      <c r="P100" s="65" t="str">
        <f t="shared" si="21"/>
        <v/>
      </c>
      <c r="Q100" s="75"/>
      <c r="R100" s="75"/>
      <c r="S100" s="75"/>
      <c r="T100" s="75"/>
      <c r="U100" s="75"/>
      <c r="V100" s="75"/>
      <c r="W100" s="75"/>
      <c r="X100" s="75"/>
      <c r="Y100" s="75"/>
      <c r="Z100" s="75"/>
      <c r="AA100" s="75"/>
      <c r="AB100" s="75"/>
      <c r="AC100" s="59"/>
      <c r="AE100" s="65" t="str">
        <f t="shared" si="23"/>
        <v/>
      </c>
      <c r="AF100" s="75"/>
      <c r="AG100" s="75"/>
      <c r="AH100" s="75"/>
      <c r="AI100" s="75"/>
      <c r="AJ100" s="75"/>
      <c r="AK100" s="75"/>
      <c r="AL100" s="75"/>
      <c r="AM100" s="75"/>
      <c r="AN100" s="75"/>
      <c r="AO100" s="75"/>
      <c r="AP100" s="75"/>
      <c r="AQ100" s="75"/>
      <c r="AR100" s="59"/>
      <c r="AT100" s="65" t="str">
        <f t="shared" si="25"/>
        <v/>
      </c>
      <c r="AU100" s="66"/>
      <c r="AV100" s="66">
        <f t="shared" si="27"/>
        <v>0</v>
      </c>
      <c r="AW100" s="66"/>
    </row>
    <row r="101" spans="1:49" s="38" customFormat="1" ht="15" hidden="1" customHeight="1" x14ac:dyDescent="0.2">
      <c r="A101" s="82" t="str">
        <f t="shared" si="26"/>
        <v/>
      </c>
      <c r="B101" s="75"/>
      <c r="C101" s="75"/>
      <c r="D101" s="75"/>
      <c r="E101" s="75"/>
      <c r="F101" s="75"/>
      <c r="G101" s="75"/>
      <c r="H101" s="75"/>
      <c r="I101" s="75"/>
      <c r="J101" s="75"/>
      <c r="K101" s="75"/>
      <c r="L101" s="75"/>
      <c r="M101" s="75"/>
      <c r="N101" s="59"/>
      <c r="P101" s="65" t="str">
        <f t="shared" si="21"/>
        <v/>
      </c>
      <c r="Q101" s="75"/>
      <c r="R101" s="75"/>
      <c r="S101" s="75"/>
      <c r="T101" s="75"/>
      <c r="U101" s="75"/>
      <c r="V101" s="75"/>
      <c r="W101" s="75"/>
      <c r="X101" s="75"/>
      <c r="Y101" s="75"/>
      <c r="Z101" s="75"/>
      <c r="AA101" s="75"/>
      <c r="AB101" s="75"/>
      <c r="AC101" s="59"/>
      <c r="AE101" s="65" t="str">
        <f t="shared" si="23"/>
        <v/>
      </c>
      <c r="AF101" s="75"/>
      <c r="AG101" s="75"/>
      <c r="AH101" s="75"/>
      <c r="AI101" s="75"/>
      <c r="AJ101" s="75"/>
      <c r="AK101" s="75"/>
      <c r="AL101" s="75"/>
      <c r="AM101" s="75"/>
      <c r="AN101" s="75"/>
      <c r="AO101" s="75"/>
      <c r="AP101" s="75"/>
      <c r="AQ101" s="75"/>
      <c r="AR101" s="59"/>
      <c r="AT101" s="65" t="str">
        <f t="shared" si="25"/>
        <v/>
      </c>
      <c r="AU101" s="66"/>
      <c r="AV101" s="66">
        <f t="shared" si="27"/>
        <v>0</v>
      </c>
      <c r="AW101" s="66"/>
    </row>
    <row r="102" spans="1:49" s="38" customFormat="1" ht="15" hidden="1" customHeight="1" x14ac:dyDescent="0.2">
      <c r="A102" s="82" t="str">
        <f t="shared" si="26"/>
        <v/>
      </c>
      <c r="B102" s="75"/>
      <c r="C102" s="75"/>
      <c r="D102" s="75"/>
      <c r="E102" s="75"/>
      <c r="F102" s="75"/>
      <c r="G102" s="75"/>
      <c r="H102" s="75"/>
      <c r="I102" s="75"/>
      <c r="J102" s="75"/>
      <c r="K102" s="75"/>
      <c r="L102" s="75"/>
      <c r="M102" s="75"/>
      <c r="N102" s="59"/>
      <c r="P102" s="65" t="str">
        <f t="shared" si="21"/>
        <v/>
      </c>
      <c r="Q102" s="75"/>
      <c r="R102" s="75"/>
      <c r="S102" s="75"/>
      <c r="T102" s="75"/>
      <c r="U102" s="75"/>
      <c r="V102" s="75"/>
      <c r="W102" s="75"/>
      <c r="X102" s="75"/>
      <c r="Y102" s="75"/>
      <c r="Z102" s="75"/>
      <c r="AA102" s="75"/>
      <c r="AB102" s="75"/>
      <c r="AC102" s="59"/>
      <c r="AE102" s="65" t="str">
        <f t="shared" si="23"/>
        <v/>
      </c>
      <c r="AF102" s="75"/>
      <c r="AG102" s="75"/>
      <c r="AH102" s="75"/>
      <c r="AI102" s="75"/>
      <c r="AJ102" s="75"/>
      <c r="AK102" s="75"/>
      <c r="AL102" s="75"/>
      <c r="AM102" s="75"/>
      <c r="AN102" s="75"/>
      <c r="AO102" s="75"/>
      <c r="AP102" s="75"/>
      <c r="AQ102" s="75"/>
      <c r="AR102" s="59"/>
      <c r="AT102" s="65" t="str">
        <f t="shared" si="25"/>
        <v/>
      </c>
      <c r="AU102" s="66"/>
      <c r="AV102" s="66">
        <f t="shared" si="27"/>
        <v>0</v>
      </c>
      <c r="AW102" s="66"/>
    </row>
    <row r="103" spans="1:49" s="38" customFormat="1" ht="15" hidden="1" customHeight="1" x14ac:dyDescent="0.2">
      <c r="A103" s="82" t="str">
        <f t="shared" si="26"/>
        <v/>
      </c>
      <c r="B103" s="75"/>
      <c r="C103" s="75"/>
      <c r="D103" s="75"/>
      <c r="E103" s="75"/>
      <c r="F103" s="75"/>
      <c r="G103" s="75"/>
      <c r="H103" s="75"/>
      <c r="I103" s="75"/>
      <c r="J103" s="75"/>
      <c r="K103" s="75"/>
      <c r="L103" s="75"/>
      <c r="M103" s="75"/>
      <c r="N103" s="59"/>
      <c r="P103" s="65" t="str">
        <f t="shared" si="21"/>
        <v/>
      </c>
      <c r="Q103" s="75"/>
      <c r="R103" s="75"/>
      <c r="S103" s="75"/>
      <c r="T103" s="75"/>
      <c r="U103" s="75"/>
      <c r="V103" s="75"/>
      <c r="W103" s="75"/>
      <c r="X103" s="75"/>
      <c r="Y103" s="75"/>
      <c r="Z103" s="75"/>
      <c r="AA103" s="75"/>
      <c r="AB103" s="75"/>
      <c r="AC103" s="59"/>
      <c r="AE103" s="65" t="str">
        <f t="shared" si="23"/>
        <v/>
      </c>
      <c r="AF103" s="54"/>
      <c r="AG103" s="54"/>
      <c r="AH103" s="54"/>
      <c r="AI103" s="54"/>
      <c r="AJ103" s="54"/>
      <c r="AK103" s="54"/>
      <c r="AL103" s="54"/>
      <c r="AM103" s="54"/>
      <c r="AN103" s="54"/>
      <c r="AO103" s="54"/>
      <c r="AP103" s="54"/>
      <c r="AQ103" s="54"/>
      <c r="AR103" s="55"/>
      <c r="AS103" s="40"/>
      <c r="AT103" s="65" t="str">
        <f t="shared" si="25"/>
        <v/>
      </c>
      <c r="AU103" s="69"/>
      <c r="AV103" s="69">
        <f t="shared" si="27"/>
        <v>0</v>
      </c>
      <c r="AW103" s="69"/>
    </row>
    <row r="104" spans="1:49" s="38" customFormat="1" ht="15" hidden="1" customHeight="1" x14ac:dyDescent="0.2">
      <c r="A104" s="82" t="str">
        <f t="shared" si="26"/>
        <v/>
      </c>
      <c r="B104" s="75"/>
      <c r="C104" s="75"/>
      <c r="D104" s="75"/>
      <c r="E104" s="75"/>
      <c r="F104" s="75"/>
      <c r="G104" s="75"/>
      <c r="H104" s="75"/>
      <c r="I104" s="75"/>
      <c r="J104" s="75"/>
      <c r="K104" s="75"/>
      <c r="L104" s="75"/>
      <c r="M104" s="75"/>
      <c r="N104" s="59"/>
      <c r="P104" s="65" t="str">
        <f t="shared" si="21"/>
        <v/>
      </c>
      <c r="Q104" s="75"/>
      <c r="R104" s="75"/>
      <c r="S104" s="75"/>
      <c r="T104" s="75"/>
      <c r="U104" s="75"/>
      <c r="V104" s="75"/>
      <c r="W104" s="75"/>
      <c r="X104" s="75"/>
      <c r="Y104" s="75"/>
      <c r="Z104" s="75"/>
      <c r="AA104" s="75"/>
      <c r="AB104" s="75"/>
      <c r="AC104" s="59"/>
      <c r="AE104" s="65" t="str">
        <f t="shared" si="23"/>
        <v/>
      </c>
      <c r="AF104" s="54"/>
      <c r="AG104" s="54"/>
      <c r="AH104" s="54"/>
      <c r="AI104" s="54"/>
      <c r="AJ104" s="54"/>
      <c r="AK104" s="54"/>
      <c r="AL104" s="54"/>
      <c r="AM104" s="54"/>
      <c r="AN104" s="54"/>
      <c r="AO104" s="54"/>
      <c r="AP104" s="54"/>
      <c r="AQ104" s="54"/>
      <c r="AR104" s="55"/>
      <c r="AS104" s="40"/>
      <c r="AT104" s="65" t="str">
        <f t="shared" si="25"/>
        <v/>
      </c>
      <c r="AU104" s="69"/>
      <c r="AV104" s="69">
        <f t="shared" si="27"/>
        <v>0</v>
      </c>
      <c r="AW104" s="69"/>
    </row>
    <row r="105" spans="1:49" s="38" customFormat="1" ht="15" hidden="1" customHeight="1" x14ac:dyDescent="0.2">
      <c r="A105" s="82" t="str">
        <f t="shared" si="26"/>
        <v/>
      </c>
      <c r="B105" s="75"/>
      <c r="C105" s="75"/>
      <c r="D105" s="75"/>
      <c r="E105" s="75"/>
      <c r="F105" s="75"/>
      <c r="G105" s="75"/>
      <c r="H105" s="75"/>
      <c r="I105" s="75"/>
      <c r="J105" s="75"/>
      <c r="K105" s="75"/>
      <c r="L105" s="75"/>
      <c r="M105" s="75"/>
      <c r="N105" s="59"/>
      <c r="P105" s="65" t="str">
        <f t="shared" si="21"/>
        <v/>
      </c>
      <c r="Q105" s="75"/>
      <c r="R105" s="75"/>
      <c r="S105" s="75"/>
      <c r="T105" s="75"/>
      <c r="U105" s="75"/>
      <c r="V105" s="75"/>
      <c r="W105" s="75"/>
      <c r="X105" s="75"/>
      <c r="Y105" s="75"/>
      <c r="Z105" s="75"/>
      <c r="AA105" s="75"/>
      <c r="AB105" s="75"/>
      <c r="AC105" s="59"/>
      <c r="AE105" s="65" t="str">
        <f t="shared" si="23"/>
        <v/>
      </c>
      <c r="AF105" s="54"/>
      <c r="AG105" s="54"/>
      <c r="AH105" s="54"/>
      <c r="AI105" s="54"/>
      <c r="AJ105" s="54"/>
      <c r="AK105" s="54"/>
      <c r="AL105" s="54"/>
      <c r="AM105" s="54"/>
      <c r="AN105" s="54"/>
      <c r="AO105" s="54"/>
      <c r="AP105" s="54"/>
      <c r="AQ105" s="54"/>
      <c r="AR105" s="55"/>
      <c r="AS105" s="40"/>
      <c r="AT105" s="65" t="str">
        <f t="shared" si="25"/>
        <v/>
      </c>
      <c r="AU105" s="69"/>
      <c r="AV105" s="69">
        <f t="shared" si="27"/>
        <v>0</v>
      </c>
      <c r="AW105" s="69"/>
    </row>
    <row r="106" spans="1:49" s="38" customFormat="1" ht="15" hidden="1" customHeight="1" x14ac:dyDescent="0.2">
      <c r="A106" s="82" t="str">
        <f t="shared" si="26"/>
        <v/>
      </c>
      <c r="B106" s="75"/>
      <c r="C106" s="75"/>
      <c r="D106" s="75"/>
      <c r="E106" s="75"/>
      <c r="F106" s="75"/>
      <c r="G106" s="75"/>
      <c r="H106" s="75"/>
      <c r="I106" s="75"/>
      <c r="J106" s="75"/>
      <c r="K106" s="75"/>
      <c r="L106" s="75"/>
      <c r="M106" s="75"/>
      <c r="N106" s="59"/>
      <c r="P106" s="65" t="str">
        <f t="shared" si="21"/>
        <v/>
      </c>
      <c r="Q106" s="75"/>
      <c r="R106" s="75"/>
      <c r="S106" s="75"/>
      <c r="T106" s="75"/>
      <c r="U106" s="75"/>
      <c r="V106" s="75"/>
      <c r="W106" s="75"/>
      <c r="X106" s="75"/>
      <c r="Y106" s="75"/>
      <c r="Z106" s="75"/>
      <c r="AA106" s="75"/>
      <c r="AB106" s="75"/>
      <c r="AC106" s="59"/>
      <c r="AE106" s="65" t="str">
        <f t="shared" si="23"/>
        <v/>
      </c>
      <c r="AF106" s="54"/>
      <c r="AG106" s="54"/>
      <c r="AH106" s="54"/>
      <c r="AI106" s="54"/>
      <c r="AJ106" s="54"/>
      <c r="AK106" s="54"/>
      <c r="AL106" s="54"/>
      <c r="AM106" s="54"/>
      <c r="AN106" s="54"/>
      <c r="AO106" s="54"/>
      <c r="AP106" s="54"/>
      <c r="AQ106" s="54"/>
      <c r="AR106" s="55"/>
      <c r="AS106" s="40"/>
      <c r="AT106" s="65" t="str">
        <f t="shared" si="25"/>
        <v/>
      </c>
      <c r="AU106" s="69"/>
      <c r="AV106" s="69">
        <f t="shared" si="27"/>
        <v>0</v>
      </c>
      <c r="AW106" s="69"/>
    </row>
    <row r="107" spans="1:49" s="38" customFormat="1" ht="15" hidden="1" customHeight="1" x14ac:dyDescent="0.2">
      <c r="A107" s="82" t="str">
        <f t="shared" si="26"/>
        <v/>
      </c>
      <c r="B107" s="75"/>
      <c r="C107" s="75"/>
      <c r="D107" s="75"/>
      <c r="E107" s="75"/>
      <c r="F107" s="75"/>
      <c r="G107" s="75"/>
      <c r="H107" s="75"/>
      <c r="I107" s="75"/>
      <c r="J107" s="75"/>
      <c r="K107" s="75"/>
      <c r="L107" s="75"/>
      <c r="M107" s="75"/>
      <c r="N107" s="59"/>
      <c r="P107" s="65" t="str">
        <f t="shared" si="21"/>
        <v/>
      </c>
      <c r="Q107" s="75"/>
      <c r="R107" s="75"/>
      <c r="S107" s="75"/>
      <c r="T107" s="75"/>
      <c r="U107" s="75"/>
      <c r="V107" s="75"/>
      <c r="W107" s="75"/>
      <c r="X107" s="75"/>
      <c r="Y107" s="75"/>
      <c r="Z107" s="75"/>
      <c r="AA107" s="75"/>
      <c r="AB107" s="75"/>
      <c r="AC107" s="59"/>
      <c r="AE107" s="65" t="str">
        <f t="shared" si="23"/>
        <v/>
      </c>
      <c r="AF107" s="54"/>
      <c r="AG107" s="54"/>
      <c r="AH107" s="54"/>
      <c r="AI107" s="54"/>
      <c r="AJ107" s="54"/>
      <c r="AK107" s="54"/>
      <c r="AL107" s="54"/>
      <c r="AM107" s="54"/>
      <c r="AN107" s="54"/>
      <c r="AO107" s="54"/>
      <c r="AP107" s="54"/>
      <c r="AQ107" s="54"/>
      <c r="AR107" s="55"/>
      <c r="AS107" s="40"/>
      <c r="AT107" s="65" t="str">
        <f t="shared" si="25"/>
        <v/>
      </c>
      <c r="AU107" s="69"/>
      <c r="AV107" s="69">
        <f t="shared" si="27"/>
        <v>0</v>
      </c>
      <c r="AW107" s="69"/>
    </row>
    <row r="108" spans="1:49" s="38" customFormat="1" ht="15" hidden="1" customHeight="1" x14ac:dyDescent="0.2">
      <c r="A108" s="82" t="str">
        <f t="shared" si="26"/>
        <v/>
      </c>
      <c r="B108" s="75"/>
      <c r="C108" s="75"/>
      <c r="D108" s="75"/>
      <c r="E108" s="75"/>
      <c r="F108" s="75"/>
      <c r="G108" s="75"/>
      <c r="H108" s="75"/>
      <c r="I108" s="75"/>
      <c r="J108" s="75"/>
      <c r="K108" s="75"/>
      <c r="L108" s="75"/>
      <c r="M108" s="75"/>
      <c r="N108" s="59"/>
      <c r="P108" s="65" t="str">
        <f t="shared" si="21"/>
        <v/>
      </c>
      <c r="Q108" s="75"/>
      <c r="R108" s="75"/>
      <c r="S108" s="75"/>
      <c r="T108" s="75"/>
      <c r="U108" s="75"/>
      <c r="V108" s="75"/>
      <c r="W108" s="75"/>
      <c r="X108" s="75"/>
      <c r="Y108" s="75"/>
      <c r="Z108" s="75"/>
      <c r="AA108" s="75"/>
      <c r="AB108" s="75"/>
      <c r="AC108" s="59"/>
      <c r="AE108" s="65" t="str">
        <f t="shared" si="23"/>
        <v/>
      </c>
      <c r="AF108" s="54"/>
      <c r="AG108" s="54"/>
      <c r="AH108" s="54"/>
      <c r="AI108" s="54"/>
      <c r="AJ108" s="54"/>
      <c r="AK108" s="54"/>
      <c r="AL108" s="54"/>
      <c r="AM108" s="54"/>
      <c r="AN108" s="54"/>
      <c r="AO108" s="54"/>
      <c r="AP108" s="54"/>
      <c r="AQ108" s="54"/>
      <c r="AR108" s="55"/>
      <c r="AS108" s="40"/>
      <c r="AT108" s="65" t="str">
        <f t="shared" si="25"/>
        <v/>
      </c>
      <c r="AU108" s="69"/>
      <c r="AV108" s="69">
        <f t="shared" si="27"/>
        <v>0</v>
      </c>
      <c r="AW108" s="69"/>
    </row>
    <row r="109" spans="1:49" s="38" customFormat="1" ht="15" hidden="1" customHeight="1" x14ac:dyDescent="0.2">
      <c r="A109" s="82" t="str">
        <f t="shared" si="26"/>
        <v/>
      </c>
      <c r="B109" s="75"/>
      <c r="C109" s="75"/>
      <c r="D109" s="75"/>
      <c r="E109" s="75"/>
      <c r="F109" s="75"/>
      <c r="G109" s="75"/>
      <c r="H109" s="75"/>
      <c r="I109" s="75"/>
      <c r="J109" s="75"/>
      <c r="K109" s="75"/>
      <c r="L109" s="75"/>
      <c r="M109" s="75"/>
      <c r="N109" s="59"/>
      <c r="P109" s="65" t="str">
        <f t="shared" si="21"/>
        <v/>
      </c>
      <c r="Q109" s="75"/>
      <c r="R109" s="75"/>
      <c r="S109" s="75"/>
      <c r="T109" s="75"/>
      <c r="U109" s="75"/>
      <c r="V109" s="75"/>
      <c r="W109" s="75"/>
      <c r="X109" s="75"/>
      <c r="Y109" s="75"/>
      <c r="Z109" s="75"/>
      <c r="AA109" s="75"/>
      <c r="AB109" s="75"/>
      <c r="AC109" s="59"/>
      <c r="AE109" s="65" t="str">
        <f t="shared" si="23"/>
        <v/>
      </c>
      <c r="AF109" s="54"/>
      <c r="AG109" s="54"/>
      <c r="AH109" s="54"/>
      <c r="AI109" s="54"/>
      <c r="AJ109" s="54"/>
      <c r="AK109" s="54"/>
      <c r="AL109" s="54"/>
      <c r="AM109" s="54"/>
      <c r="AN109" s="54"/>
      <c r="AO109" s="54"/>
      <c r="AP109" s="54"/>
      <c r="AQ109" s="54"/>
      <c r="AR109" s="55"/>
      <c r="AS109" s="40"/>
      <c r="AT109" s="65" t="str">
        <f t="shared" si="25"/>
        <v/>
      </c>
      <c r="AU109" s="69"/>
      <c r="AV109" s="69">
        <f t="shared" si="27"/>
        <v>0</v>
      </c>
      <c r="AW109" s="69"/>
    </row>
    <row r="110" spans="1:49" s="38" customFormat="1" ht="15" hidden="1" customHeight="1" x14ac:dyDescent="0.2">
      <c r="A110" s="82" t="str">
        <f t="shared" si="26"/>
        <v/>
      </c>
      <c r="B110" s="75"/>
      <c r="C110" s="75"/>
      <c r="D110" s="75"/>
      <c r="E110" s="75"/>
      <c r="F110" s="75"/>
      <c r="G110" s="75"/>
      <c r="H110" s="75"/>
      <c r="I110" s="75"/>
      <c r="J110" s="75"/>
      <c r="K110" s="75"/>
      <c r="L110" s="75"/>
      <c r="M110" s="75"/>
      <c r="N110" s="59"/>
      <c r="P110" s="65" t="str">
        <f t="shared" si="21"/>
        <v/>
      </c>
      <c r="Q110" s="75"/>
      <c r="R110" s="75"/>
      <c r="S110" s="75"/>
      <c r="T110" s="75"/>
      <c r="U110" s="75"/>
      <c r="V110" s="75"/>
      <c r="W110" s="75"/>
      <c r="X110" s="75"/>
      <c r="Y110" s="75"/>
      <c r="Z110" s="75"/>
      <c r="AA110" s="75"/>
      <c r="AB110" s="75"/>
      <c r="AC110" s="59"/>
      <c r="AE110" s="65" t="str">
        <f t="shared" si="23"/>
        <v/>
      </c>
      <c r="AF110" s="54"/>
      <c r="AG110" s="54"/>
      <c r="AH110" s="54"/>
      <c r="AI110" s="54"/>
      <c r="AJ110" s="54"/>
      <c r="AK110" s="54"/>
      <c r="AL110" s="54"/>
      <c r="AM110" s="54"/>
      <c r="AN110" s="54"/>
      <c r="AO110" s="54"/>
      <c r="AP110" s="54"/>
      <c r="AQ110" s="54"/>
      <c r="AR110" s="55"/>
      <c r="AS110" s="40"/>
      <c r="AT110" s="65" t="str">
        <f t="shared" si="25"/>
        <v/>
      </c>
      <c r="AU110" s="69"/>
      <c r="AV110" s="69">
        <f t="shared" si="27"/>
        <v>0</v>
      </c>
      <c r="AW110" s="69"/>
    </row>
    <row r="111" spans="1:49" s="38" customFormat="1" ht="15" hidden="1" customHeight="1" x14ac:dyDescent="0.2">
      <c r="A111" s="82" t="str">
        <f t="shared" si="26"/>
        <v/>
      </c>
      <c r="B111" s="75"/>
      <c r="C111" s="75"/>
      <c r="D111" s="75"/>
      <c r="E111" s="75"/>
      <c r="F111" s="75"/>
      <c r="G111" s="75"/>
      <c r="H111" s="75"/>
      <c r="I111" s="75"/>
      <c r="J111" s="75"/>
      <c r="K111" s="75"/>
      <c r="L111" s="75"/>
      <c r="M111" s="75"/>
      <c r="N111" s="59"/>
      <c r="P111" s="65" t="str">
        <f t="shared" si="21"/>
        <v/>
      </c>
      <c r="Q111" s="75"/>
      <c r="R111" s="75"/>
      <c r="S111" s="75"/>
      <c r="T111" s="75"/>
      <c r="U111" s="75"/>
      <c r="V111" s="75"/>
      <c r="W111" s="75"/>
      <c r="X111" s="75"/>
      <c r="Y111" s="75"/>
      <c r="Z111" s="75"/>
      <c r="AA111" s="75"/>
      <c r="AB111" s="75"/>
      <c r="AC111" s="59"/>
      <c r="AE111" s="65" t="str">
        <f t="shared" si="23"/>
        <v/>
      </c>
      <c r="AF111" s="54"/>
      <c r="AG111" s="54"/>
      <c r="AH111" s="54"/>
      <c r="AI111" s="54"/>
      <c r="AJ111" s="54"/>
      <c r="AK111" s="54"/>
      <c r="AL111" s="54"/>
      <c r="AM111" s="54"/>
      <c r="AN111" s="54"/>
      <c r="AO111" s="54"/>
      <c r="AP111" s="54"/>
      <c r="AQ111" s="54"/>
      <c r="AR111" s="55"/>
      <c r="AS111" s="40"/>
      <c r="AT111" s="65" t="str">
        <f t="shared" si="25"/>
        <v/>
      </c>
      <c r="AU111" s="69"/>
      <c r="AV111" s="69">
        <f t="shared" si="27"/>
        <v>0</v>
      </c>
      <c r="AW111" s="69"/>
    </row>
    <row r="112" spans="1:49" s="38" customFormat="1" ht="15" hidden="1" customHeight="1" x14ac:dyDescent="0.2">
      <c r="A112" s="65"/>
      <c r="B112" s="75"/>
      <c r="C112" s="75"/>
      <c r="D112" s="75"/>
      <c r="E112" s="75"/>
      <c r="F112" s="75"/>
      <c r="G112" s="75"/>
      <c r="H112" s="75"/>
      <c r="I112" s="75"/>
      <c r="J112" s="75"/>
      <c r="K112" s="75"/>
      <c r="L112" s="75"/>
      <c r="M112" s="75"/>
      <c r="N112" s="59"/>
      <c r="P112" s="65" t="str">
        <f t="shared" si="21"/>
        <v/>
      </c>
      <c r="Q112" s="75"/>
      <c r="R112" s="75"/>
      <c r="S112" s="75"/>
      <c r="T112" s="75"/>
      <c r="U112" s="75"/>
      <c r="V112" s="75"/>
      <c r="W112" s="75"/>
      <c r="X112" s="75"/>
      <c r="Y112" s="75"/>
      <c r="Z112" s="75"/>
      <c r="AA112" s="75"/>
      <c r="AB112" s="75"/>
      <c r="AC112" s="59"/>
      <c r="AE112" s="65" t="str">
        <f t="shared" si="23"/>
        <v/>
      </c>
      <c r="AF112" s="54"/>
      <c r="AG112" s="54"/>
      <c r="AH112" s="54"/>
      <c r="AI112" s="54"/>
      <c r="AJ112" s="54"/>
      <c r="AK112" s="54"/>
      <c r="AL112" s="54"/>
      <c r="AM112" s="54"/>
      <c r="AN112" s="54"/>
      <c r="AO112" s="54"/>
      <c r="AP112" s="54"/>
      <c r="AQ112" s="54"/>
      <c r="AR112" s="55"/>
      <c r="AS112" s="40"/>
      <c r="AT112" s="65" t="str">
        <f t="shared" si="25"/>
        <v/>
      </c>
      <c r="AU112" s="69"/>
      <c r="AV112" s="69">
        <f t="shared" si="27"/>
        <v>0</v>
      </c>
      <c r="AW112" s="69"/>
    </row>
    <row r="113" spans="1:49" s="38" customFormat="1" ht="15" customHeight="1" x14ac:dyDescent="0.2">
      <c r="A113" s="62" t="s">
        <v>30</v>
      </c>
      <c r="B113" s="63">
        <f t="shared" ref="B113:M113" si="28">SUM(B88:B90)</f>
        <v>39978.5</v>
      </c>
      <c r="C113" s="63">
        <f t="shared" si="28"/>
        <v>35482.75</v>
      </c>
      <c r="D113" s="63">
        <f t="shared" si="28"/>
        <v>38482</v>
      </c>
      <c r="E113" s="63">
        <f t="shared" si="28"/>
        <v>45228.75</v>
      </c>
      <c r="F113" s="63">
        <f t="shared" si="28"/>
        <v>47228.5</v>
      </c>
      <c r="G113" s="63">
        <f t="shared" si="28"/>
        <v>52975.75</v>
      </c>
      <c r="H113" s="63">
        <f t="shared" si="28"/>
        <v>52975.75</v>
      </c>
      <c r="I113" s="63">
        <f t="shared" si="28"/>
        <v>54723.5</v>
      </c>
      <c r="J113" s="63">
        <f t="shared" si="28"/>
        <v>58970.75</v>
      </c>
      <c r="K113" s="63">
        <f t="shared" si="28"/>
        <v>64466</v>
      </c>
      <c r="L113" s="63">
        <f t="shared" si="28"/>
        <v>72960.5</v>
      </c>
      <c r="M113" s="63">
        <f t="shared" si="28"/>
        <v>72960.5</v>
      </c>
      <c r="N113" s="63">
        <f>SUM(N87:N90)</f>
        <v>636433.25</v>
      </c>
      <c r="P113" s="63" t="s">
        <v>30</v>
      </c>
      <c r="Q113" s="63">
        <f t="shared" ref="Q113:AB113" si="29">SUM(Q88:Q90)</f>
        <v>58970.75</v>
      </c>
      <c r="R113" s="63">
        <f t="shared" si="29"/>
        <v>48226.5</v>
      </c>
      <c r="S113" s="63">
        <f t="shared" si="29"/>
        <v>50476.25</v>
      </c>
      <c r="T113" s="63">
        <f t="shared" si="29"/>
        <v>56473.5</v>
      </c>
      <c r="U113" s="63">
        <f t="shared" si="29"/>
        <v>59722.75</v>
      </c>
      <c r="V113" s="63">
        <f t="shared" si="29"/>
        <v>66719.5</v>
      </c>
      <c r="W113" s="63">
        <f t="shared" si="29"/>
        <v>69469</v>
      </c>
      <c r="X113" s="63">
        <f t="shared" si="29"/>
        <v>68217.25</v>
      </c>
      <c r="Y113" s="63">
        <f t="shared" si="29"/>
        <v>72464.5</v>
      </c>
      <c r="Z113" s="63">
        <f t="shared" si="29"/>
        <v>77709.75</v>
      </c>
      <c r="AA113" s="63">
        <f t="shared" si="29"/>
        <v>85704.5</v>
      </c>
      <c r="AB113" s="63">
        <f t="shared" si="29"/>
        <v>84829.5</v>
      </c>
      <c r="AC113" s="63">
        <f>SUM(AC87:AC90)</f>
        <v>798983.75</v>
      </c>
      <c r="AE113" s="63" t="s">
        <v>30</v>
      </c>
      <c r="AF113" s="63">
        <f t="shared" ref="AF113:AQ113" si="30">SUM(AF88:AF90)</f>
        <v>79459.25</v>
      </c>
      <c r="AG113" s="63">
        <f t="shared" si="30"/>
        <v>64969.5</v>
      </c>
      <c r="AH113" s="63">
        <f t="shared" si="30"/>
        <v>66969.5</v>
      </c>
      <c r="AI113" s="63">
        <f t="shared" si="30"/>
        <v>73716.5</v>
      </c>
      <c r="AJ113" s="63">
        <f t="shared" si="30"/>
        <v>77215.75</v>
      </c>
      <c r="AK113" s="63">
        <f t="shared" si="30"/>
        <v>84462.5</v>
      </c>
      <c r="AL113" s="63">
        <f t="shared" si="30"/>
        <v>87462</v>
      </c>
      <c r="AM113" s="63">
        <f t="shared" si="30"/>
        <v>85710.25</v>
      </c>
      <c r="AN113" s="63">
        <f t="shared" si="30"/>
        <v>89957.5</v>
      </c>
      <c r="AO113" s="63">
        <f t="shared" si="30"/>
        <v>95452.5</v>
      </c>
      <c r="AP113" s="63">
        <f t="shared" si="30"/>
        <v>103947</v>
      </c>
      <c r="AQ113" s="63">
        <f t="shared" si="30"/>
        <v>103446.75</v>
      </c>
      <c r="AR113" s="63">
        <f>SUM(AR87:AR90)</f>
        <v>1012769</v>
      </c>
      <c r="AT113" s="63" t="s">
        <v>21</v>
      </c>
      <c r="AU113" s="63">
        <f>AC113-N113</f>
        <v>162550.5</v>
      </c>
      <c r="AV113" s="63">
        <f t="shared" si="27"/>
        <v>213785.25</v>
      </c>
      <c r="AW113" s="63">
        <f>AR113-AC113</f>
        <v>213785.25</v>
      </c>
    </row>
    <row r="114" spans="1:49" s="38" customFormat="1" ht="9.6" customHeight="1" x14ac:dyDescent="0.2">
      <c r="N114" s="40"/>
      <c r="AC114" s="40"/>
      <c r="AR114" s="40"/>
      <c r="AU114" s="40"/>
      <c r="AV114" s="40"/>
      <c r="AW114" s="40"/>
    </row>
    <row r="115" spans="1:49" s="31" customFormat="1" ht="15" customHeight="1" x14ac:dyDescent="0.2">
      <c r="A115" s="41" t="s">
        <v>28</v>
      </c>
      <c r="B115" s="38"/>
      <c r="C115" s="38"/>
      <c r="D115" s="38"/>
      <c r="E115" s="38"/>
      <c r="F115" s="38"/>
      <c r="G115" s="38"/>
      <c r="H115" s="38"/>
      <c r="I115" s="38"/>
      <c r="J115" s="38"/>
      <c r="K115" s="38"/>
      <c r="L115" s="38"/>
      <c r="M115" s="38"/>
      <c r="N115" s="42" t="s">
        <v>29</v>
      </c>
      <c r="P115" s="41" t="s">
        <v>28</v>
      </c>
      <c r="Q115" s="38"/>
      <c r="R115" s="38"/>
      <c r="S115" s="38"/>
      <c r="T115" s="38"/>
      <c r="U115" s="38"/>
      <c r="V115" s="38"/>
      <c r="W115" s="38"/>
      <c r="X115" s="38"/>
      <c r="Y115" s="38"/>
      <c r="Z115" s="38"/>
      <c r="AA115" s="38"/>
      <c r="AB115" s="38"/>
      <c r="AC115" s="42" t="s">
        <v>29</v>
      </c>
      <c r="AE115" s="41" t="s">
        <v>28</v>
      </c>
      <c r="AF115" s="38"/>
      <c r="AG115" s="38"/>
      <c r="AH115" s="38"/>
      <c r="AI115" s="38"/>
      <c r="AJ115" s="38"/>
      <c r="AK115" s="38"/>
      <c r="AL115" s="38"/>
      <c r="AM115" s="38"/>
      <c r="AN115" s="38"/>
      <c r="AO115" s="38"/>
      <c r="AP115" s="38"/>
      <c r="AQ115" s="38"/>
      <c r="AR115" s="42" t="s">
        <v>29</v>
      </c>
      <c r="AT115" s="41" t="s">
        <v>28</v>
      </c>
      <c r="AU115" s="40" t="s">
        <v>22</v>
      </c>
      <c r="AV115" s="40" t="s">
        <v>22</v>
      </c>
      <c r="AW115" s="40" t="s">
        <v>22</v>
      </c>
    </row>
    <row r="116" spans="1:49" s="31" customFormat="1" ht="15" customHeight="1" x14ac:dyDescent="0.2">
      <c r="A116" s="82" t="str">
        <f>IF(A7=0,"",A7)</f>
        <v>Product 1</v>
      </c>
      <c r="B116" s="56">
        <v>4.5</v>
      </c>
      <c r="C116" s="56">
        <v>4.5</v>
      </c>
      <c r="D116" s="56">
        <v>4.5</v>
      </c>
      <c r="E116" s="56">
        <v>4.5</v>
      </c>
      <c r="F116" s="56">
        <v>4.5</v>
      </c>
      <c r="G116" s="56">
        <v>4.5</v>
      </c>
      <c r="H116" s="56">
        <v>4.5</v>
      </c>
      <c r="I116" s="56">
        <v>4.5</v>
      </c>
      <c r="J116" s="56">
        <v>4.5</v>
      </c>
      <c r="K116" s="56">
        <v>4</v>
      </c>
      <c r="L116" s="56">
        <v>4</v>
      </c>
      <c r="M116" s="56">
        <v>4</v>
      </c>
      <c r="N116" s="57">
        <f>AVERAGE(B116:M116)</f>
        <v>4.375</v>
      </c>
      <c r="P116" s="65" t="str">
        <f t="shared" ref="P116:P140" si="31">IF(A7=0,"",A7)</f>
        <v>Product 1</v>
      </c>
      <c r="Q116" s="56">
        <v>4</v>
      </c>
      <c r="R116" s="56">
        <v>4</v>
      </c>
      <c r="S116" s="56">
        <v>4.5</v>
      </c>
      <c r="T116" s="56">
        <v>4.5</v>
      </c>
      <c r="U116" s="56">
        <v>4.5</v>
      </c>
      <c r="V116" s="56">
        <v>4</v>
      </c>
      <c r="W116" s="56">
        <v>4</v>
      </c>
      <c r="X116" s="56">
        <v>4</v>
      </c>
      <c r="Y116" s="56">
        <v>4</v>
      </c>
      <c r="Z116" s="56">
        <v>4</v>
      </c>
      <c r="AA116" s="56">
        <v>3.75</v>
      </c>
      <c r="AB116" s="56">
        <v>3.75</v>
      </c>
      <c r="AC116" s="57">
        <f>AVERAGE(Q116:AB116)</f>
        <v>4.083333333333333</v>
      </c>
      <c r="AE116" s="65" t="str">
        <f t="shared" ref="AE116:AE140" si="32">IF(A7=0,"",A7)</f>
        <v>Product 1</v>
      </c>
      <c r="AF116" s="73">
        <v>3.75</v>
      </c>
      <c r="AG116" s="73">
        <v>3.75</v>
      </c>
      <c r="AH116" s="73">
        <v>4</v>
      </c>
      <c r="AI116" s="73">
        <v>4</v>
      </c>
      <c r="AJ116" s="73">
        <v>4</v>
      </c>
      <c r="AK116" s="73">
        <v>3.75</v>
      </c>
      <c r="AL116" s="73">
        <v>3.75</v>
      </c>
      <c r="AM116" s="73">
        <v>3.75</v>
      </c>
      <c r="AN116" s="73">
        <v>3.75</v>
      </c>
      <c r="AO116" s="73">
        <v>3.5</v>
      </c>
      <c r="AP116" s="73">
        <v>3.5</v>
      </c>
      <c r="AQ116" s="73">
        <v>3.5</v>
      </c>
      <c r="AR116" s="57">
        <f>AVERAGE(AF116:AQ116)</f>
        <v>3.75</v>
      </c>
      <c r="AT116" s="65" t="str">
        <f t="shared" ref="AT116:AT140" si="33">IF(A7=0,"",A7)</f>
        <v>Product 1</v>
      </c>
      <c r="AU116" s="67">
        <f>AC116-N116</f>
        <v>-0.29166666666666696</v>
      </c>
      <c r="AV116" s="67">
        <f>AR116-N116</f>
        <v>-0.625</v>
      </c>
      <c r="AW116" s="67">
        <f>AR116-AC116</f>
        <v>-0.33333333333333304</v>
      </c>
    </row>
    <row r="117" spans="1:49" s="31" customFormat="1" ht="15" customHeight="1" x14ac:dyDescent="0.2">
      <c r="A117" s="82" t="str">
        <f t="shared" ref="A117:A140" si="34">IF(A8=0,"",A8)</f>
        <v>Product 2</v>
      </c>
      <c r="B117" s="56">
        <v>3.1</v>
      </c>
      <c r="C117" s="56">
        <v>3.1</v>
      </c>
      <c r="D117" s="56">
        <v>3.1</v>
      </c>
      <c r="E117" s="56">
        <v>3.1</v>
      </c>
      <c r="F117" s="56">
        <v>3.1</v>
      </c>
      <c r="G117" s="56">
        <v>3.1</v>
      </c>
      <c r="H117" s="56">
        <v>3.1</v>
      </c>
      <c r="I117" s="56">
        <v>3.1</v>
      </c>
      <c r="J117" s="56">
        <v>3.1</v>
      </c>
      <c r="K117" s="56">
        <v>3.1</v>
      </c>
      <c r="L117" s="56">
        <v>3.1</v>
      </c>
      <c r="M117" s="56">
        <v>3.1</v>
      </c>
      <c r="N117" s="57">
        <f>AVERAGE(B117:M117)</f>
        <v>3.100000000000001</v>
      </c>
      <c r="P117" s="65" t="str">
        <f t="shared" si="31"/>
        <v>Product 2</v>
      </c>
      <c r="Q117" s="56">
        <v>3.1</v>
      </c>
      <c r="R117" s="56">
        <v>3.1</v>
      </c>
      <c r="S117" s="56">
        <v>3.1</v>
      </c>
      <c r="T117" s="56">
        <v>3.1</v>
      </c>
      <c r="U117" s="56">
        <v>3.1</v>
      </c>
      <c r="V117" s="56">
        <v>3.1</v>
      </c>
      <c r="W117" s="56">
        <v>3.1</v>
      </c>
      <c r="X117" s="56">
        <v>3.1</v>
      </c>
      <c r="Y117" s="56">
        <v>3.1</v>
      </c>
      <c r="Z117" s="56">
        <v>2.9</v>
      </c>
      <c r="AA117" s="56">
        <v>2.9</v>
      </c>
      <c r="AB117" s="56">
        <v>2.9</v>
      </c>
      <c r="AC117" s="57">
        <f>AVERAGE(Q117:AB117)</f>
        <v>3.0500000000000003</v>
      </c>
      <c r="AE117" s="65" t="str">
        <f t="shared" si="32"/>
        <v>Product 2</v>
      </c>
      <c r="AF117" s="73">
        <v>2.9</v>
      </c>
      <c r="AG117" s="73">
        <v>3.1</v>
      </c>
      <c r="AH117" s="73">
        <v>3.1</v>
      </c>
      <c r="AI117" s="73">
        <v>3.1</v>
      </c>
      <c r="AJ117" s="73">
        <v>3.1</v>
      </c>
      <c r="AK117" s="73">
        <v>3.1</v>
      </c>
      <c r="AL117" s="73">
        <v>3.1</v>
      </c>
      <c r="AM117" s="73">
        <v>3.1</v>
      </c>
      <c r="AN117" s="73">
        <v>2.9</v>
      </c>
      <c r="AO117" s="73">
        <v>2.9</v>
      </c>
      <c r="AP117" s="73">
        <v>2.85</v>
      </c>
      <c r="AQ117" s="73">
        <v>2.85</v>
      </c>
      <c r="AR117" s="57">
        <f>AVERAGE(AF117:AQ117)</f>
        <v>3.0083333333333333</v>
      </c>
      <c r="AT117" s="65" t="str">
        <f t="shared" si="33"/>
        <v>Product 2</v>
      </c>
      <c r="AU117" s="67">
        <f>AC117-N117</f>
        <v>-5.0000000000000711E-2</v>
      </c>
      <c r="AV117" s="67">
        <f t="shared" ref="AV117:AV118" si="35">AR117-N117</f>
        <v>-9.1666666666667673E-2</v>
      </c>
      <c r="AW117" s="67">
        <f>AR117-AC117</f>
        <v>-4.1666666666666963E-2</v>
      </c>
    </row>
    <row r="118" spans="1:49" s="31" customFormat="1" ht="15" customHeight="1" x14ac:dyDescent="0.2">
      <c r="A118" s="82" t="str">
        <f t="shared" si="34"/>
        <v>Product 3</v>
      </c>
      <c r="B118" s="56">
        <v>1.55</v>
      </c>
      <c r="C118" s="56">
        <v>1.55</v>
      </c>
      <c r="D118" s="56">
        <v>1.55</v>
      </c>
      <c r="E118" s="56">
        <v>1.55</v>
      </c>
      <c r="F118" s="56">
        <v>1.55</v>
      </c>
      <c r="G118" s="56">
        <v>1.55</v>
      </c>
      <c r="H118" s="56">
        <v>1.55</v>
      </c>
      <c r="I118" s="56">
        <v>1.55</v>
      </c>
      <c r="J118" s="56">
        <v>1.55</v>
      </c>
      <c r="K118" s="56">
        <v>1.55</v>
      </c>
      <c r="L118" s="56">
        <v>1.55</v>
      </c>
      <c r="M118" s="56">
        <v>1.55</v>
      </c>
      <c r="N118" s="57">
        <f>AVERAGE(B118:M118)</f>
        <v>1.5500000000000005</v>
      </c>
      <c r="P118" s="65" t="str">
        <f t="shared" si="31"/>
        <v>Product 3</v>
      </c>
      <c r="Q118" s="56">
        <v>1.55</v>
      </c>
      <c r="R118" s="56">
        <v>1.55</v>
      </c>
      <c r="S118" s="56">
        <v>1.55</v>
      </c>
      <c r="T118" s="56">
        <v>1.55</v>
      </c>
      <c r="U118" s="56">
        <v>1.55</v>
      </c>
      <c r="V118" s="56">
        <v>1.55</v>
      </c>
      <c r="W118" s="56">
        <v>1.1000000000000001</v>
      </c>
      <c r="X118" s="56">
        <v>1.55</v>
      </c>
      <c r="Y118" s="56">
        <v>1.55</v>
      </c>
      <c r="Z118" s="56">
        <v>1.55</v>
      </c>
      <c r="AA118" s="56">
        <v>1.55</v>
      </c>
      <c r="AB118" s="56">
        <v>1.55</v>
      </c>
      <c r="AC118" s="57">
        <f>AVERAGE(Q118:AB118)</f>
        <v>1.5125000000000002</v>
      </c>
      <c r="AE118" s="65" t="str">
        <f t="shared" si="32"/>
        <v>Product 3</v>
      </c>
      <c r="AF118" s="73">
        <v>1.55</v>
      </c>
      <c r="AG118" s="73">
        <v>1.55</v>
      </c>
      <c r="AH118" s="73">
        <v>1.55</v>
      </c>
      <c r="AI118" s="73">
        <v>1.55</v>
      </c>
      <c r="AJ118" s="73">
        <v>1.1000000000000001</v>
      </c>
      <c r="AK118" s="73">
        <v>1.1000000000000001</v>
      </c>
      <c r="AL118" s="73">
        <v>1.1000000000000001</v>
      </c>
      <c r="AM118" s="73">
        <v>1.1000000000000001</v>
      </c>
      <c r="AN118" s="73">
        <v>1.1000000000000001</v>
      </c>
      <c r="AO118" s="73">
        <v>1.55</v>
      </c>
      <c r="AP118" s="73">
        <v>1.55</v>
      </c>
      <c r="AQ118" s="73">
        <v>1.55</v>
      </c>
      <c r="AR118" s="57">
        <f>AVERAGE(AF118:AQ118)</f>
        <v>1.3625</v>
      </c>
      <c r="AT118" s="65" t="str">
        <f t="shared" si="33"/>
        <v>Product 3</v>
      </c>
      <c r="AU118" s="67">
        <f>AC118-N118</f>
        <v>-3.7500000000000311E-2</v>
      </c>
      <c r="AV118" s="67">
        <f t="shared" si="35"/>
        <v>-0.18750000000000044</v>
      </c>
      <c r="AW118" s="67">
        <f>AR118-AC118</f>
        <v>-0.15000000000000013</v>
      </c>
    </row>
    <row r="119" spans="1:49" s="31" customFormat="1" ht="15" hidden="1" customHeight="1" x14ac:dyDescent="0.2">
      <c r="A119" s="82" t="str">
        <f t="shared" si="34"/>
        <v/>
      </c>
      <c r="B119" s="56"/>
      <c r="C119" s="56"/>
      <c r="D119" s="56"/>
      <c r="E119" s="56"/>
      <c r="F119" s="56"/>
      <c r="G119" s="56"/>
      <c r="H119" s="56"/>
      <c r="I119" s="56"/>
      <c r="J119" s="56"/>
      <c r="K119" s="56"/>
      <c r="L119" s="56"/>
      <c r="M119" s="56"/>
      <c r="N119" s="57"/>
      <c r="P119" s="65" t="str">
        <f t="shared" si="31"/>
        <v/>
      </c>
      <c r="Q119" s="56"/>
      <c r="R119" s="56"/>
      <c r="S119" s="56"/>
      <c r="T119" s="56"/>
      <c r="U119" s="56"/>
      <c r="V119" s="56"/>
      <c r="W119" s="56"/>
      <c r="X119" s="56"/>
      <c r="Y119" s="56"/>
      <c r="Z119" s="56"/>
      <c r="AA119" s="56"/>
      <c r="AB119" s="56"/>
      <c r="AC119" s="57"/>
      <c r="AE119" s="65" t="str">
        <f t="shared" si="32"/>
        <v/>
      </c>
      <c r="AF119" s="73"/>
      <c r="AG119" s="73"/>
      <c r="AH119" s="73"/>
      <c r="AI119" s="73"/>
      <c r="AJ119" s="73"/>
      <c r="AK119" s="73"/>
      <c r="AL119" s="73"/>
      <c r="AM119" s="73"/>
      <c r="AN119" s="73"/>
      <c r="AO119" s="73"/>
      <c r="AP119" s="73"/>
      <c r="AQ119" s="73"/>
      <c r="AR119" s="57"/>
      <c r="AT119" s="65" t="str">
        <f t="shared" si="33"/>
        <v/>
      </c>
      <c r="AU119" s="67"/>
      <c r="AV119" s="67"/>
      <c r="AW119" s="67"/>
    </row>
    <row r="120" spans="1:49" s="31" customFormat="1" ht="15" hidden="1" customHeight="1" x14ac:dyDescent="0.2">
      <c r="A120" s="82" t="str">
        <f t="shared" si="34"/>
        <v/>
      </c>
      <c r="B120" s="56"/>
      <c r="C120" s="56"/>
      <c r="D120" s="56"/>
      <c r="E120" s="56"/>
      <c r="F120" s="56"/>
      <c r="G120" s="56"/>
      <c r="H120" s="56"/>
      <c r="I120" s="56"/>
      <c r="J120" s="56"/>
      <c r="K120" s="56"/>
      <c r="L120" s="56"/>
      <c r="M120" s="56"/>
      <c r="N120" s="57"/>
      <c r="P120" s="65" t="str">
        <f t="shared" si="31"/>
        <v/>
      </c>
      <c r="Q120" s="56"/>
      <c r="R120" s="56"/>
      <c r="S120" s="56"/>
      <c r="T120" s="56"/>
      <c r="U120" s="56"/>
      <c r="V120" s="56"/>
      <c r="W120" s="56"/>
      <c r="X120" s="56"/>
      <c r="Y120" s="56"/>
      <c r="Z120" s="56"/>
      <c r="AA120" s="56"/>
      <c r="AB120" s="56"/>
      <c r="AC120" s="57"/>
      <c r="AE120" s="65" t="str">
        <f t="shared" si="32"/>
        <v/>
      </c>
      <c r="AF120" s="73"/>
      <c r="AG120" s="73"/>
      <c r="AH120" s="73"/>
      <c r="AI120" s="73"/>
      <c r="AJ120" s="73"/>
      <c r="AK120" s="73"/>
      <c r="AL120" s="73"/>
      <c r="AM120" s="73"/>
      <c r="AN120" s="73"/>
      <c r="AO120" s="73"/>
      <c r="AP120" s="73"/>
      <c r="AQ120" s="73"/>
      <c r="AR120" s="57"/>
      <c r="AT120" s="65" t="str">
        <f t="shared" si="33"/>
        <v/>
      </c>
      <c r="AU120" s="67"/>
      <c r="AV120" s="67"/>
      <c r="AW120" s="67"/>
    </row>
    <row r="121" spans="1:49" s="31" customFormat="1" ht="15" hidden="1" customHeight="1" x14ac:dyDescent="0.2">
      <c r="A121" s="82" t="str">
        <f t="shared" si="34"/>
        <v/>
      </c>
      <c r="B121" s="56"/>
      <c r="C121" s="56"/>
      <c r="D121" s="56"/>
      <c r="E121" s="56"/>
      <c r="F121" s="56"/>
      <c r="G121" s="56"/>
      <c r="H121" s="56"/>
      <c r="I121" s="56"/>
      <c r="J121" s="56"/>
      <c r="K121" s="56"/>
      <c r="L121" s="56"/>
      <c r="M121" s="56"/>
      <c r="N121" s="57"/>
      <c r="P121" s="65" t="str">
        <f t="shared" si="31"/>
        <v/>
      </c>
      <c r="Q121" s="56"/>
      <c r="R121" s="56"/>
      <c r="S121" s="56"/>
      <c r="T121" s="56"/>
      <c r="U121" s="56"/>
      <c r="V121" s="56"/>
      <c r="W121" s="56"/>
      <c r="X121" s="56"/>
      <c r="Y121" s="56"/>
      <c r="Z121" s="56"/>
      <c r="AA121" s="56"/>
      <c r="AB121" s="56"/>
      <c r="AC121" s="57"/>
      <c r="AE121" s="65" t="str">
        <f t="shared" si="32"/>
        <v/>
      </c>
      <c r="AF121" s="73"/>
      <c r="AG121" s="73"/>
      <c r="AH121" s="73"/>
      <c r="AI121" s="73"/>
      <c r="AJ121" s="73"/>
      <c r="AK121" s="73"/>
      <c r="AL121" s="73"/>
      <c r="AM121" s="73"/>
      <c r="AN121" s="73"/>
      <c r="AO121" s="73"/>
      <c r="AP121" s="73"/>
      <c r="AQ121" s="73"/>
      <c r="AR121" s="57"/>
      <c r="AT121" s="65" t="str">
        <f t="shared" si="33"/>
        <v/>
      </c>
      <c r="AU121" s="67"/>
      <c r="AV121" s="67"/>
      <c r="AW121" s="67"/>
    </row>
    <row r="122" spans="1:49" s="31" customFormat="1" ht="15" hidden="1" customHeight="1" x14ac:dyDescent="0.2">
      <c r="A122" s="82" t="str">
        <f t="shared" si="34"/>
        <v/>
      </c>
      <c r="B122" s="56"/>
      <c r="C122" s="56"/>
      <c r="D122" s="56"/>
      <c r="E122" s="56"/>
      <c r="F122" s="56"/>
      <c r="G122" s="56"/>
      <c r="H122" s="56"/>
      <c r="I122" s="56"/>
      <c r="J122" s="56"/>
      <c r="K122" s="56"/>
      <c r="L122" s="56"/>
      <c r="M122" s="56"/>
      <c r="N122" s="57"/>
      <c r="P122" s="65" t="str">
        <f t="shared" si="31"/>
        <v/>
      </c>
      <c r="Q122" s="56"/>
      <c r="R122" s="56"/>
      <c r="S122" s="56"/>
      <c r="T122" s="56"/>
      <c r="U122" s="56"/>
      <c r="V122" s="56"/>
      <c r="W122" s="56"/>
      <c r="X122" s="56"/>
      <c r="Y122" s="56"/>
      <c r="Z122" s="56"/>
      <c r="AA122" s="56"/>
      <c r="AB122" s="56"/>
      <c r="AC122" s="57"/>
      <c r="AE122" s="65" t="str">
        <f t="shared" si="32"/>
        <v/>
      </c>
      <c r="AF122" s="73"/>
      <c r="AG122" s="73"/>
      <c r="AH122" s="73"/>
      <c r="AI122" s="73"/>
      <c r="AJ122" s="73"/>
      <c r="AK122" s="73"/>
      <c r="AL122" s="73"/>
      <c r="AM122" s="73"/>
      <c r="AN122" s="73"/>
      <c r="AO122" s="73"/>
      <c r="AP122" s="73"/>
      <c r="AQ122" s="73"/>
      <c r="AR122" s="57"/>
      <c r="AT122" s="65" t="str">
        <f t="shared" si="33"/>
        <v/>
      </c>
      <c r="AU122" s="67"/>
      <c r="AV122" s="67"/>
      <c r="AW122" s="67"/>
    </row>
    <row r="123" spans="1:49" s="31" customFormat="1" ht="15" hidden="1" customHeight="1" x14ac:dyDescent="0.2">
      <c r="A123" s="82" t="str">
        <f t="shared" si="34"/>
        <v/>
      </c>
      <c r="B123" s="56"/>
      <c r="C123" s="56"/>
      <c r="D123" s="56"/>
      <c r="E123" s="56"/>
      <c r="F123" s="56"/>
      <c r="G123" s="56"/>
      <c r="H123" s="56"/>
      <c r="I123" s="56"/>
      <c r="J123" s="56"/>
      <c r="K123" s="56"/>
      <c r="L123" s="56"/>
      <c r="M123" s="56"/>
      <c r="N123" s="57"/>
      <c r="P123" s="65" t="str">
        <f t="shared" si="31"/>
        <v/>
      </c>
      <c r="Q123" s="56"/>
      <c r="R123" s="56"/>
      <c r="S123" s="56"/>
      <c r="T123" s="56"/>
      <c r="U123" s="56"/>
      <c r="V123" s="56"/>
      <c r="W123" s="56"/>
      <c r="X123" s="56"/>
      <c r="Y123" s="56"/>
      <c r="Z123" s="56"/>
      <c r="AA123" s="56"/>
      <c r="AB123" s="56"/>
      <c r="AC123" s="57"/>
      <c r="AE123" s="65" t="str">
        <f t="shared" si="32"/>
        <v/>
      </c>
      <c r="AF123" s="73"/>
      <c r="AG123" s="73"/>
      <c r="AH123" s="73"/>
      <c r="AI123" s="73"/>
      <c r="AJ123" s="73"/>
      <c r="AK123" s="73"/>
      <c r="AL123" s="73"/>
      <c r="AM123" s="73"/>
      <c r="AN123" s="73"/>
      <c r="AO123" s="73"/>
      <c r="AP123" s="73"/>
      <c r="AQ123" s="73"/>
      <c r="AR123" s="57"/>
      <c r="AT123" s="65" t="str">
        <f t="shared" si="33"/>
        <v/>
      </c>
      <c r="AU123" s="67"/>
      <c r="AV123" s="67"/>
      <c r="AW123" s="67"/>
    </row>
    <row r="124" spans="1:49" s="31" customFormat="1" ht="15" hidden="1" customHeight="1" x14ac:dyDescent="0.2">
      <c r="A124" s="82" t="str">
        <f t="shared" si="34"/>
        <v/>
      </c>
      <c r="B124" s="56"/>
      <c r="C124" s="56"/>
      <c r="D124" s="56"/>
      <c r="E124" s="56"/>
      <c r="F124" s="56"/>
      <c r="G124" s="56"/>
      <c r="H124" s="56"/>
      <c r="I124" s="56"/>
      <c r="J124" s="56"/>
      <c r="K124" s="56"/>
      <c r="L124" s="56"/>
      <c r="M124" s="56"/>
      <c r="N124" s="57"/>
      <c r="P124" s="65" t="str">
        <f t="shared" si="31"/>
        <v/>
      </c>
      <c r="Q124" s="56"/>
      <c r="R124" s="56"/>
      <c r="S124" s="56"/>
      <c r="T124" s="56"/>
      <c r="U124" s="56"/>
      <c r="V124" s="56"/>
      <c r="W124" s="56"/>
      <c r="X124" s="56"/>
      <c r="Y124" s="56"/>
      <c r="Z124" s="56"/>
      <c r="AA124" s="56"/>
      <c r="AB124" s="56"/>
      <c r="AC124" s="57"/>
      <c r="AE124" s="65" t="str">
        <f t="shared" si="32"/>
        <v/>
      </c>
      <c r="AF124" s="73"/>
      <c r="AG124" s="73"/>
      <c r="AH124" s="73"/>
      <c r="AI124" s="73"/>
      <c r="AJ124" s="73"/>
      <c r="AK124" s="73"/>
      <c r="AL124" s="73"/>
      <c r="AM124" s="73"/>
      <c r="AN124" s="73"/>
      <c r="AO124" s="73"/>
      <c r="AP124" s="73"/>
      <c r="AQ124" s="73"/>
      <c r="AR124" s="57"/>
      <c r="AT124" s="65" t="str">
        <f t="shared" si="33"/>
        <v/>
      </c>
      <c r="AU124" s="67"/>
      <c r="AV124" s="67"/>
      <c r="AW124" s="67"/>
    </row>
    <row r="125" spans="1:49" s="31" customFormat="1" ht="15" hidden="1" customHeight="1" x14ac:dyDescent="0.2">
      <c r="A125" s="82" t="str">
        <f t="shared" si="34"/>
        <v/>
      </c>
      <c r="B125" s="56"/>
      <c r="C125" s="56"/>
      <c r="D125" s="56"/>
      <c r="E125" s="56"/>
      <c r="F125" s="56"/>
      <c r="G125" s="56"/>
      <c r="H125" s="56"/>
      <c r="I125" s="56"/>
      <c r="J125" s="56"/>
      <c r="K125" s="56"/>
      <c r="L125" s="56"/>
      <c r="M125" s="56"/>
      <c r="N125" s="57"/>
      <c r="P125" s="65" t="str">
        <f t="shared" si="31"/>
        <v/>
      </c>
      <c r="Q125" s="56"/>
      <c r="R125" s="56"/>
      <c r="S125" s="56"/>
      <c r="T125" s="56"/>
      <c r="U125" s="56"/>
      <c r="V125" s="56"/>
      <c r="W125" s="56"/>
      <c r="X125" s="56"/>
      <c r="Y125" s="56"/>
      <c r="Z125" s="56"/>
      <c r="AA125" s="56"/>
      <c r="AB125" s="56"/>
      <c r="AC125" s="57"/>
      <c r="AE125" s="65" t="str">
        <f t="shared" si="32"/>
        <v/>
      </c>
      <c r="AF125" s="73"/>
      <c r="AG125" s="73"/>
      <c r="AH125" s="73"/>
      <c r="AI125" s="73"/>
      <c r="AJ125" s="73"/>
      <c r="AK125" s="73"/>
      <c r="AL125" s="73"/>
      <c r="AM125" s="73"/>
      <c r="AN125" s="73"/>
      <c r="AO125" s="73"/>
      <c r="AP125" s="73"/>
      <c r="AQ125" s="73"/>
      <c r="AR125" s="57"/>
      <c r="AT125" s="65" t="str">
        <f t="shared" si="33"/>
        <v/>
      </c>
      <c r="AU125" s="67"/>
      <c r="AV125" s="67"/>
      <c r="AW125" s="67"/>
    </row>
    <row r="126" spans="1:49" s="38" customFormat="1" ht="15" hidden="1" customHeight="1" x14ac:dyDescent="0.2">
      <c r="A126" s="82" t="str">
        <f t="shared" si="34"/>
        <v/>
      </c>
      <c r="B126" s="54"/>
      <c r="C126" s="54"/>
      <c r="D126" s="54"/>
      <c r="E126" s="54"/>
      <c r="F126" s="54"/>
      <c r="G126" s="54"/>
      <c r="H126" s="54"/>
      <c r="I126" s="54"/>
      <c r="J126" s="54"/>
      <c r="K126" s="54"/>
      <c r="L126" s="54"/>
      <c r="M126" s="54"/>
      <c r="N126" s="55"/>
      <c r="P126" s="65" t="str">
        <f t="shared" si="31"/>
        <v/>
      </c>
      <c r="Q126" s="54"/>
      <c r="R126" s="54"/>
      <c r="S126" s="54"/>
      <c r="T126" s="54"/>
      <c r="U126" s="54"/>
      <c r="V126" s="54"/>
      <c r="W126" s="54"/>
      <c r="X126" s="54"/>
      <c r="Y126" s="54"/>
      <c r="Z126" s="54"/>
      <c r="AA126" s="54"/>
      <c r="AB126" s="54"/>
      <c r="AC126" s="55"/>
      <c r="AE126" s="65" t="str">
        <f t="shared" si="32"/>
        <v/>
      </c>
      <c r="AF126" s="54"/>
      <c r="AG126" s="54"/>
      <c r="AH126" s="54"/>
      <c r="AI126" s="54"/>
      <c r="AJ126" s="54"/>
      <c r="AK126" s="54"/>
      <c r="AL126" s="54"/>
      <c r="AM126" s="54"/>
      <c r="AN126" s="54"/>
      <c r="AO126" s="54"/>
      <c r="AP126" s="54"/>
      <c r="AQ126" s="54"/>
      <c r="AR126" s="55"/>
      <c r="AS126" s="40"/>
      <c r="AT126" s="65" t="str">
        <f t="shared" si="33"/>
        <v/>
      </c>
      <c r="AU126" s="69"/>
      <c r="AV126" s="69"/>
      <c r="AW126" s="69"/>
    </row>
    <row r="127" spans="1:49" s="38" customFormat="1" ht="15" hidden="1" customHeight="1" x14ac:dyDescent="0.2">
      <c r="A127" s="82" t="str">
        <f t="shared" si="34"/>
        <v/>
      </c>
      <c r="B127" s="54"/>
      <c r="C127" s="54"/>
      <c r="D127" s="54"/>
      <c r="E127" s="54"/>
      <c r="F127" s="54"/>
      <c r="G127" s="54"/>
      <c r="H127" s="54"/>
      <c r="I127" s="54"/>
      <c r="J127" s="54"/>
      <c r="K127" s="54"/>
      <c r="L127" s="54"/>
      <c r="M127" s="54"/>
      <c r="N127" s="55"/>
      <c r="P127" s="65" t="str">
        <f t="shared" si="31"/>
        <v/>
      </c>
      <c r="Q127" s="54"/>
      <c r="R127" s="54"/>
      <c r="S127" s="54"/>
      <c r="T127" s="54"/>
      <c r="U127" s="54"/>
      <c r="V127" s="54"/>
      <c r="W127" s="54"/>
      <c r="X127" s="54"/>
      <c r="Y127" s="54"/>
      <c r="Z127" s="54"/>
      <c r="AA127" s="54"/>
      <c r="AB127" s="54"/>
      <c r="AC127" s="55"/>
      <c r="AE127" s="65" t="str">
        <f t="shared" si="32"/>
        <v/>
      </c>
      <c r="AF127" s="54"/>
      <c r="AG127" s="54"/>
      <c r="AH127" s="54"/>
      <c r="AI127" s="54"/>
      <c r="AJ127" s="54"/>
      <c r="AK127" s="54"/>
      <c r="AL127" s="54"/>
      <c r="AM127" s="54"/>
      <c r="AN127" s="54"/>
      <c r="AO127" s="54"/>
      <c r="AP127" s="54"/>
      <c r="AQ127" s="54"/>
      <c r="AR127" s="55"/>
      <c r="AS127" s="40"/>
      <c r="AT127" s="65" t="str">
        <f t="shared" si="33"/>
        <v/>
      </c>
      <c r="AU127" s="69"/>
      <c r="AV127" s="69"/>
      <c r="AW127" s="69"/>
    </row>
    <row r="128" spans="1:49" s="38" customFormat="1" ht="15" hidden="1" customHeight="1" x14ac:dyDescent="0.2">
      <c r="A128" s="82" t="str">
        <f t="shared" si="34"/>
        <v/>
      </c>
      <c r="B128" s="54"/>
      <c r="C128" s="54"/>
      <c r="D128" s="54"/>
      <c r="E128" s="54"/>
      <c r="F128" s="54"/>
      <c r="G128" s="54"/>
      <c r="H128" s="54"/>
      <c r="I128" s="54"/>
      <c r="J128" s="54"/>
      <c r="K128" s="54"/>
      <c r="L128" s="54"/>
      <c r="M128" s="54"/>
      <c r="N128" s="55"/>
      <c r="P128" s="65" t="str">
        <f t="shared" si="31"/>
        <v/>
      </c>
      <c r="Q128" s="54"/>
      <c r="R128" s="54"/>
      <c r="S128" s="54"/>
      <c r="T128" s="54"/>
      <c r="U128" s="54"/>
      <c r="V128" s="54"/>
      <c r="W128" s="54"/>
      <c r="X128" s="54"/>
      <c r="Y128" s="54"/>
      <c r="Z128" s="54"/>
      <c r="AA128" s="54"/>
      <c r="AB128" s="54"/>
      <c r="AC128" s="55"/>
      <c r="AE128" s="65" t="str">
        <f t="shared" si="32"/>
        <v/>
      </c>
      <c r="AF128" s="54"/>
      <c r="AG128" s="54"/>
      <c r="AH128" s="54"/>
      <c r="AI128" s="54"/>
      <c r="AJ128" s="54"/>
      <c r="AK128" s="54"/>
      <c r="AL128" s="54"/>
      <c r="AM128" s="54"/>
      <c r="AN128" s="54"/>
      <c r="AO128" s="54"/>
      <c r="AP128" s="54"/>
      <c r="AQ128" s="54"/>
      <c r="AR128" s="55"/>
      <c r="AS128" s="40"/>
      <c r="AT128" s="65" t="str">
        <f t="shared" si="33"/>
        <v/>
      </c>
      <c r="AU128" s="69"/>
      <c r="AV128" s="69"/>
      <c r="AW128" s="69"/>
    </row>
    <row r="129" spans="1:49" s="38" customFormat="1" ht="15" hidden="1" customHeight="1" x14ac:dyDescent="0.2">
      <c r="A129" s="82" t="str">
        <f t="shared" si="34"/>
        <v/>
      </c>
      <c r="B129" s="54"/>
      <c r="C129" s="54"/>
      <c r="D129" s="54"/>
      <c r="E129" s="54"/>
      <c r="F129" s="54"/>
      <c r="G129" s="54"/>
      <c r="H129" s="54"/>
      <c r="I129" s="54"/>
      <c r="J129" s="54"/>
      <c r="K129" s="54"/>
      <c r="L129" s="54"/>
      <c r="M129" s="54"/>
      <c r="N129" s="55"/>
      <c r="P129" s="65" t="str">
        <f t="shared" si="31"/>
        <v/>
      </c>
      <c r="Q129" s="54"/>
      <c r="R129" s="54"/>
      <c r="S129" s="54"/>
      <c r="T129" s="54"/>
      <c r="U129" s="54"/>
      <c r="V129" s="54"/>
      <c r="W129" s="54"/>
      <c r="X129" s="54"/>
      <c r="Y129" s="54"/>
      <c r="Z129" s="54"/>
      <c r="AA129" s="54"/>
      <c r="AB129" s="54"/>
      <c r="AC129" s="55"/>
      <c r="AE129" s="65" t="str">
        <f t="shared" si="32"/>
        <v/>
      </c>
      <c r="AF129" s="54"/>
      <c r="AG129" s="54"/>
      <c r="AH129" s="54"/>
      <c r="AI129" s="54"/>
      <c r="AJ129" s="54"/>
      <c r="AK129" s="54"/>
      <c r="AL129" s="54"/>
      <c r="AM129" s="54"/>
      <c r="AN129" s="54"/>
      <c r="AO129" s="54"/>
      <c r="AP129" s="54"/>
      <c r="AQ129" s="54"/>
      <c r="AR129" s="55"/>
      <c r="AS129" s="40"/>
      <c r="AT129" s="65" t="str">
        <f t="shared" si="33"/>
        <v/>
      </c>
      <c r="AU129" s="69"/>
      <c r="AV129" s="69"/>
      <c r="AW129" s="69"/>
    </row>
    <row r="130" spans="1:49" s="38" customFormat="1" ht="15" hidden="1" customHeight="1" x14ac:dyDescent="0.2">
      <c r="A130" s="82" t="str">
        <f t="shared" si="34"/>
        <v/>
      </c>
      <c r="B130" s="54"/>
      <c r="C130" s="54"/>
      <c r="D130" s="54"/>
      <c r="E130" s="54"/>
      <c r="F130" s="54"/>
      <c r="G130" s="54"/>
      <c r="H130" s="54"/>
      <c r="I130" s="54"/>
      <c r="J130" s="54"/>
      <c r="K130" s="54"/>
      <c r="L130" s="54"/>
      <c r="M130" s="54"/>
      <c r="N130" s="55"/>
      <c r="P130" s="65" t="str">
        <f t="shared" si="31"/>
        <v/>
      </c>
      <c r="Q130" s="54"/>
      <c r="R130" s="54"/>
      <c r="S130" s="54"/>
      <c r="T130" s="54"/>
      <c r="U130" s="54"/>
      <c r="V130" s="54"/>
      <c r="W130" s="54"/>
      <c r="X130" s="54"/>
      <c r="Y130" s="54"/>
      <c r="Z130" s="54"/>
      <c r="AA130" s="54"/>
      <c r="AB130" s="54"/>
      <c r="AC130" s="55"/>
      <c r="AE130" s="65" t="str">
        <f t="shared" si="32"/>
        <v/>
      </c>
      <c r="AF130" s="54"/>
      <c r="AG130" s="54"/>
      <c r="AH130" s="54"/>
      <c r="AI130" s="54"/>
      <c r="AJ130" s="54"/>
      <c r="AK130" s="54"/>
      <c r="AL130" s="54"/>
      <c r="AM130" s="54"/>
      <c r="AN130" s="54"/>
      <c r="AO130" s="54"/>
      <c r="AP130" s="54"/>
      <c r="AQ130" s="54"/>
      <c r="AR130" s="55"/>
      <c r="AS130" s="40"/>
      <c r="AT130" s="65" t="str">
        <f t="shared" si="33"/>
        <v/>
      </c>
      <c r="AU130" s="69"/>
      <c r="AV130" s="69"/>
      <c r="AW130" s="69"/>
    </row>
    <row r="131" spans="1:49" s="38" customFormat="1" ht="15" hidden="1" customHeight="1" x14ac:dyDescent="0.2">
      <c r="A131" s="82" t="str">
        <f t="shared" si="34"/>
        <v/>
      </c>
      <c r="B131" s="54"/>
      <c r="C131" s="54"/>
      <c r="D131" s="54"/>
      <c r="E131" s="54"/>
      <c r="F131" s="54"/>
      <c r="G131" s="54"/>
      <c r="H131" s="54"/>
      <c r="I131" s="54"/>
      <c r="J131" s="54"/>
      <c r="K131" s="54"/>
      <c r="L131" s="54"/>
      <c r="M131" s="54"/>
      <c r="N131" s="55"/>
      <c r="P131" s="65" t="str">
        <f t="shared" si="31"/>
        <v/>
      </c>
      <c r="Q131" s="54"/>
      <c r="R131" s="54"/>
      <c r="S131" s="54"/>
      <c r="T131" s="54"/>
      <c r="U131" s="54"/>
      <c r="V131" s="54"/>
      <c r="W131" s="54"/>
      <c r="X131" s="54"/>
      <c r="Y131" s="54"/>
      <c r="Z131" s="54"/>
      <c r="AA131" s="54"/>
      <c r="AB131" s="54"/>
      <c r="AC131" s="55"/>
      <c r="AE131" s="65" t="str">
        <f t="shared" si="32"/>
        <v/>
      </c>
      <c r="AF131" s="54"/>
      <c r="AG131" s="54"/>
      <c r="AH131" s="54"/>
      <c r="AI131" s="54"/>
      <c r="AJ131" s="54"/>
      <c r="AK131" s="54"/>
      <c r="AL131" s="54"/>
      <c r="AM131" s="54"/>
      <c r="AN131" s="54"/>
      <c r="AO131" s="54"/>
      <c r="AP131" s="54"/>
      <c r="AQ131" s="54"/>
      <c r="AR131" s="55"/>
      <c r="AS131" s="40"/>
      <c r="AT131" s="65" t="str">
        <f t="shared" si="33"/>
        <v/>
      </c>
      <c r="AU131" s="69"/>
      <c r="AV131" s="69"/>
      <c r="AW131" s="69"/>
    </row>
    <row r="132" spans="1:49" s="38" customFormat="1" ht="15" hidden="1" customHeight="1" x14ac:dyDescent="0.2">
      <c r="A132" s="82" t="str">
        <f t="shared" si="34"/>
        <v/>
      </c>
      <c r="B132" s="54"/>
      <c r="C132" s="54"/>
      <c r="D132" s="54"/>
      <c r="E132" s="54"/>
      <c r="F132" s="54"/>
      <c r="G132" s="54"/>
      <c r="H132" s="54"/>
      <c r="I132" s="54"/>
      <c r="J132" s="54"/>
      <c r="K132" s="54"/>
      <c r="L132" s="54"/>
      <c r="M132" s="54"/>
      <c r="N132" s="55"/>
      <c r="P132" s="65" t="str">
        <f t="shared" si="31"/>
        <v/>
      </c>
      <c r="Q132" s="54"/>
      <c r="R132" s="54"/>
      <c r="S132" s="54"/>
      <c r="T132" s="54"/>
      <c r="U132" s="54"/>
      <c r="V132" s="54"/>
      <c r="W132" s="54"/>
      <c r="X132" s="54"/>
      <c r="Y132" s="54"/>
      <c r="Z132" s="54"/>
      <c r="AA132" s="54"/>
      <c r="AB132" s="54"/>
      <c r="AC132" s="55"/>
      <c r="AE132" s="65" t="str">
        <f t="shared" si="32"/>
        <v/>
      </c>
      <c r="AF132" s="54"/>
      <c r="AG132" s="54"/>
      <c r="AH132" s="54"/>
      <c r="AI132" s="54"/>
      <c r="AJ132" s="54"/>
      <c r="AK132" s="54"/>
      <c r="AL132" s="54"/>
      <c r="AM132" s="54"/>
      <c r="AN132" s="54"/>
      <c r="AO132" s="54"/>
      <c r="AP132" s="54"/>
      <c r="AQ132" s="54"/>
      <c r="AR132" s="55"/>
      <c r="AS132" s="40"/>
      <c r="AT132" s="65" t="str">
        <f t="shared" si="33"/>
        <v/>
      </c>
      <c r="AU132" s="69"/>
      <c r="AV132" s="69"/>
      <c r="AW132" s="69"/>
    </row>
    <row r="133" spans="1:49" s="38" customFormat="1" ht="15" hidden="1" customHeight="1" x14ac:dyDescent="0.2">
      <c r="A133" s="82" t="str">
        <f t="shared" si="34"/>
        <v/>
      </c>
      <c r="B133" s="54"/>
      <c r="C133" s="54"/>
      <c r="D133" s="54"/>
      <c r="E133" s="54"/>
      <c r="F133" s="54"/>
      <c r="G133" s="54"/>
      <c r="H133" s="54"/>
      <c r="I133" s="54"/>
      <c r="J133" s="54"/>
      <c r="K133" s="54"/>
      <c r="L133" s="54"/>
      <c r="M133" s="54"/>
      <c r="N133" s="55"/>
      <c r="P133" s="65" t="str">
        <f t="shared" si="31"/>
        <v/>
      </c>
      <c r="Q133" s="54"/>
      <c r="R133" s="54"/>
      <c r="S133" s="54"/>
      <c r="T133" s="54"/>
      <c r="U133" s="54"/>
      <c r="V133" s="54"/>
      <c r="W133" s="54"/>
      <c r="X133" s="54"/>
      <c r="Y133" s="54"/>
      <c r="Z133" s="54"/>
      <c r="AA133" s="54"/>
      <c r="AB133" s="54"/>
      <c r="AC133" s="55"/>
      <c r="AE133" s="65" t="str">
        <f t="shared" si="32"/>
        <v/>
      </c>
      <c r="AF133" s="54"/>
      <c r="AG133" s="54"/>
      <c r="AH133" s="54"/>
      <c r="AI133" s="54"/>
      <c r="AJ133" s="54"/>
      <c r="AK133" s="54"/>
      <c r="AL133" s="54"/>
      <c r="AM133" s="54"/>
      <c r="AN133" s="54"/>
      <c r="AO133" s="54"/>
      <c r="AP133" s="54"/>
      <c r="AQ133" s="54"/>
      <c r="AR133" s="55"/>
      <c r="AS133" s="40"/>
      <c r="AT133" s="65" t="str">
        <f t="shared" si="33"/>
        <v/>
      </c>
      <c r="AU133" s="69"/>
      <c r="AV133" s="69"/>
      <c r="AW133" s="69"/>
    </row>
    <row r="134" spans="1:49" s="38" customFormat="1" ht="15" hidden="1" customHeight="1" x14ac:dyDescent="0.2">
      <c r="A134" s="82" t="str">
        <f t="shared" si="34"/>
        <v/>
      </c>
      <c r="B134" s="54"/>
      <c r="C134" s="54"/>
      <c r="D134" s="54"/>
      <c r="E134" s="54"/>
      <c r="F134" s="54"/>
      <c r="G134" s="54"/>
      <c r="H134" s="54"/>
      <c r="I134" s="54"/>
      <c r="J134" s="54"/>
      <c r="K134" s="54"/>
      <c r="L134" s="54"/>
      <c r="M134" s="54"/>
      <c r="N134" s="55"/>
      <c r="P134" s="65" t="str">
        <f t="shared" si="31"/>
        <v/>
      </c>
      <c r="Q134" s="54"/>
      <c r="R134" s="54"/>
      <c r="S134" s="54"/>
      <c r="T134" s="54"/>
      <c r="U134" s="54"/>
      <c r="V134" s="54"/>
      <c r="W134" s="54"/>
      <c r="X134" s="54"/>
      <c r="Y134" s="54"/>
      <c r="Z134" s="54"/>
      <c r="AA134" s="54"/>
      <c r="AB134" s="54"/>
      <c r="AC134" s="55"/>
      <c r="AE134" s="65" t="str">
        <f t="shared" si="32"/>
        <v/>
      </c>
      <c r="AF134" s="54"/>
      <c r="AG134" s="54"/>
      <c r="AH134" s="54"/>
      <c r="AI134" s="54"/>
      <c r="AJ134" s="54"/>
      <c r="AK134" s="54"/>
      <c r="AL134" s="54"/>
      <c r="AM134" s="54"/>
      <c r="AN134" s="54"/>
      <c r="AO134" s="54"/>
      <c r="AP134" s="54"/>
      <c r="AQ134" s="54"/>
      <c r="AR134" s="55"/>
      <c r="AS134" s="40"/>
      <c r="AT134" s="65" t="str">
        <f t="shared" si="33"/>
        <v/>
      </c>
      <c r="AU134" s="69"/>
      <c r="AV134" s="69"/>
      <c r="AW134" s="69"/>
    </row>
    <row r="135" spans="1:49" s="38" customFormat="1" ht="15" hidden="1" customHeight="1" x14ac:dyDescent="0.2">
      <c r="A135" s="82" t="str">
        <f t="shared" si="34"/>
        <v/>
      </c>
      <c r="B135" s="54"/>
      <c r="C135" s="54"/>
      <c r="D135" s="54"/>
      <c r="E135" s="54"/>
      <c r="F135" s="54"/>
      <c r="G135" s="54"/>
      <c r="H135" s="54"/>
      <c r="I135" s="54"/>
      <c r="J135" s="54"/>
      <c r="K135" s="54"/>
      <c r="L135" s="54"/>
      <c r="M135" s="54"/>
      <c r="N135" s="55"/>
      <c r="P135" s="65" t="str">
        <f t="shared" si="31"/>
        <v/>
      </c>
      <c r="Q135" s="54"/>
      <c r="R135" s="54"/>
      <c r="S135" s="54"/>
      <c r="T135" s="54"/>
      <c r="U135" s="54"/>
      <c r="V135" s="54"/>
      <c r="W135" s="54"/>
      <c r="X135" s="54"/>
      <c r="Y135" s="54"/>
      <c r="Z135" s="54"/>
      <c r="AA135" s="54"/>
      <c r="AB135" s="54"/>
      <c r="AC135" s="55"/>
      <c r="AE135" s="65" t="str">
        <f t="shared" si="32"/>
        <v/>
      </c>
      <c r="AF135" s="54"/>
      <c r="AG135" s="54"/>
      <c r="AH135" s="54"/>
      <c r="AI135" s="54"/>
      <c r="AJ135" s="54"/>
      <c r="AK135" s="54"/>
      <c r="AL135" s="54"/>
      <c r="AM135" s="54"/>
      <c r="AN135" s="54"/>
      <c r="AO135" s="54"/>
      <c r="AP135" s="54"/>
      <c r="AQ135" s="54"/>
      <c r="AR135" s="55"/>
      <c r="AS135" s="40"/>
      <c r="AT135" s="65" t="str">
        <f t="shared" si="33"/>
        <v/>
      </c>
      <c r="AU135" s="69"/>
      <c r="AV135" s="69"/>
      <c r="AW135" s="69"/>
    </row>
    <row r="136" spans="1:49" s="38" customFormat="1" ht="15" hidden="1" customHeight="1" x14ac:dyDescent="0.2">
      <c r="A136" s="82" t="str">
        <f t="shared" si="34"/>
        <v/>
      </c>
      <c r="B136" s="54"/>
      <c r="C136" s="54"/>
      <c r="D136" s="54"/>
      <c r="E136" s="54"/>
      <c r="F136" s="54"/>
      <c r="G136" s="54"/>
      <c r="H136" s="54"/>
      <c r="I136" s="54"/>
      <c r="J136" s="54"/>
      <c r="K136" s="54"/>
      <c r="L136" s="54"/>
      <c r="M136" s="54"/>
      <c r="N136" s="55"/>
      <c r="P136" s="65" t="str">
        <f t="shared" si="31"/>
        <v/>
      </c>
      <c r="Q136" s="54"/>
      <c r="R136" s="54"/>
      <c r="S136" s="54"/>
      <c r="T136" s="54"/>
      <c r="U136" s="54"/>
      <c r="V136" s="54"/>
      <c r="W136" s="54"/>
      <c r="X136" s="54"/>
      <c r="Y136" s="54"/>
      <c r="Z136" s="54"/>
      <c r="AA136" s="54"/>
      <c r="AB136" s="54"/>
      <c r="AC136" s="55"/>
      <c r="AE136" s="65" t="str">
        <f t="shared" si="32"/>
        <v/>
      </c>
      <c r="AF136" s="54"/>
      <c r="AG136" s="54"/>
      <c r="AH136" s="54"/>
      <c r="AI136" s="54"/>
      <c r="AJ136" s="54"/>
      <c r="AK136" s="54"/>
      <c r="AL136" s="54"/>
      <c r="AM136" s="54"/>
      <c r="AN136" s="54"/>
      <c r="AO136" s="54"/>
      <c r="AP136" s="54"/>
      <c r="AQ136" s="54"/>
      <c r="AR136" s="55"/>
      <c r="AS136" s="40"/>
      <c r="AT136" s="65" t="str">
        <f t="shared" si="33"/>
        <v/>
      </c>
      <c r="AU136" s="69"/>
      <c r="AV136" s="69"/>
      <c r="AW136" s="69"/>
    </row>
    <row r="137" spans="1:49" s="38" customFormat="1" ht="15" hidden="1" customHeight="1" x14ac:dyDescent="0.2">
      <c r="A137" s="82" t="str">
        <f t="shared" si="34"/>
        <v/>
      </c>
      <c r="B137" s="54"/>
      <c r="C137" s="54"/>
      <c r="D137" s="54"/>
      <c r="E137" s="54"/>
      <c r="F137" s="54"/>
      <c r="G137" s="54"/>
      <c r="H137" s="54"/>
      <c r="I137" s="54"/>
      <c r="J137" s="54"/>
      <c r="K137" s="54"/>
      <c r="L137" s="54"/>
      <c r="M137" s="54"/>
      <c r="N137" s="55"/>
      <c r="P137" s="65" t="str">
        <f t="shared" si="31"/>
        <v/>
      </c>
      <c r="Q137" s="54"/>
      <c r="R137" s="54"/>
      <c r="S137" s="54"/>
      <c r="T137" s="54"/>
      <c r="U137" s="54"/>
      <c r="V137" s="54"/>
      <c r="W137" s="54"/>
      <c r="X137" s="54"/>
      <c r="Y137" s="54"/>
      <c r="Z137" s="54"/>
      <c r="AA137" s="54"/>
      <c r="AB137" s="54"/>
      <c r="AC137" s="55"/>
      <c r="AE137" s="65" t="str">
        <f t="shared" si="32"/>
        <v/>
      </c>
      <c r="AF137" s="54"/>
      <c r="AG137" s="54"/>
      <c r="AH137" s="54"/>
      <c r="AI137" s="54"/>
      <c r="AJ137" s="54"/>
      <c r="AK137" s="54"/>
      <c r="AL137" s="54"/>
      <c r="AM137" s="54"/>
      <c r="AN137" s="54"/>
      <c r="AO137" s="54"/>
      <c r="AP137" s="54"/>
      <c r="AQ137" s="54"/>
      <c r="AR137" s="55"/>
      <c r="AS137" s="40"/>
      <c r="AT137" s="65" t="str">
        <f t="shared" si="33"/>
        <v/>
      </c>
      <c r="AU137" s="69"/>
      <c r="AV137" s="69"/>
      <c r="AW137" s="69"/>
    </row>
    <row r="138" spans="1:49" s="38" customFormat="1" ht="15" hidden="1" customHeight="1" x14ac:dyDescent="0.2">
      <c r="A138" s="82" t="str">
        <f t="shared" si="34"/>
        <v/>
      </c>
      <c r="B138" s="54"/>
      <c r="C138" s="54"/>
      <c r="D138" s="54"/>
      <c r="E138" s="54"/>
      <c r="F138" s="54"/>
      <c r="G138" s="54"/>
      <c r="H138" s="54"/>
      <c r="I138" s="54"/>
      <c r="J138" s="54"/>
      <c r="K138" s="54"/>
      <c r="L138" s="54"/>
      <c r="M138" s="54"/>
      <c r="N138" s="55"/>
      <c r="P138" s="65" t="str">
        <f t="shared" si="31"/>
        <v/>
      </c>
      <c r="Q138" s="54"/>
      <c r="R138" s="54"/>
      <c r="S138" s="54"/>
      <c r="T138" s="54"/>
      <c r="U138" s="54"/>
      <c r="V138" s="54"/>
      <c r="W138" s="54"/>
      <c r="X138" s="54"/>
      <c r="Y138" s="54"/>
      <c r="Z138" s="54"/>
      <c r="AA138" s="54"/>
      <c r="AB138" s="54"/>
      <c r="AC138" s="55"/>
      <c r="AE138" s="65" t="str">
        <f t="shared" si="32"/>
        <v/>
      </c>
      <c r="AF138" s="54"/>
      <c r="AG138" s="54"/>
      <c r="AH138" s="54"/>
      <c r="AI138" s="54"/>
      <c r="AJ138" s="54"/>
      <c r="AK138" s="54"/>
      <c r="AL138" s="54"/>
      <c r="AM138" s="54"/>
      <c r="AN138" s="54"/>
      <c r="AO138" s="54"/>
      <c r="AP138" s="54"/>
      <c r="AQ138" s="54"/>
      <c r="AR138" s="55"/>
      <c r="AS138" s="40"/>
      <c r="AT138" s="65" t="str">
        <f t="shared" si="33"/>
        <v/>
      </c>
      <c r="AU138" s="69"/>
      <c r="AV138" s="69"/>
      <c r="AW138" s="69"/>
    </row>
    <row r="139" spans="1:49" s="38" customFormat="1" ht="15" hidden="1" customHeight="1" x14ac:dyDescent="0.2">
      <c r="A139" s="82" t="str">
        <f t="shared" si="34"/>
        <v/>
      </c>
      <c r="B139" s="54"/>
      <c r="C139" s="54"/>
      <c r="D139" s="54"/>
      <c r="E139" s="54"/>
      <c r="F139" s="54"/>
      <c r="G139" s="54"/>
      <c r="H139" s="54"/>
      <c r="I139" s="54"/>
      <c r="J139" s="54"/>
      <c r="K139" s="54"/>
      <c r="L139" s="54"/>
      <c r="M139" s="54"/>
      <c r="N139" s="55"/>
      <c r="P139" s="65" t="str">
        <f t="shared" si="31"/>
        <v/>
      </c>
      <c r="Q139" s="54"/>
      <c r="R139" s="54"/>
      <c r="S139" s="54"/>
      <c r="T139" s="54"/>
      <c r="U139" s="54"/>
      <c r="V139" s="54"/>
      <c r="W139" s="54"/>
      <c r="X139" s="54"/>
      <c r="Y139" s="54"/>
      <c r="Z139" s="54"/>
      <c r="AA139" s="54"/>
      <c r="AB139" s="54"/>
      <c r="AC139" s="55"/>
      <c r="AE139" s="65" t="str">
        <f t="shared" si="32"/>
        <v/>
      </c>
      <c r="AF139" s="54"/>
      <c r="AG139" s="54"/>
      <c r="AH139" s="54"/>
      <c r="AI139" s="54"/>
      <c r="AJ139" s="54"/>
      <c r="AK139" s="54"/>
      <c r="AL139" s="54"/>
      <c r="AM139" s="54"/>
      <c r="AN139" s="54"/>
      <c r="AO139" s="54"/>
      <c r="AP139" s="54"/>
      <c r="AQ139" s="54"/>
      <c r="AR139" s="55"/>
      <c r="AS139" s="40"/>
      <c r="AT139" s="65" t="str">
        <f t="shared" si="33"/>
        <v/>
      </c>
      <c r="AU139" s="69"/>
      <c r="AV139" s="69"/>
      <c r="AW139" s="69"/>
    </row>
    <row r="140" spans="1:49" s="38" customFormat="1" ht="15" hidden="1" customHeight="1" x14ac:dyDescent="0.2">
      <c r="A140" s="82" t="str">
        <f t="shared" si="34"/>
        <v/>
      </c>
      <c r="B140" s="54"/>
      <c r="C140" s="54"/>
      <c r="D140" s="54"/>
      <c r="E140" s="54"/>
      <c r="F140" s="54"/>
      <c r="G140" s="54"/>
      <c r="H140" s="54"/>
      <c r="I140" s="54"/>
      <c r="J140" s="54"/>
      <c r="K140" s="54"/>
      <c r="L140" s="54"/>
      <c r="M140" s="54"/>
      <c r="N140" s="55"/>
      <c r="P140" s="65" t="str">
        <f t="shared" si="31"/>
        <v/>
      </c>
      <c r="Q140" s="54"/>
      <c r="R140" s="54"/>
      <c r="S140" s="54"/>
      <c r="T140" s="54"/>
      <c r="U140" s="54"/>
      <c r="V140" s="54"/>
      <c r="W140" s="54"/>
      <c r="X140" s="54"/>
      <c r="Y140" s="54"/>
      <c r="Z140" s="54"/>
      <c r="AA140" s="54"/>
      <c r="AB140" s="54"/>
      <c r="AC140" s="55"/>
      <c r="AE140" s="65" t="str">
        <f t="shared" si="32"/>
        <v/>
      </c>
      <c r="AF140" s="54"/>
      <c r="AG140" s="54"/>
      <c r="AH140" s="54"/>
      <c r="AI140" s="54"/>
      <c r="AJ140" s="54"/>
      <c r="AK140" s="54"/>
      <c r="AL140" s="54"/>
      <c r="AM140" s="54"/>
      <c r="AN140" s="54"/>
      <c r="AO140" s="54"/>
      <c r="AP140" s="54"/>
      <c r="AQ140" s="54"/>
      <c r="AR140" s="55"/>
      <c r="AS140" s="40"/>
      <c r="AT140" s="65" t="str">
        <f t="shared" si="33"/>
        <v/>
      </c>
      <c r="AU140" s="69"/>
      <c r="AV140" s="69"/>
      <c r="AW140" s="69"/>
    </row>
    <row r="141" spans="1:49" s="38" customFormat="1" ht="9.6" customHeight="1" x14ac:dyDescent="0.2">
      <c r="N141" s="40"/>
      <c r="AC141" s="40"/>
      <c r="AR141" s="40"/>
      <c r="AU141" s="40"/>
      <c r="AV141" s="40"/>
      <c r="AW141" s="40"/>
    </row>
    <row r="142" spans="1:49" s="31" customFormat="1" ht="15" customHeight="1" x14ac:dyDescent="0.2">
      <c r="A142" s="41" t="s">
        <v>25</v>
      </c>
      <c r="B142" s="43" t="s">
        <v>27</v>
      </c>
      <c r="C142" s="38"/>
      <c r="D142" s="38"/>
      <c r="E142" s="38"/>
      <c r="F142" s="38"/>
      <c r="G142" s="38"/>
      <c r="H142" s="38"/>
      <c r="I142" s="38"/>
      <c r="J142" s="38"/>
      <c r="K142" s="38"/>
      <c r="L142" s="38"/>
      <c r="M142" s="38"/>
      <c r="N142" s="42" t="s">
        <v>26</v>
      </c>
      <c r="P142" s="41" t="s">
        <v>25</v>
      </c>
      <c r="Q142" s="43"/>
      <c r="R142" s="38"/>
      <c r="S142" s="38"/>
      <c r="T142" s="38"/>
      <c r="U142" s="38"/>
      <c r="V142" s="38"/>
      <c r="W142" s="38"/>
      <c r="X142" s="38"/>
      <c r="Y142" s="38"/>
      <c r="Z142" s="38"/>
      <c r="AA142" s="38"/>
      <c r="AB142" s="38"/>
      <c r="AC142" s="42" t="s">
        <v>26</v>
      </c>
      <c r="AE142" s="41" t="s">
        <v>25</v>
      </c>
      <c r="AF142" s="43"/>
      <c r="AG142" s="38"/>
      <c r="AH142" s="38"/>
      <c r="AI142" s="38"/>
      <c r="AJ142" s="38"/>
      <c r="AK142" s="38"/>
      <c r="AL142" s="38"/>
      <c r="AM142" s="38"/>
      <c r="AN142" s="38"/>
      <c r="AO142" s="38"/>
      <c r="AP142" s="38"/>
      <c r="AQ142" s="38"/>
      <c r="AR142" s="42" t="s">
        <v>26</v>
      </c>
      <c r="AT142" s="41" t="s">
        <v>25</v>
      </c>
      <c r="AU142" s="40" t="s">
        <v>22</v>
      </c>
      <c r="AV142" s="40" t="s">
        <v>22</v>
      </c>
      <c r="AW142" s="40" t="s">
        <v>22</v>
      </c>
    </row>
    <row r="143" spans="1:49" s="31" customFormat="1" ht="15" customHeight="1" x14ac:dyDescent="0.2">
      <c r="A143" s="82" t="str">
        <f>IF(A7=0,"",A7)</f>
        <v>Product 1</v>
      </c>
      <c r="B143" s="77">
        <f t="shared" ref="B143:M145" si="36">B34-B116</f>
        <v>15.489999999999998</v>
      </c>
      <c r="C143" s="77">
        <f t="shared" si="36"/>
        <v>15.489999999999998</v>
      </c>
      <c r="D143" s="77">
        <f t="shared" si="36"/>
        <v>15.489999999999998</v>
      </c>
      <c r="E143" s="77">
        <f t="shared" si="36"/>
        <v>15.489999999999998</v>
      </c>
      <c r="F143" s="77">
        <f t="shared" si="36"/>
        <v>15.489999999999998</v>
      </c>
      <c r="G143" s="77">
        <f t="shared" si="36"/>
        <v>15.489999999999998</v>
      </c>
      <c r="H143" s="77">
        <f t="shared" si="36"/>
        <v>15.489999999999998</v>
      </c>
      <c r="I143" s="77">
        <f t="shared" si="36"/>
        <v>15.489999999999998</v>
      </c>
      <c r="J143" s="77">
        <f t="shared" si="36"/>
        <v>15.489999999999998</v>
      </c>
      <c r="K143" s="77">
        <f t="shared" si="36"/>
        <v>15.989999999999998</v>
      </c>
      <c r="L143" s="77">
        <f t="shared" si="36"/>
        <v>15.989999999999998</v>
      </c>
      <c r="M143" s="77">
        <f t="shared" si="36"/>
        <v>15.989999999999998</v>
      </c>
      <c r="N143" s="57">
        <f>AVERAGE(B143:M143)</f>
        <v>15.615</v>
      </c>
      <c r="P143" s="65" t="str">
        <f t="shared" ref="P143:P167" si="37">IF(A7=0,"",A7)</f>
        <v>Product 1</v>
      </c>
      <c r="Q143" s="77">
        <f t="shared" ref="Q143:AB145" si="38">Q34-Q116</f>
        <v>15.989999999999998</v>
      </c>
      <c r="R143" s="77">
        <f t="shared" si="38"/>
        <v>15.989999999999998</v>
      </c>
      <c r="S143" s="77">
        <f t="shared" si="38"/>
        <v>15.489999999999998</v>
      </c>
      <c r="T143" s="77">
        <f t="shared" si="38"/>
        <v>15.489999999999998</v>
      </c>
      <c r="U143" s="77">
        <f t="shared" si="38"/>
        <v>15.489999999999998</v>
      </c>
      <c r="V143" s="77">
        <f t="shared" si="38"/>
        <v>15.989999999999998</v>
      </c>
      <c r="W143" s="77">
        <f t="shared" si="38"/>
        <v>15.989999999999998</v>
      </c>
      <c r="X143" s="77">
        <f t="shared" si="38"/>
        <v>15.989999999999998</v>
      </c>
      <c r="Y143" s="77">
        <f t="shared" si="38"/>
        <v>15.989999999999998</v>
      </c>
      <c r="Z143" s="77">
        <f t="shared" si="38"/>
        <v>15.989999999999998</v>
      </c>
      <c r="AA143" s="77">
        <f t="shared" si="38"/>
        <v>16.239999999999998</v>
      </c>
      <c r="AB143" s="77">
        <f t="shared" si="38"/>
        <v>16.239999999999998</v>
      </c>
      <c r="AC143" s="57">
        <f>AVERAGE(Q143:AB143)</f>
        <v>15.906666666666666</v>
      </c>
      <c r="AE143" s="65" t="str">
        <f t="shared" ref="AE143:AE167" si="39">IF(A7=0,"",A7)</f>
        <v>Product 1</v>
      </c>
      <c r="AF143" s="77">
        <f t="shared" ref="AF143:AQ145" si="40">AF34-AF116</f>
        <v>16.239999999999998</v>
      </c>
      <c r="AG143" s="77">
        <f t="shared" si="40"/>
        <v>16.239999999999998</v>
      </c>
      <c r="AH143" s="77">
        <f t="shared" si="40"/>
        <v>15.989999999999998</v>
      </c>
      <c r="AI143" s="77">
        <f t="shared" si="40"/>
        <v>15.989999999999998</v>
      </c>
      <c r="AJ143" s="77">
        <f t="shared" si="40"/>
        <v>15.989999999999998</v>
      </c>
      <c r="AK143" s="77">
        <f t="shared" si="40"/>
        <v>16.239999999999998</v>
      </c>
      <c r="AL143" s="77">
        <f t="shared" si="40"/>
        <v>16.239999999999998</v>
      </c>
      <c r="AM143" s="77">
        <f t="shared" si="40"/>
        <v>16.239999999999998</v>
      </c>
      <c r="AN143" s="77">
        <f t="shared" si="40"/>
        <v>16.239999999999998</v>
      </c>
      <c r="AO143" s="77">
        <f t="shared" si="40"/>
        <v>16.489999999999998</v>
      </c>
      <c r="AP143" s="77">
        <f t="shared" si="40"/>
        <v>16.489999999999998</v>
      </c>
      <c r="AQ143" s="77">
        <f t="shared" si="40"/>
        <v>16.489999999999998</v>
      </c>
      <c r="AR143" s="57">
        <f>AVERAGE(AF143:AQ143)</f>
        <v>16.240000000000002</v>
      </c>
      <c r="AT143" s="65" t="str">
        <f t="shared" ref="AT143:AT167" si="41">IF(A7=0,"",A7)</f>
        <v>Product 1</v>
      </c>
      <c r="AU143" s="67">
        <f>AC143-N143</f>
        <v>0.29166666666666607</v>
      </c>
      <c r="AV143" s="67">
        <f>AQ143-N143</f>
        <v>0.87499999999999822</v>
      </c>
      <c r="AW143" s="67">
        <f>AR143-AC143</f>
        <v>0.3333333333333357</v>
      </c>
    </row>
    <row r="144" spans="1:49" s="31" customFormat="1" ht="15" customHeight="1" x14ac:dyDescent="0.2">
      <c r="A144" s="82" t="str">
        <f t="shared" ref="A144:A167" si="42">IF(A8=0,"",A8)</f>
        <v>Product 2</v>
      </c>
      <c r="B144" s="77">
        <f t="shared" si="36"/>
        <v>11.89</v>
      </c>
      <c r="C144" s="77">
        <f t="shared" si="36"/>
        <v>11.89</v>
      </c>
      <c r="D144" s="77">
        <f t="shared" si="36"/>
        <v>11.89</v>
      </c>
      <c r="E144" s="77">
        <f>E35-E117</f>
        <v>11.89</v>
      </c>
      <c r="F144" s="77">
        <f t="shared" si="36"/>
        <v>11.89</v>
      </c>
      <c r="G144" s="77">
        <f t="shared" si="36"/>
        <v>11.89</v>
      </c>
      <c r="H144" s="77">
        <f t="shared" si="36"/>
        <v>11.89</v>
      </c>
      <c r="I144" s="77">
        <f t="shared" si="36"/>
        <v>11.89</v>
      </c>
      <c r="J144" s="77">
        <f t="shared" si="36"/>
        <v>11.89</v>
      </c>
      <c r="K144" s="77">
        <f t="shared" si="36"/>
        <v>11.89</v>
      </c>
      <c r="L144" s="77">
        <f t="shared" si="36"/>
        <v>11.89</v>
      </c>
      <c r="M144" s="77">
        <f t="shared" si="36"/>
        <v>11.89</v>
      </c>
      <c r="N144" s="57">
        <f>AVERAGE(B144:M144)</f>
        <v>11.89</v>
      </c>
      <c r="P144" s="65" t="str">
        <f t="shared" si="37"/>
        <v>Product 2</v>
      </c>
      <c r="Q144" s="77">
        <f t="shared" si="38"/>
        <v>11.89</v>
      </c>
      <c r="R144" s="77">
        <f t="shared" si="38"/>
        <v>11.89</v>
      </c>
      <c r="S144" s="77">
        <f t="shared" si="38"/>
        <v>11.89</v>
      </c>
      <c r="T144" s="77">
        <f t="shared" si="38"/>
        <v>11.89</v>
      </c>
      <c r="U144" s="77">
        <f t="shared" si="38"/>
        <v>11.89</v>
      </c>
      <c r="V144" s="77">
        <f t="shared" si="38"/>
        <v>11.89</v>
      </c>
      <c r="W144" s="77">
        <f t="shared" si="38"/>
        <v>11.89</v>
      </c>
      <c r="X144" s="77">
        <f t="shared" si="38"/>
        <v>11.89</v>
      </c>
      <c r="Y144" s="77">
        <f t="shared" si="38"/>
        <v>11.89</v>
      </c>
      <c r="Z144" s="77">
        <f t="shared" si="38"/>
        <v>12.09</v>
      </c>
      <c r="AA144" s="77">
        <f t="shared" si="38"/>
        <v>12.09</v>
      </c>
      <c r="AB144" s="77">
        <f t="shared" si="38"/>
        <v>12.09</v>
      </c>
      <c r="AC144" s="57">
        <f>AVERAGE(Q144:AB144)</f>
        <v>11.94</v>
      </c>
      <c r="AE144" s="65" t="str">
        <f t="shared" si="39"/>
        <v>Product 2</v>
      </c>
      <c r="AF144" s="77">
        <f t="shared" si="40"/>
        <v>12.09</v>
      </c>
      <c r="AG144" s="77">
        <f t="shared" si="40"/>
        <v>11.89</v>
      </c>
      <c r="AH144" s="77">
        <f t="shared" si="40"/>
        <v>11.89</v>
      </c>
      <c r="AI144" s="77">
        <f t="shared" si="40"/>
        <v>11.89</v>
      </c>
      <c r="AJ144" s="77">
        <f t="shared" si="40"/>
        <v>11.89</v>
      </c>
      <c r="AK144" s="77">
        <f t="shared" si="40"/>
        <v>11.89</v>
      </c>
      <c r="AL144" s="77">
        <f t="shared" si="40"/>
        <v>11.89</v>
      </c>
      <c r="AM144" s="77">
        <f t="shared" si="40"/>
        <v>11.89</v>
      </c>
      <c r="AN144" s="77">
        <f t="shared" si="40"/>
        <v>12.09</v>
      </c>
      <c r="AO144" s="77">
        <f t="shared" si="40"/>
        <v>12.09</v>
      </c>
      <c r="AP144" s="77">
        <f t="shared" si="40"/>
        <v>12.14</v>
      </c>
      <c r="AQ144" s="77">
        <f t="shared" si="40"/>
        <v>12.14</v>
      </c>
      <c r="AR144" s="57">
        <f>AVERAGE(AF144:AQ144)</f>
        <v>11.981666666666669</v>
      </c>
      <c r="AT144" s="65" t="str">
        <f t="shared" si="41"/>
        <v>Product 2</v>
      </c>
      <c r="AU144" s="67">
        <f>AC144-N144</f>
        <v>4.9999999999998934E-2</v>
      </c>
      <c r="AV144" s="67">
        <f t="shared" ref="AV144:AV145" si="43">AQ144-N144</f>
        <v>0.25</v>
      </c>
      <c r="AW144" s="67">
        <f>AR144-AC144</f>
        <v>4.1666666666669627E-2</v>
      </c>
    </row>
    <row r="145" spans="1:49" s="31" customFormat="1" ht="15" customHeight="1" x14ac:dyDescent="0.2">
      <c r="A145" s="82" t="str">
        <f t="shared" si="42"/>
        <v>Product 3</v>
      </c>
      <c r="B145" s="77">
        <f t="shared" si="36"/>
        <v>48.440000000000005</v>
      </c>
      <c r="C145" s="77">
        <f t="shared" si="36"/>
        <v>48.440000000000005</v>
      </c>
      <c r="D145" s="77">
        <f t="shared" si="36"/>
        <v>48.440000000000005</v>
      </c>
      <c r="E145" s="77">
        <f t="shared" si="36"/>
        <v>48.440000000000005</v>
      </c>
      <c r="F145" s="77">
        <f t="shared" si="36"/>
        <v>48.440000000000005</v>
      </c>
      <c r="G145" s="77">
        <f t="shared" si="36"/>
        <v>48.440000000000005</v>
      </c>
      <c r="H145" s="77">
        <f t="shared" si="36"/>
        <v>48.440000000000005</v>
      </c>
      <c r="I145" s="77">
        <f t="shared" si="36"/>
        <v>48.440000000000005</v>
      </c>
      <c r="J145" s="77">
        <f t="shared" si="36"/>
        <v>48.440000000000005</v>
      </c>
      <c r="K145" s="77">
        <f t="shared" si="36"/>
        <v>48.440000000000005</v>
      </c>
      <c r="L145" s="77">
        <f t="shared" si="36"/>
        <v>48.440000000000005</v>
      </c>
      <c r="M145" s="77">
        <f t="shared" si="36"/>
        <v>48.440000000000005</v>
      </c>
      <c r="N145" s="57">
        <f>AVERAGE(B145:M145)</f>
        <v>48.440000000000005</v>
      </c>
      <c r="P145" s="65" t="str">
        <f t="shared" si="37"/>
        <v>Product 3</v>
      </c>
      <c r="Q145" s="77">
        <f t="shared" si="38"/>
        <v>53.440000000000005</v>
      </c>
      <c r="R145" s="77">
        <f t="shared" si="38"/>
        <v>53.440000000000005</v>
      </c>
      <c r="S145" s="77">
        <f t="shared" si="38"/>
        <v>53.440000000000005</v>
      </c>
      <c r="T145" s="77">
        <f t="shared" si="38"/>
        <v>53.440000000000005</v>
      </c>
      <c r="U145" s="77">
        <f t="shared" si="38"/>
        <v>53.440000000000005</v>
      </c>
      <c r="V145" s="77">
        <f t="shared" si="38"/>
        <v>53.440000000000005</v>
      </c>
      <c r="W145" s="77">
        <f t="shared" si="38"/>
        <v>53.89</v>
      </c>
      <c r="X145" s="77">
        <f t="shared" si="38"/>
        <v>53.440000000000005</v>
      </c>
      <c r="Y145" s="77">
        <f t="shared" si="38"/>
        <v>53.440000000000005</v>
      </c>
      <c r="Z145" s="77">
        <f t="shared" si="38"/>
        <v>53.440000000000005</v>
      </c>
      <c r="AA145" s="77">
        <f t="shared" si="38"/>
        <v>53.440000000000005</v>
      </c>
      <c r="AB145" s="77">
        <f t="shared" si="38"/>
        <v>53.440000000000005</v>
      </c>
      <c r="AC145" s="57">
        <f>AVERAGE(Q145:AB145)</f>
        <v>53.477500000000013</v>
      </c>
      <c r="AE145" s="65" t="str">
        <f t="shared" si="39"/>
        <v>Product 3</v>
      </c>
      <c r="AF145" s="77">
        <f t="shared" si="40"/>
        <v>58.440000000000005</v>
      </c>
      <c r="AG145" s="77">
        <f t="shared" si="40"/>
        <v>58.440000000000005</v>
      </c>
      <c r="AH145" s="77">
        <f t="shared" si="40"/>
        <v>58.440000000000005</v>
      </c>
      <c r="AI145" s="77">
        <f t="shared" si="40"/>
        <v>58.440000000000005</v>
      </c>
      <c r="AJ145" s="77">
        <f t="shared" si="40"/>
        <v>58.89</v>
      </c>
      <c r="AK145" s="77">
        <f t="shared" si="40"/>
        <v>58.89</v>
      </c>
      <c r="AL145" s="77">
        <f t="shared" si="40"/>
        <v>58.89</v>
      </c>
      <c r="AM145" s="77">
        <f t="shared" si="40"/>
        <v>58.89</v>
      </c>
      <c r="AN145" s="77">
        <f t="shared" si="40"/>
        <v>58.89</v>
      </c>
      <c r="AO145" s="77">
        <f t="shared" si="40"/>
        <v>58.440000000000005</v>
      </c>
      <c r="AP145" s="77">
        <f t="shared" si="40"/>
        <v>58.440000000000005</v>
      </c>
      <c r="AQ145" s="77">
        <f t="shared" si="40"/>
        <v>58.440000000000005</v>
      </c>
      <c r="AR145" s="57">
        <f>AVERAGE(AF145:AQ145)</f>
        <v>58.627500000000019</v>
      </c>
      <c r="AT145" s="65" t="str">
        <f t="shared" si="41"/>
        <v>Product 3</v>
      </c>
      <c r="AU145" s="67">
        <f>AC145-N145</f>
        <v>5.0375000000000085</v>
      </c>
      <c r="AV145" s="67">
        <f t="shared" si="43"/>
        <v>10</v>
      </c>
      <c r="AW145" s="67">
        <f>AR145-AC145</f>
        <v>5.1500000000000057</v>
      </c>
    </row>
    <row r="146" spans="1:49" s="31" customFormat="1" ht="15" hidden="1" customHeight="1" x14ac:dyDescent="0.2">
      <c r="A146" s="82" t="str">
        <f t="shared" si="42"/>
        <v/>
      </c>
      <c r="B146" s="77"/>
      <c r="C146" s="77"/>
      <c r="D146" s="77"/>
      <c r="E146" s="77"/>
      <c r="F146" s="77"/>
      <c r="G146" s="77"/>
      <c r="H146" s="77"/>
      <c r="I146" s="77"/>
      <c r="J146" s="77"/>
      <c r="K146" s="77"/>
      <c r="L146" s="77"/>
      <c r="M146" s="77"/>
      <c r="N146" s="57"/>
      <c r="P146" s="65" t="str">
        <f t="shared" si="37"/>
        <v/>
      </c>
      <c r="Q146" s="77"/>
      <c r="R146" s="77"/>
      <c r="S146" s="77"/>
      <c r="T146" s="77"/>
      <c r="U146" s="77"/>
      <c r="V146" s="77"/>
      <c r="W146" s="77"/>
      <c r="X146" s="77"/>
      <c r="Y146" s="77"/>
      <c r="Z146" s="77"/>
      <c r="AA146" s="77"/>
      <c r="AB146" s="77"/>
      <c r="AC146" s="57"/>
      <c r="AE146" s="65" t="str">
        <f t="shared" si="39"/>
        <v/>
      </c>
      <c r="AF146" s="77"/>
      <c r="AG146" s="77"/>
      <c r="AH146" s="77"/>
      <c r="AI146" s="77"/>
      <c r="AJ146" s="77"/>
      <c r="AK146" s="77"/>
      <c r="AL146" s="77"/>
      <c r="AM146" s="77"/>
      <c r="AN146" s="77"/>
      <c r="AO146" s="77"/>
      <c r="AP146" s="77"/>
      <c r="AQ146" s="77"/>
      <c r="AR146" s="57"/>
      <c r="AT146" s="65" t="str">
        <f t="shared" si="41"/>
        <v/>
      </c>
      <c r="AU146" s="67"/>
      <c r="AV146" s="67"/>
      <c r="AW146" s="67"/>
    </row>
    <row r="147" spans="1:49" s="31" customFormat="1" ht="15" hidden="1" customHeight="1" x14ac:dyDescent="0.2">
      <c r="A147" s="82" t="str">
        <f t="shared" si="42"/>
        <v/>
      </c>
      <c r="B147" s="77"/>
      <c r="C147" s="77"/>
      <c r="D147" s="77"/>
      <c r="E147" s="77"/>
      <c r="F147" s="77"/>
      <c r="G147" s="77"/>
      <c r="H147" s="77"/>
      <c r="I147" s="77"/>
      <c r="J147" s="77"/>
      <c r="K147" s="77"/>
      <c r="L147" s="77"/>
      <c r="M147" s="77"/>
      <c r="N147" s="57"/>
      <c r="P147" s="65" t="str">
        <f t="shared" si="37"/>
        <v/>
      </c>
      <c r="Q147" s="77"/>
      <c r="R147" s="77"/>
      <c r="S147" s="77"/>
      <c r="T147" s="77"/>
      <c r="U147" s="77"/>
      <c r="V147" s="77"/>
      <c r="W147" s="77"/>
      <c r="X147" s="77"/>
      <c r="Y147" s="77"/>
      <c r="Z147" s="77"/>
      <c r="AA147" s="77"/>
      <c r="AB147" s="77"/>
      <c r="AC147" s="57"/>
      <c r="AE147" s="65" t="str">
        <f t="shared" si="39"/>
        <v/>
      </c>
      <c r="AF147" s="77"/>
      <c r="AG147" s="77"/>
      <c r="AH147" s="77"/>
      <c r="AI147" s="77"/>
      <c r="AJ147" s="77"/>
      <c r="AK147" s="77"/>
      <c r="AL147" s="77"/>
      <c r="AM147" s="77"/>
      <c r="AN147" s="77"/>
      <c r="AO147" s="77"/>
      <c r="AP147" s="77"/>
      <c r="AQ147" s="77"/>
      <c r="AR147" s="57"/>
      <c r="AT147" s="65" t="str">
        <f t="shared" si="41"/>
        <v/>
      </c>
      <c r="AU147" s="67"/>
      <c r="AV147" s="67"/>
      <c r="AW147" s="67"/>
    </row>
    <row r="148" spans="1:49" s="31" customFormat="1" ht="15" hidden="1" customHeight="1" x14ac:dyDescent="0.2">
      <c r="A148" s="82" t="str">
        <f t="shared" si="42"/>
        <v/>
      </c>
      <c r="B148" s="77"/>
      <c r="C148" s="77"/>
      <c r="D148" s="77"/>
      <c r="E148" s="77"/>
      <c r="F148" s="77"/>
      <c r="G148" s="77"/>
      <c r="H148" s="77"/>
      <c r="I148" s="77"/>
      <c r="J148" s="77"/>
      <c r="K148" s="77"/>
      <c r="L148" s="77"/>
      <c r="M148" s="77"/>
      <c r="N148" s="57"/>
      <c r="P148" s="65" t="str">
        <f t="shared" si="37"/>
        <v/>
      </c>
      <c r="Q148" s="77"/>
      <c r="R148" s="77"/>
      <c r="S148" s="77"/>
      <c r="T148" s="77"/>
      <c r="U148" s="77"/>
      <c r="V148" s="77"/>
      <c r="W148" s="77"/>
      <c r="X148" s="77"/>
      <c r="Y148" s="77"/>
      <c r="Z148" s="77"/>
      <c r="AA148" s="77"/>
      <c r="AB148" s="77"/>
      <c r="AC148" s="57"/>
      <c r="AE148" s="65" t="str">
        <f t="shared" si="39"/>
        <v/>
      </c>
      <c r="AF148" s="77"/>
      <c r="AG148" s="77"/>
      <c r="AH148" s="77"/>
      <c r="AI148" s="77"/>
      <c r="AJ148" s="77"/>
      <c r="AK148" s="77"/>
      <c r="AL148" s="77"/>
      <c r="AM148" s="77"/>
      <c r="AN148" s="77"/>
      <c r="AO148" s="77"/>
      <c r="AP148" s="77"/>
      <c r="AQ148" s="77"/>
      <c r="AR148" s="57"/>
      <c r="AT148" s="65" t="str">
        <f t="shared" si="41"/>
        <v/>
      </c>
      <c r="AU148" s="67"/>
      <c r="AV148" s="67"/>
      <c r="AW148" s="67"/>
    </row>
    <row r="149" spans="1:49" s="31" customFormat="1" ht="15" hidden="1" customHeight="1" x14ac:dyDescent="0.2">
      <c r="A149" s="82" t="str">
        <f t="shared" si="42"/>
        <v/>
      </c>
      <c r="B149" s="77"/>
      <c r="C149" s="77"/>
      <c r="D149" s="77"/>
      <c r="E149" s="77"/>
      <c r="F149" s="77"/>
      <c r="G149" s="77"/>
      <c r="H149" s="77"/>
      <c r="I149" s="77"/>
      <c r="J149" s="77"/>
      <c r="K149" s="77"/>
      <c r="L149" s="77"/>
      <c r="M149" s="77"/>
      <c r="N149" s="57"/>
      <c r="P149" s="65" t="str">
        <f t="shared" si="37"/>
        <v/>
      </c>
      <c r="Q149" s="77"/>
      <c r="R149" s="77"/>
      <c r="S149" s="77"/>
      <c r="T149" s="77"/>
      <c r="U149" s="77"/>
      <c r="V149" s="77"/>
      <c r="W149" s="77"/>
      <c r="X149" s="77"/>
      <c r="Y149" s="77"/>
      <c r="Z149" s="77"/>
      <c r="AA149" s="77"/>
      <c r="AB149" s="77"/>
      <c r="AC149" s="57"/>
      <c r="AE149" s="65" t="str">
        <f t="shared" si="39"/>
        <v/>
      </c>
      <c r="AF149" s="77"/>
      <c r="AG149" s="77"/>
      <c r="AH149" s="77"/>
      <c r="AI149" s="77"/>
      <c r="AJ149" s="77"/>
      <c r="AK149" s="77"/>
      <c r="AL149" s="77"/>
      <c r="AM149" s="77"/>
      <c r="AN149" s="77"/>
      <c r="AO149" s="77"/>
      <c r="AP149" s="77"/>
      <c r="AQ149" s="77"/>
      <c r="AR149" s="57"/>
      <c r="AT149" s="65" t="str">
        <f t="shared" si="41"/>
        <v/>
      </c>
      <c r="AU149" s="67"/>
      <c r="AV149" s="67"/>
      <c r="AW149" s="67"/>
    </row>
    <row r="150" spans="1:49" s="31" customFormat="1" ht="15" hidden="1" customHeight="1" x14ac:dyDescent="0.2">
      <c r="A150" s="82" t="str">
        <f t="shared" si="42"/>
        <v/>
      </c>
      <c r="B150" s="77"/>
      <c r="C150" s="77"/>
      <c r="D150" s="77"/>
      <c r="E150" s="77"/>
      <c r="F150" s="77"/>
      <c r="G150" s="77"/>
      <c r="H150" s="77"/>
      <c r="I150" s="77"/>
      <c r="J150" s="77"/>
      <c r="K150" s="77"/>
      <c r="L150" s="77"/>
      <c r="M150" s="77"/>
      <c r="N150" s="57"/>
      <c r="P150" s="65" t="str">
        <f t="shared" si="37"/>
        <v/>
      </c>
      <c r="Q150" s="77"/>
      <c r="R150" s="77"/>
      <c r="S150" s="77"/>
      <c r="T150" s="77"/>
      <c r="U150" s="77"/>
      <c r="V150" s="77"/>
      <c r="W150" s="77"/>
      <c r="X150" s="77"/>
      <c r="Y150" s="77"/>
      <c r="Z150" s="77"/>
      <c r="AA150" s="77"/>
      <c r="AB150" s="77"/>
      <c r="AC150" s="57"/>
      <c r="AE150" s="65" t="str">
        <f t="shared" si="39"/>
        <v/>
      </c>
      <c r="AF150" s="77"/>
      <c r="AG150" s="77"/>
      <c r="AH150" s="77"/>
      <c r="AI150" s="77"/>
      <c r="AJ150" s="77"/>
      <c r="AK150" s="77"/>
      <c r="AL150" s="77"/>
      <c r="AM150" s="77"/>
      <c r="AN150" s="77"/>
      <c r="AO150" s="77"/>
      <c r="AP150" s="77"/>
      <c r="AQ150" s="77"/>
      <c r="AR150" s="57"/>
      <c r="AT150" s="65" t="str">
        <f t="shared" si="41"/>
        <v/>
      </c>
      <c r="AU150" s="67"/>
      <c r="AV150" s="67"/>
      <c r="AW150" s="67"/>
    </row>
    <row r="151" spans="1:49" s="31" customFormat="1" ht="15" hidden="1" customHeight="1" x14ac:dyDescent="0.2">
      <c r="A151" s="82" t="str">
        <f t="shared" si="42"/>
        <v/>
      </c>
      <c r="B151" s="77"/>
      <c r="C151" s="77"/>
      <c r="D151" s="77"/>
      <c r="E151" s="77"/>
      <c r="F151" s="77"/>
      <c r="G151" s="77"/>
      <c r="H151" s="77"/>
      <c r="I151" s="77"/>
      <c r="J151" s="77"/>
      <c r="K151" s="77"/>
      <c r="L151" s="77"/>
      <c r="M151" s="77"/>
      <c r="N151" s="57"/>
      <c r="P151" s="65" t="str">
        <f t="shared" si="37"/>
        <v/>
      </c>
      <c r="Q151" s="77"/>
      <c r="R151" s="77"/>
      <c r="S151" s="77"/>
      <c r="T151" s="77"/>
      <c r="U151" s="77"/>
      <c r="V151" s="77"/>
      <c r="W151" s="77"/>
      <c r="X151" s="77"/>
      <c r="Y151" s="77"/>
      <c r="Z151" s="77"/>
      <c r="AA151" s="77"/>
      <c r="AB151" s="77"/>
      <c r="AC151" s="57"/>
      <c r="AE151" s="65" t="str">
        <f t="shared" si="39"/>
        <v/>
      </c>
      <c r="AF151" s="77"/>
      <c r="AG151" s="77"/>
      <c r="AH151" s="77"/>
      <c r="AI151" s="77"/>
      <c r="AJ151" s="77"/>
      <c r="AK151" s="77"/>
      <c r="AL151" s="77"/>
      <c r="AM151" s="77"/>
      <c r="AN151" s="77"/>
      <c r="AO151" s="77"/>
      <c r="AP151" s="77"/>
      <c r="AQ151" s="77"/>
      <c r="AR151" s="57"/>
      <c r="AT151" s="65" t="str">
        <f t="shared" si="41"/>
        <v/>
      </c>
      <c r="AU151" s="67"/>
      <c r="AV151" s="67"/>
      <c r="AW151" s="67"/>
    </row>
    <row r="152" spans="1:49" s="31" customFormat="1" ht="15" hidden="1" customHeight="1" x14ac:dyDescent="0.2">
      <c r="A152" s="82" t="str">
        <f t="shared" si="42"/>
        <v/>
      </c>
      <c r="B152" s="77"/>
      <c r="C152" s="77"/>
      <c r="D152" s="77"/>
      <c r="E152" s="77"/>
      <c r="F152" s="77"/>
      <c r="G152" s="77"/>
      <c r="H152" s="77"/>
      <c r="I152" s="77"/>
      <c r="J152" s="77"/>
      <c r="K152" s="77"/>
      <c r="L152" s="77"/>
      <c r="M152" s="77"/>
      <c r="N152" s="57"/>
      <c r="P152" s="65" t="str">
        <f t="shared" si="37"/>
        <v/>
      </c>
      <c r="Q152" s="77"/>
      <c r="R152" s="77"/>
      <c r="S152" s="77"/>
      <c r="T152" s="77"/>
      <c r="U152" s="77"/>
      <c r="V152" s="77"/>
      <c r="W152" s="77"/>
      <c r="X152" s="77"/>
      <c r="Y152" s="77"/>
      <c r="Z152" s="77"/>
      <c r="AA152" s="77"/>
      <c r="AB152" s="77"/>
      <c r="AC152" s="57"/>
      <c r="AE152" s="65" t="str">
        <f t="shared" si="39"/>
        <v/>
      </c>
      <c r="AF152" s="77"/>
      <c r="AG152" s="77"/>
      <c r="AH152" s="77"/>
      <c r="AI152" s="77"/>
      <c r="AJ152" s="77"/>
      <c r="AK152" s="77"/>
      <c r="AL152" s="77"/>
      <c r="AM152" s="77"/>
      <c r="AN152" s="77"/>
      <c r="AO152" s="77"/>
      <c r="AP152" s="77"/>
      <c r="AQ152" s="77"/>
      <c r="AR152" s="57"/>
      <c r="AT152" s="65" t="str">
        <f t="shared" si="41"/>
        <v/>
      </c>
      <c r="AU152" s="67"/>
      <c r="AV152" s="67"/>
      <c r="AW152" s="67"/>
    </row>
    <row r="153" spans="1:49" s="31" customFormat="1" ht="15" hidden="1" customHeight="1" x14ac:dyDescent="0.2">
      <c r="A153" s="82" t="str">
        <f t="shared" si="42"/>
        <v/>
      </c>
      <c r="B153" s="77"/>
      <c r="C153" s="77"/>
      <c r="D153" s="77"/>
      <c r="E153" s="77"/>
      <c r="F153" s="77"/>
      <c r="G153" s="77"/>
      <c r="H153" s="77"/>
      <c r="I153" s="77"/>
      <c r="J153" s="77"/>
      <c r="K153" s="77"/>
      <c r="L153" s="77"/>
      <c r="M153" s="77"/>
      <c r="N153" s="57"/>
      <c r="P153" s="65" t="str">
        <f t="shared" si="37"/>
        <v/>
      </c>
      <c r="Q153" s="77"/>
      <c r="R153" s="77"/>
      <c r="S153" s="77"/>
      <c r="T153" s="77"/>
      <c r="U153" s="77"/>
      <c r="V153" s="77"/>
      <c r="W153" s="77"/>
      <c r="X153" s="77"/>
      <c r="Y153" s="77"/>
      <c r="Z153" s="77"/>
      <c r="AA153" s="77"/>
      <c r="AB153" s="77"/>
      <c r="AC153" s="57"/>
      <c r="AE153" s="65" t="str">
        <f t="shared" si="39"/>
        <v/>
      </c>
      <c r="AF153" s="77"/>
      <c r="AG153" s="77"/>
      <c r="AH153" s="77"/>
      <c r="AI153" s="77"/>
      <c r="AJ153" s="77"/>
      <c r="AK153" s="77"/>
      <c r="AL153" s="77"/>
      <c r="AM153" s="77"/>
      <c r="AN153" s="77"/>
      <c r="AO153" s="77"/>
      <c r="AP153" s="77"/>
      <c r="AQ153" s="77"/>
      <c r="AR153" s="57"/>
      <c r="AT153" s="65" t="str">
        <f t="shared" si="41"/>
        <v/>
      </c>
      <c r="AU153" s="67"/>
      <c r="AV153" s="67"/>
      <c r="AW153" s="67"/>
    </row>
    <row r="154" spans="1:49" s="31" customFormat="1" ht="15" hidden="1" customHeight="1" x14ac:dyDescent="0.2">
      <c r="A154" s="82" t="str">
        <f t="shared" si="42"/>
        <v/>
      </c>
      <c r="B154" s="77"/>
      <c r="C154" s="77"/>
      <c r="D154" s="77"/>
      <c r="E154" s="77"/>
      <c r="F154" s="77"/>
      <c r="G154" s="77"/>
      <c r="H154" s="77"/>
      <c r="I154" s="77"/>
      <c r="J154" s="77"/>
      <c r="K154" s="77"/>
      <c r="L154" s="77"/>
      <c r="M154" s="77"/>
      <c r="N154" s="57"/>
      <c r="P154" s="65" t="str">
        <f t="shared" si="37"/>
        <v/>
      </c>
      <c r="Q154" s="77"/>
      <c r="R154" s="77"/>
      <c r="S154" s="77"/>
      <c r="T154" s="77"/>
      <c r="U154" s="77"/>
      <c r="V154" s="77"/>
      <c r="W154" s="77"/>
      <c r="X154" s="77"/>
      <c r="Y154" s="77"/>
      <c r="Z154" s="77"/>
      <c r="AA154" s="77"/>
      <c r="AB154" s="77"/>
      <c r="AC154" s="57"/>
      <c r="AE154" s="65" t="str">
        <f t="shared" si="39"/>
        <v/>
      </c>
      <c r="AF154" s="77"/>
      <c r="AG154" s="77"/>
      <c r="AH154" s="77"/>
      <c r="AI154" s="77"/>
      <c r="AJ154" s="77"/>
      <c r="AK154" s="77"/>
      <c r="AL154" s="77"/>
      <c r="AM154" s="77"/>
      <c r="AN154" s="77"/>
      <c r="AO154" s="77"/>
      <c r="AP154" s="77"/>
      <c r="AQ154" s="77"/>
      <c r="AR154" s="57"/>
      <c r="AT154" s="65" t="str">
        <f t="shared" si="41"/>
        <v/>
      </c>
      <c r="AU154" s="67"/>
      <c r="AV154" s="67"/>
      <c r="AW154" s="67"/>
    </row>
    <row r="155" spans="1:49" s="31" customFormat="1" ht="15" hidden="1" customHeight="1" x14ac:dyDescent="0.2">
      <c r="A155" s="82" t="str">
        <f t="shared" si="42"/>
        <v/>
      </c>
      <c r="B155" s="77"/>
      <c r="C155" s="77"/>
      <c r="D155" s="77"/>
      <c r="E155" s="77"/>
      <c r="F155" s="77"/>
      <c r="G155" s="77"/>
      <c r="H155" s="77"/>
      <c r="I155" s="77"/>
      <c r="J155" s="77"/>
      <c r="K155" s="77"/>
      <c r="L155" s="77"/>
      <c r="M155" s="77"/>
      <c r="N155" s="57"/>
      <c r="P155" s="65" t="str">
        <f t="shared" si="37"/>
        <v/>
      </c>
      <c r="Q155" s="77"/>
      <c r="R155" s="77"/>
      <c r="S155" s="77"/>
      <c r="T155" s="77"/>
      <c r="U155" s="77"/>
      <c r="V155" s="77"/>
      <c r="W155" s="77"/>
      <c r="X155" s="77"/>
      <c r="Y155" s="77"/>
      <c r="Z155" s="77"/>
      <c r="AA155" s="77"/>
      <c r="AB155" s="77"/>
      <c r="AC155" s="57"/>
      <c r="AE155" s="65" t="str">
        <f t="shared" si="39"/>
        <v/>
      </c>
      <c r="AF155" s="77"/>
      <c r="AG155" s="77"/>
      <c r="AH155" s="77"/>
      <c r="AI155" s="77"/>
      <c r="AJ155" s="77"/>
      <c r="AK155" s="77"/>
      <c r="AL155" s="77"/>
      <c r="AM155" s="77"/>
      <c r="AN155" s="77"/>
      <c r="AO155" s="77"/>
      <c r="AP155" s="77"/>
      <c r="AQ155" s="77"/>
      <c r="AR155" s="57"/>
      <c r="AT155" s="65" t="str">
        <f t="shared" si="41"/>
        <v/>
      </c>
      <c r="AU155" s="67"/>
      <c r="AV155" s="67"/>
      <c r="AW155" s="67"/>
    </row>
    <row r="156" spans="1:49" s="31" customFormat="1" ht="15" hidden="1" customHeight="1" x14ac:dyDescent="0.2">
      <c r="A156" s="82" t="str">
        <f t="shared" si="42"/>
        <v/>
      </c>
      <c r="B156" s="77"/>
      <c r="C156" s="77"/>
      <c r="D156" s="77"/>
      <c r="E156" s="77"/>
      <c r="F156" s="77"/>
      <c r="G156" s="77"/>
      <c r="H156" s="77"/>
      <c r="I156" s="77"/>
      <c r="J156" s="77"/>
      <c r="K156" s="77"/>
      <c r="L156" s="77"/>
      <c r="M156" s="77"/>
      <c r="N156" s="57"/>
      <c r="P156" s="65" t="str">
        <f t="shared" si="37"/>
        <v/>
      </c>
      <c r="Q156" s="77"/>
      <c r="R156" s="77"/>
      <c r="S156" s="77"/>
      <c r="T156" s="77"/>
      <c r="U156" s="77"/>
      <c r="V156" s="77"/>
      <c r="W156" s="77"/>
      <c r="X156" s="77"/>
      <c r="Y156" s="77"/>
      <c r="Z156" s="77"/>
      <c r="AA156" s="77"/>
      <c r="AB156" s="77"/>
      <c r="AC156" s="57"/>
      <c r="AE156" s="65" t="str">
        <f t="shared" si="39"/>
        <v/>
      </c>
      <c r="AF156" s="77"/>
      <c r="AG156" s="77"/>
      <c r="AH156" s="77"/>
      <c r="AI156" s="77"/>
      <c r="AJ156" s="77"/>
      <c r="AK156" s="77"/>
      <c r="AL156" s="77"/>
      <c r="AM156" s="77"/>
      <c r="AN156" s="77"/>
      <c r="AO156" s="77"/>
      <c r="AP156" s="77"/>
      <c r="AQ156" s="77"/>
      <c r="AR156" s="57"/>
      <c r="AT156" s="65" t="str">
        <f t="shared" si="41"/>
        <v/>
      </c>
      <c r="AU156" s="67"/>
      <c r="AV156" s="67"/>
      <c r="AW156" s="67"/>
    </row>
    <row r="157" spans="1:49" s="31" customFormat="1" ht="15" hidden="1" customHeight="1" x14ac:dyDescent="0.2">
      <c r="A157" s="82" t="str">
        <f t="shared" si="42"/>
        <v/>
      </c>
      <c r="B157" s="77"/>
      <c r="C157" s="77"/>
      <c r="D157" s="77"/>
      <c r="E157" s="77"/>
      <c r="F157" s="77"/>
      <c r="G157" s="77"/>
      <c r="H157" s="77"/>
      <c r="I157" s="77"/>
      <c r="J157" s="77"/>
      <c r="K157" s="77"/>
      <c r="L157" s="77"/>
      <c r="M157" s="77"/>
      <c r="N157" s="57"/>
      <c r="P157" s="65" t="str">
        <f t="shared" si="37"/>
        <v/>
      </c>
      <c r="Q157" s="77"/>
      <c r="R157" s="77"/>
      <c r="S157" s="77"/>
      <c r="T157" s="77"/>
      <c r="U157" s="77"/>
      <c r="V157" s="77"/>
      <c r="W157" s="77"/>
      <c r="X157" s="77"/>
      <c r="Y157" s="77"/>
      <c r="Z157" s="77"/>
      <c r="AA157" s="77"/>
      <c r="AB157" s="77"/>
      <c r="AC157" s="57"/>
      <c r="AE157" s="65" t="str">
        <f t="shared" si="39"/>
        <v/>
      </c>
      <c r="AF157" s="77"/>
      <c r="AG157" s="77"/>
      <c r="AH157" s="77"/>
      <c r="AI157" s="77"/>
      <c r="AJ157" s="77"/>
      <c r="AK157" s="77"/>
      <c r="AL157" s="77"/>
      <c r="AM157" s="77"/>
      <c r="AN157" s="77"/>
      <c r="AO157" s="77"/>
      <c r="AP157" s="77"/>
      <c r="AQ157" s="77"/>
      <c r="AR157" s="57"/>
      <c r="AT157" s="65" t="str">
        <f t="shared" si="41"/>
        <v/>
      </c>
      <c r="AU157" s="67"/>
      <c r="AV157" s="67"/>
      <c r="AW157" s="67"/>
    </row>
    <row r="158" spans="1:49" s="31" customFormat="1" ht="15" hidden="1" customHeight="1" x14ac:dyDescent="0.2">
      <c r="A158" s="82" t="str">
        <f t="shared" si="42"/>
        <v/>
      </c>
      <c r="B158" s="77"/>
      <c r="C158" s="77"/>
      <c r="D158" s="77"/>
      <c r="E158" s="77"/>
      <c r="F158" s="77"/>
      <c r="G158" s="77"/>
      <c r="H158" s="77"/>
      <c r="I158" s="77"/>
      <c r="J158" s="77"/>
      <c r="K158" s="77"/>
      <c r="L158" s="77"/>
      <c r="M158" s="77"/>
      <c r="N158" s="57"/>
      <c r="P158" s="65" t="str">
        <f t="shared" si="37"/>
        <v/>
      </c>
      <c r="Q158" s="77"/>
      <c r="R158" s="77"/>
      <c r="S158" s="77"/>
      <c r="T158" s="77"/>
      <c r="U158" s="77"/>
      <c r="V158" s="77"/>
      <c r="W158" s="77"/>
      <c r="X158" s="77"/>
      <c r="Y158" s="77"/>
      <c r="Z158" s="77"/>
      <c r="AA158" s="77"/>
      <c r="AB158" s="77"/>
      <c r="AC158" s="57"/>
      <c r="AE158" s="65" t="str">
        <f t="shared" si="39"/>
        <v/>
      </c>
      <c r="AF158" s="77"/>
      <c r="AG158" s="77"/>
      <c r="AH158" s="77"/>
      <c r="AI158" s="77"/>
      <c r="AJ158" s="77"/>
      <c r="AK158" s="77"/>
      <c r="AL158" s="77"/>
      <c r="AM158" s="77"/>
      <c r="AN158" s="77"/>
      <c r="AO158" s="77"/>
      <c r="AP158" s="77"/>
      <c r="AQ158" s="77"/>
      <c r="AR158" s="57"/>
      <c r="AT158" s="65" t="str">
        <f t="shared" si="41"/>
        <v/>
      </c>
      <c r="AU158" s="67"/>
      <c r="AV158" s="67"/>
      <c r="AW158" s="67"/>
    </row>
    <row r="159" spans="1:49" s="31" customFormat="1" ht="15" hidden="1" customHeight="1" x14ac:dyDescent="0.2">
      <c r="A159" s="82" t="str">
        <f t="shared" si="42"/>
        <v/>
      </c>
      <c r="B159" s="77"/>
      <c r="C159" s="77"/>
      <c r="D159" s="77"/>
      <c r="E159" s="77"/>
      <c r="F159" s="77"/>
      <c r="G159" s="77"/>
      <c r="H159" s="77"/>
      <c r="I159" s="77"/>
      <c r="J159" s="77"/>
      <c r="K159" s="77"/>
      <c r="L159" s="77"/>
      <c r="M159" s="77"/>
      <c r="N159" s="57"/>
      <c r="P159" s="65" t="str">
        <f t="shared" si="37"/>
        <v/>
      </c>
      <c r="Q159" s="77"/>
      <c r="R159" s="77"/>
      <c r="S159" s="77"/>
      <c r="T159" s="77"/>
      <c r="U159" s="77"/>
      <c r="V159" s="77"/>
      <c r="W159" s="77"/>
      <c r="X159" s="77"/>
      <c r="Y159" s="77"/>
      <c r="Z159" s="77"/>
      <c r="AA159" s="77"/>
      <c r="AB159" s="77"/>
      <c r="AC159" s="57"/>
      <c r="AE159" s="65" t="str">
        <f t="shared" si="39"/>
        <v/>
      </c>
      <c r="AF159" s="77"/>
      <c r="AG159" s="77"/>
      <c r="AH159" s="77"/>
      <c r="AI159" s="77"/>
      <c r="AJ159" s="77"/>
      <c r="AK159" s="77"/>
      <c r="AL159" s="77"/>
      <c r="AM159" s="77"/>
      <c r="AN159" s="77"/>
      <c r="AO159" s="77"/>
      <c r="AP159" s="77"/>
      <c r="AQ159" s="77"/>
      <c r="AR159" s="57"/>
      <c r="AT159" s="65" t="str">
        <f t="shared" si="41"/>
        <v/>
      </c>
      <c r="AU159" s="67"/>
      <c r="AV159" s="67"/>
      <c r="AW159" s="67"/>
    </row>
    <row r="160" spans="1:49" s="38" customFormat="1" ht="15" hidden="1" customHeight="1" x14ac:dyDescent="0.2">
      <c r="A160" s="82" t="str">
        <f t="shared" si="42"/>
        <v/>
      </c>
      <c r="B160" s="77"/>
      <c r="C160" s="77"/>
      <c r="D160" s="77"/>
      <c r="E160" s="77"/>
      <c r="F160" s="77"/>
      <c r="G160" s="77"/>
      <c r="H160" s="77"/>
      <c r="I160" s="77"/>
      <c r="J160" s="77"/>
      <c r="K160" s="77"/>
      <c r="L160" s="77"/>
      <c r="M160" s="77"/>
      <c r="N160" s="57"/>
      <c r="P160" s="65" t="str">
        <f t="shared" si="37"/>
        <v/>
      </c>
      <c r="Q160" s="77"/>
      <c r="R160" s="77"/>
      <c r="S160" s="77"/>
      <c r="T160" s="77"/>
      <c r="U160" s="77"/>
      <c r="V160" s="77"/>
      <c r="W160" s="77"/>
      <c r="X160" s="77"/>
      <c r="Y160" s="77"/>
      <c r="Z160" s="77"/>
      <c r="AA160" s="77"/>
      <c r="AB160" s="77"/>
      <c r="AC160" s="57"/>
      <c r="AE160" s="65" t="str">
        <f t="shared" si="39"/>
        <v/>
      </c>
      <c r="AF160" s="54"/>
      <c r="AG160" s="54"/>
      <c r="AH160" s="54"/>
      <c r="AI160" s="54"/>
      <c r="AJ160" s="54"/>
      <c r="AK160" s="54"/>
      <c r="AL160" s="54"/>
      <c r="AM160" s="54"/>
      <c r="AN160" s="54"/>
      <c r="AO160" s="54"/>
      <c r="AP160" s="54"/>
      <c r="AQ160" s="54"/>
      <c r="AR160" s="55"/>
      <c r="AS160" s="40"/>
      <c r="AT160" s="65" t="str">
        <f t="shared" si="41"/>
        <v/>
      </c>
      <c r="AU160" s="69"/>
      <c r="AV160" s="69"/>
      <c r="AW160" s="69"/>
    </row>
    <row r="161" spans="1:49" s="38" customFormat="1" ht="15" hidden="1" customHeight="1" x14ac:dyDescent="0.2">
      <c r="A161" s="82" t="str">
        <f t="shared" si="42"/>
        <v/>
      </c>
      <c r="B161" s="77"/>
      <c r="C161" s="77"/>
      <c r="D161" s="77"/>
      <c r="E161" s="77"/>
      <c r="F161" s="77"/>
      <c r="G161" s="77"/>
      <c r="H161" s="77"/>
      <c r="I161" s="77"/>
      <c r="J161" s="77"/>
      <c r="K161" s="77"/>
      <c r="L161" s="77"/>
      <c r="M161" s="77"/>
      <c r="N161" s="57"/>
      <c r="P161" s="65" t="str">
        <f t="shared" si="37"/>
        <v/>
      </c>
      <c r="Q161" s="77"/>
      <c r="R161" s="77"/>
      <c r="S161" s="77"/>
      <c r="T161" s="77"/>
      <c r="U161" s="77"/>
      <c r="V161" s="77"/>
      <c r="W161" s="77"/>
      <c r="X161" s="77"/>
      <c r="Y161" s="77"/>
      <c r="Z161" s="77"/>
      <c r="AA161" s="77"/>
      <c r="AB161" s="77"/>
      <c r="AC161" s="57"/>
      <c r="AE161" s="65" t="str">
        <f t="shared" si="39"/>
        <v/>
      </c>
      <c r="AF161" s="54"/>
      <c r="AG161" s="54"/>
      <c r="AH161" s="54"/>
      <c r="AI161" s="54"/>
      <c r="AJ161" s="54"/>
      <c r="AK161" s="54"/>
      <c r="AL161" s="54"/>
      <c r="AM161" s="54"/>
      <c r="AN161" s="54"/>
      <c r="AO161" s="54"/>
      <c r="AP161" s="54"/>
      <c r="AQ161" s="54"/>
      <c r="AR161" s="55"/>
      <c r="AS161" s="40"/>
      <c r="AT161" s="65" t="str">
        <f t="shared" si="41"/>
        <v/>
      </c>
      <c r="AU161" s="69"/>
      <c r="AV161" s="69"/>
      <c r="AW161" s="69"/>
    </row>
    <row r="162" spans="1:49" s="38" customFormat="1" ht="15" hidden="1" customHeight="1" x14ac:dyDescent="0.2">
      <c r="A162" s="82" t="str">
        <f t="shared" si="42"/>
        <v/>
      </c>
      <c r="B162" s="77"/>
      <c r="C162" s="77"/>
      <c r="D162" s="77"/>
      <c r="E162" s="77"/>
      <c r="F162" s="77"/>
      <c r="G162" s="77"/>
      <c r="H162" s="77"/>
      <c r="I162" s="77"/>
      <c r="J162" s="77"/>
      <c r="K162" s="77"/>
      <c r="L162" s="77"/>
      <c r="M162" s="77"/>
      <c r="N162" s="57"/>
      <c r="P162" s="65" t="str">
        <f t="shared" si="37"/>
        <v/>
      </c>
      <c r="Q162" s="77"/>
      <c r="R162" s="77"/>
      <c r="S162" s="77"/>
      <c r="T162" s="77"/>
      <c r="U162" s="77"/>
      <c r="V162" s="77"/>
      <c r="W162" s="77"/>
      <c r="X162" s="77"/>
      <c r="Y162" s="77"/>
      <c r="Z162" s="77"/>
      <c r="AA162" s="77"/>
      <c r="AB162" s="77"/>
      <c r="AC162" s="57"/>
      <c r="AE162" s="65" t="str">
        <f t="shared" si="39"/>
        <v/>
      </c>
      <c r="AF162" s="54"/>
      <c r="AG162" s="54"/>
      <c r="AH162" s="54"/>
      <c r="AI162" s="54"/>
      <c r="AJ162" s="54"/>
      <c r="AK162" s="54"/>
      <c r="AL162" s="54"/>
      <c r="AM162" s="54"/>
      <c r="AN162" s="54"/>
      <c r="AO162" s="54"/>
      <c r="AP162" s="54"/>
      <c r="AQ162" s="54"/>
      <c r="AR162" s="55"/>
      <c r="AS162" s="40"/>
      <c r="AT162" s="65" t="str">
        <f t="shared" si="41"/>
        <v/>
      </c>
      <c r="AU162" s="69"/>
      <c r="AV162" s="69"/>
      <c r="AW162" s="69"/>
    </row>
    <row r="163" spans="1:49" s="38" customFormat="1" ht="15" hidden="1" customHeight="1" x14ac:dyDescent="0.2">
      <c r="A163" s="82" t="str">
        <f t="shared" si="42"/>
        <v/>
      </c>
      <c r="B163" s="77"/>
      <c r="C163" s="77"/>
      <c r="D163" s="77"/>
      <c r="E163" s="77"/>
      <c r="F163" s="77"/>
      <c r="G163" s="77"/>
      <c r="H163" s="77"/>
      <c r="I163" s="77"/>
      <c r="J163" s="77"/>
      <c r="K163" s="77"/>
      <c r="L163" s="77"/>
      <c r="M163" s="77"/>
      <c r="N163" s="57"/>
      <c r="P163" s="65" t="str">
        <f t="shared" si="37"/>
        <v/>
      </c>
      <c r="Q163" s="77"/>
      <c r="R163" s="77"/>
      <c r="S163" s="77"/>
      <c r="T163" s="77"/>
      <c r="U163" s="77"/>
      <c r="V163" s="77"/>
      <c r="W163" s="77"/>
      <c r="X163" s="77"/>
      <c r="Y163" s="77"/>
      <c r="Z163" s="77"/>
      <c r="AA163" s="77"/>
      <c r="AB163" s="77"/>
      <c r="AC163" s="57"/>
      <c r="AE163" s="65" t="str">
        <f t="shared" si="39"/>
        <v/>
      </c>
      <c r="AF163" s="54"/>
      <c r="AG163" s="54"/>
      <c r="AH163" s="54"/>
      <c r="AI163" s="54"/>
      <c r="AJ163" s="54"/>
      <c r="AK163" s="54"/>
      <c r="AL163" s="54"/>
      <c r="AM163" s="54"/>
      <c r="AN163" s="54"/>
      <c r="AO163" s="54"/>
      <c r="AP163" s="54"/>
      <c r="AQ163" s="54"/>
      <c r="AR163" s="55"/>
      <c r="AS163" s="40"/>
      <c r="AT163" s="65" t="str">
        <f t="shared" si="41"/>
        <v/>
      </c>
      <c r="AU163" s="69"/>
      <c r="AV163" s="69"/>
      <c r="AW163" s="69"/>
    </row>
    <row r="164" spans="1:49" s="38" customFormat="1" ht="15" hidden="1" customHeight="1" x14ac:dyDescent="0.2">
      <c r="A164" s="82" t="str">
        <f t="shared" si="42"/>
        <v/>
      </c>
      <c r="B164" s="77"/>
      <c r="C164" s="77"/>
      <c r="D164" s="77"/>
      <c r="E164" s="77"/>
      <c r="F164" s="77"/>
      <c r="G164" s="77"/>
      <c r="H164" s="77"/>
      <c r="I164" s="77"/>
      <c r="J164" s="77"/>
      <c r="K164" s="77"/>
      <c r="L164" s="77"/>
      <c r="M164" s="77"/>
      <c r="N164" s="57"/>
      <c r="P164" s="65" t="str">
        <f t="shared" si="37"/>
        <v/>
      </c>
      <c r="Q164" s="77"/>
      <c r="R164" s="77"/>
      <c r="S164" s="77"/>
      <c r="T164" s="77"/>
      <c r="U164" s="77"/>
      <c r="V164" s="77"/>
      <c r="W164" s="77"/>
      <c r="X164" s="77"/>
      <c r="Y164" s="77"/>
      <c r="Z164" s="77"/>
      <c r="AA164" s="77"/>
      <c r="AB164" s="77"/>
      <c r="AC164" s="57"/>
      <c r="AE164" s="65" t="str">
        <f t="shared" si="39"/>
        <v/>
      </c>
      <c r="AF164" s="54"/>
      <c r="AG164" s="54"/>
      <c r="AH164" s="54"/>
      <c r="AI164" s="54"/>
      <c r="AJ164" s="54"/>
      <c r="AK164" s="54"/>
      <c r="AL164" s="54"/>
      <c r="AM164" s="54"/>
      <c r="AN164" s="54"/>
      <c r="AO164" s="54"/>
      <c r="AP164" s="54"/>
      <c r="AQ164" s="54"/>
      <c r="AR164" s="55"/>
      <c r="AS164" s="40"/>
      <c r="AT164" s="65" t="str">
        <f t="shared" si="41"/>
        <v/>
      </c>
      <c r="AU164" s="69"/>
      <c r="AV164" s="69"/>
      <c r="AW164" s="69"/>
    </row>
    <row r="165" spans="1:49" s="38" customFormat="1" ht="15" hidden="1" customHeight="1" x14ac:dyDescent="0.2">
      <c r="A165" s="82" t="str">
        <f t="shared" si="42"/>
        <v/>
      </c>
      <c r="B165" s="77"/>
      <c r="C165" s="77"/>
      <c r="D165" s="77"/>
      <c r="E165" s="77"/>
      <c r="F165" s="77"/>
      <c r="G165" s="77"/>
      <c r="H165" s="77"/>
      <c r="I165" s="77"/>
      <c r="J165" s="77"/>
      <c r="K165" s="77"/>
      <c r="L165" s="77"/>
      <c r="M165" s="77"/>
      <c r="N165" s="57"/>
      <c r="P165" s="65" t="str">
        <f t="shared" si="37"/>
        <v/>
      </c>
      <c r="Q165" s="77"/>
      <c r="R165" s="77"/>
      <c r="S165" s="77"/>
      <c r="T165" s="77"/>
      <c r="U165" s="77"/>
      <c r="V165" s="77"/>
      <c r="W165" s="77"/>
      <c r="X165" s="77"/>
      <c r="Y165" s="77"/>
      <c r="Z165" s="77"/>
      <c r="AA165" s="77"/>
      <c r="AB165" s="77"/>
      <c r="AC165" s="57"/>
      <c r="AE165" s="65" t="str">
        <f t="shared" si="39"/>
        <v/>
      </c>
      <c r="AF165" s="54"/>
      <c r="AG165" s="54"/>
      <c r="AH165" s="54"/>
      <c r="AI165" s="54"/>
      <c r="AJ165" s="54"/>
      <c r="AK165" s="54"/>
      <c r="AL165" s="54"/>
      <c r="AM165" s="54"/>
      <c r="AN165" s="54"/>
      <c r="AO165" s="54"/>
      <c r="AP165" s="54"/>
      <c r="AQ165" s="54"/>
      <c r="AR165" s="55"/>
      <c r="AS165" s="40"/>
      <c r="AT165" s="65" t="str">
        <f t="shared" si="41"/>
        <v/>
      </c>
      <c r="AU165" s="69"/>
      <c r="AV165" s="69"/>
      <c r="AW165" s="69"/>
    </row>
    <row r="166" spans="1:49" s="38" customFormat="1" ht="15" hidden="1" customHeight="1" x14ac:dyDescent="0.2">
      <c r="A166" s="82" t="str">
        <f t="shared" si="42"/>
        <v/>
      </c>
      <c r="B166" s="77"/>
      <c r="C166" s="77"/>
      <c r="D166" s="77"/>
      <c r="E166" s="77"/>
      <c r="F166" s="77"/>
      <c r="G166" s="77"/>
      <c r="H166" s="77"/>
      <c r="I166" s="77"/>
      <c r="J166" s="77"/>
      <c r="K166" s="77"/>
      <c r="L166" s="77"/>
      <c r="M166" s="77"/>
      <c r="N166" s="57"/>
      <c r="P166" s="65" t="str">
        <f t="shared" si="37"/>
        <v/>
      </c>
      <c r="Q166" s="77"/>
      <c r="R166" s="77"/>
      <c r="S166" s="77"/>
      <c r="T166" s="77"/>
      <c r="U166" s="77"/>
      <c r="V166" s="77"/>
      <c r="W166" s="77"/>
      <c r="X166" s="77"/>
      <c r="Y166" s="77"/>
      <c r="Z166" s="77"/>
      <c r="AA166" s="77"/>
      <c r="AB166" s="77"/>
      <c r="AC166" s="57"/>
      <c r="AE166" s="65" t="str">
        <f t="shared" si="39"/>
        <v/>
      </c>
      <c r="AF166" s="54"/>
      <c r="AG166" s="54"/>
      <c r="AH166" s="54"/>
      <c r="AI166" s="54"/>
      <c r="AJ166" s="54"/>
      <c r="AK166" s="54"/>
      <c r="AL166" s="54"/>
      <c r="AM166" s="54"/>
      <c r="AN166" s="54"/>
      <c r="AO166" s="54"/>
      <c r="AP166" s="54"/>
      <c r="AQ166" s="54"/>
      <c r="AR166" s="55"/>
      <c r="AS166" s="40"/>
      <c r="AT166" s="65" t="str">
        <f t="shared" si="41"/>
        <v/>
      </c>
      <c r="AU166" s="69"/>
      <c r="AV166" s="69"/>
      <c r="AW166" s="69"/>
    </row>
    <row r="167" spans="1:49" s="38" customFormat="1" ht="15" hidden="1" customHeight="1" x14ac:dyDescent="0.2">
      <c r="A167" s="82" t="str">
        <f t="shared" si="42"/>
        <v/>
      </c>
      <c r="B167" s="77"/>
      <c r="C167" s="77"/>
      <c r="D167" s="77"/>
      <c r="E167" s="77"/>
      <c r="F167" s="77"/>
      <c r="G167" s="77"/>
      <c r="H167" s="77"/>
      <c r="I167" s="77"/>
      <c r="J167" s="77"/>
      <c r="K167" s="77"/>
      <c r="L167" s="77"/>
      <c r="M167" s="77"/>
      <c r="N167" s="57"/>
      <c r="P167" s="65" t="str">
        <f t="shared" si="37"/>
        <v/>
      </c>
      <c r="Q167" s="77"/>
      <c r="R167" s="77"/>
      <c r="S167" s="77"/>
      <c r="T167" s="77"/>
      <c r="U167" s="77"/>
      <c r="V167" s="77"/>
      <c r="W167" s="77"/>
      <c r="X167" s="77"/>
      <c r="Y167" s="77"/>
      <c r="Z167" s="77"/>
      <c r="AA167" s="77"/>
      <c r="AB167" s="77"/>
      <c r="AC167" s="57"/>
      <c r="AE167" s="65" t="str">
        <f t="shared" si="39"/>
        <v/>
      </c>
      <c r="AF167" s="54"/>
      <c r="AG167" s="54"/>
      <c r="AH167" s="54"/>
      <c r="AI167" s="54"/>
      <c r="AJ167" s="54"/>
      <c r="AK167" s="54"/>
      <c r="AL167" s="54"/>
      <c r="AM167" s="54"/>
      <c r="AN167" s="54"/>
      <c r="AO167" s="54"/>
      <c r="AP167" s="54"/>
      <c r="AQ167" s="54"/>
      <c r="AR167" s="55"/>
      <c r="AS167" s="40"/>
      <c r="AT167" s="65" t="str">
        <f t="shared" si="41"/>
        <v/>
      </c>
      <c r="AU167" s="69"/>
      <c r="AV167" s="69"/>
      <c r="AW167" s="69"/>
    </row>
    <row r="168" spans="1:49" s="38" customFormat="1" ht="9.6" customHeight="1" x14ac:dyDescent="0.2">
      <c r="N168" s="40"/>
      <c r="AR168" s="40"/>
      <c r="AU168" s="40"/>
      <c r="AV168" s="40"/>
      <c r="AW168" s="40"/>
    </row>
    <row r="169" spans="1:49" s="31" customFormat="1" ht="15" customHeight="1" x14ac:dyDescent="0.2">
      <c r="A169" s="41" t="s">
        <v>23</v>
      </c>
      <c r="B169" s="43" t="s">
        <v>24</v>
      </c>
      <c r="C169" s="38"/>
      <c r="D169" s="38"/>
      <c r="E169" s="38"/>
      <c r="F169" s="38"/>
      <c r="G169" s="38"/>
      <c r="H169" s="38"/>
      <c r="I169" s="38"/>
      <c r="J169" s="38"/>
      <c r="K169" s="38"/>
      <c r="L169" s="38"/>
      <c r="M169" s="38"/>
      <c r="N169" s="42" t="s">
        <v>21</v>
      </c>
      <c r="P169" s="41" t="s">
        <v>23</v>
      </c>
      <c r="Q169" s="43"/>
      <c r="R169" s="38"/>
      <c r="S169" s="38"/>
      <c r="T169" s="38"/>
      <c r="U169" s="38"/>
      <c r="V169" s="38"/>
      <c r="W169" s="38"/>
      <c r="X169" s="38"/>
      <c r="Y169" s="38"/>
      <c r="Z169" s="38"/>
      <c r="AA169" s="38"/>
      <c r="AB169" s="38"/>
      <c r="AC169" s="42" t="s">
        <v>21</v>
      </c>
      <c r="AE169" s="41" t="s">
        <v>23</v>
      </c>
      <c r="AF169" s="43"/>
      <c r="AG169" s="38"/>
      <c r="AH169" s="38"/>
      <c r="AI169" s="38"/>
      <c r="AJ169" s="38"/>
      <c r="AK169" s="38"/>
      <c r="AL169" s="38"/>
      <c r="AM169" s="38"/>
      <c r="AN169" s="38"/>
      <c r="AO169" s="38"/>
      <c r="AP169" s="38"/>
      <c r="AQ169" s="38"/>
      <c r="AR169" s="42" t="s">
        <v>21</v>
      </c>
      <c r="AT169" s="41" t="s">
        <v>23</v>
      </c>
      <c r="AU169" s="40" t="s">
        <v>22</v>
      </c>
      <c r="AV169" s="40" t="s">
        <v>22</v>
      </c>
      <c r="AW169" s="40" t="s">
        <v>22</v>
      </c>
    </row>
    <row r="170" spans="1:49" s="31" customFormat="1" ht="15" customHeight="1" x14ac:dyDescent="0.2">
      <c r="A170" s="82" t="str">
        <f>IF(A7=0,"",A7)</f>
        <v>Product 1</v>
      </c>
      <c r="B170" s="75">
        <f t="shared" ref="B170:M172" si="44">B7*B143</f>
        <v>7744.9999999999991</v>
      </c>
      <c r="C170" s="75">
        <f t="shared" si="44"/>
        <v>8132.2499999999991</v>
      </c>
      <c r="D170" s="75">
        <f t="shared" si="44"/>
        <v>8519.5</v>
      </c>
      <c r="E170" s="75">
        <f t="shared" si="44"/>
        <v>8906.75</v>
      </c>
      <c r="F170" s="75">
        <f t="shared" si="44"/>
        <v>8519.5</v>
      </c>
      <c r="G170" s="75">
        <f t="shared" si="44"/>
        <v>8132.2499999999991</v>
      </c>
      <c r="H170" s="75">
        <f t="shared" si="44"/>
        <v>8132.2499999999991</v>
      </c>
      <c r="I170" s="75">
        <f t="shared" si="44"/>
        <v>8519.5</v>
      </c>
      <c r="J170" s="75">
        <f t="shared" si="44"/>
        <v>8906.75</v>
      </c>
      <c r="K170" s="75">
        <f t="shared" si="44"/>
        <v>9593.9999999999982</v>
      </c>
      <c r="L170" s="75">
        <f t="shared" si="44"/>
        <v>10393.499999999998</v>
      </c>
      <c r="M170" s="75">
        <f t="shared" si="44"/>
        <v>10393.499999999998</v>
      </c>
      <c r="N170" s="70">
        <f>SUM(B170:M170)</f>
        <v>105894.75</v>
      </c>
      <c r="P170" s="65" t="str">
        <f t="shared" ref="P170:P194" si="45">IF(A7=0,"",A7)</f>
        <v>Product 1</v>
      </c>
      <c r="Q170" s="75">
        <f t="shared" ref="Q170:AB172" si="46">Q7*Q143</f>
        <v>9993.7499999999982</v>
      </c>
      <c r="R170" s="75">
        <f t="shared" si="46"/>
        <v>9593.9999999999982</v>
      </c>
      <c r="S170" s="75">
        <f t="shared" si="46"/>
        <v>8906.75</v>
      </c>
      <c r="T170" s="75">
        <f t="shared" si="46"/>
        <v>8519.5</v>
      </c>
      <c r="U170" s="75">
        <f t="shared" si="46"/>
        <v>8906.75</v>
      </c>
      <c r="V170" s="75">
        <f t="shared" si="46"/>
        <v>9593.9999999999982</v>
      </c>
      <c r="W170" s="75">
        <f t="shared" si="46"/>
        <v>9593.9999999999982</v>
      </c>
      <c r="X170" s="75">
        <f t="shared" si="46"/>
        <v>9993.7499999999982</v>
      </c>
      <c r="Y170" s="75">
        <f t="shared" si="46"/>
        <v>10393.499999999998</v>
      </c>
      <c r="Z170" s="75">
        <f t="shared" si="46"/>
        <v>10793.249999999998</v>
      </c>
      <c r="AA170" s="75">
        <f t="shared" si="46"/>
        <v>11367.999999999998</v>
      </c>
      <c r="AB170" s="75">
        <f t="shared" si="46"/>
        <v>11773.999999999998</v>
      </c>
      <c r="AC170" s="70">
        <f>SUM(Q170:AB170)</f>
        <v>119431.25</v>
      </c>
      <c r="AE170" s="65" t="str">
        <f t="shared" ref="AE170:AE194" si="47">IF(A7=0,"",A7)</f>
        <v>Product 1</v>
      </c>
      <c r="AF170" s="75">
        <f t="shared" ref="AF170:AQ172" si="48">AF7*AF143</f>
        <v>12179.999999999998</v>
      </c>
      <c r="AG170" s="75">
        <f t="shared" si="48"/>
        <v>11367.999999999998</v>
      </c>
      <c r="AH170" s="75">
        <f t="shared" si="48"/>
        <v>10393.499999999998</v>
      </c>
      <c r="AI170" s="75">
        <f t="shared" si="48"/>
        <v>10393.499999999998</v>
      </c>
      <c r="AJ170" s="75">
        <f t="shared" si="48"/>
        <v>10793.249999999998</v>
      </c>
      <c r="AK170" s="75">
        <f t="shared" si="48"/>
        <v>11367.999999999998</v>
      </c>
      <c r="AL170" s="75">
        <f t="shared" si="48"/>
        <v>11367.999999999998</v>
      </c>
      <c r="AM170" s="75">
        <f t="shared" si="48"/>
        <v>11773.999999999998</v>
      </c>
      <c r="AN170" s="75">
        <f t="shared" si="48"/>
        <v>12179.999999999998</v>
      </c>
      <c r="AO170" s="75">
        <f t="shared" si="48"/>
        <v>13191.999999999998</v>
      </c>
      <c r="AP170" s="75">
        <f t="shared" si="48"/>
        <v>14016.499999999998</v>
      </c>
      <c r="AQ170" s="75">
        <f t="shared" si="48"/>
        <v>14840.999999999998</v>
      </c>
      <c r="AR170" s="70">
        <f>SUM(AF170:AQ170)</f>
        <v>143867.74999999997</v>
      </c>
      <c r="AT170" s="65" t="str">
        <f t="shared" ref="AT170:AT194" si="49">IF(A7=0,"",A7)</f>
        <v>Product 1</v>
      </c>
      <c r="AU170" s="66">
        <f>AC170-N170</f>
        <v>13536.5</v>
      </c>
      <c r="AV170" s="66">
        <f>N170-AB170</f>
        <v>94120.75</v>
      </c>
      <c r="AW170" s="66">
        <f>AR170-AC170</f>
        <v>24436.499999999971</v>
      </c>
    </row>
    <row r="171" spans="1:49" s="31" customFormat="1" ht="15" customHeight="1" x14ac:dyDescent="0.2">
      <c r="A171" s="82" t="str">
        <f t="shared" ref="A171:A194" si="50">IF(A8=0,"",A8)</f>
        <v>Product 2</v>
      </c>
      <c r="B171" s="75">
        <f t="shared" si="44"/>
        <v>17835</v>
      </c>
      <c r="C171" s="75">
        <f t="shared" si="44"/>
        <v>11890</v>
      </c>
      <c r="D171" s="75">
        <f t="shared" si="44"/>
        <v>11890</v>
      </c>
      <c r="E171" s="75">
        <f t="shared" si="44"/>
        <v>14862.5</v>
      </c>
      <c r="F171" s="75">
        <f t="shared" si="44"/>
        <v>14862.5</v>
      </c>
      <c r="G171" s="75">
        <f t="shared" si="44"/>
        <v>17835</v>
      </c>
      <c r="H171" s="75">
        <f t="shared" si="44"/>
        <v>17835</v>
      </c>
      <c r="I171" s="75">
        <f t="shared" si="44"/>
        <v>20807.5</v>
      </c>
      <c r="J171" s="75">
        <f t="shared" si="44"/>
        <v>23780</v>
      </c>
      <c r="K171" s="75">
        <f t="shared" si="44"/>
        <v>29725</v>
      </c>
      <c r="L171" s="75">
        <f t="shared" si="44"/>
        <v>35670</v>
      </c>
      <c r="M171" s="75">
        <f t="shared" si="44"/>
        <v>35670</v>
      </c>
      <c r="N171" s="70">
        <f>SUM(B171:M171)</f>
        <v>252662.5</v>
      </c>
      <c r="P171" s="65" t="str">
        <f t="shared" si="45"/>
        <v>Product 2</v>
      </c>
      <c r="Q171" s="75">
        <f t="shared" si="46"/>
        <v>23780</v>
      </c>
      <c r="R171" s="75">
        <f t="shared" si="46"/>
        <v>17835</v>
      </c>
      <c r="S171" s="75">
        <f t="shared" si="46"/>
        <v>17835</v>
      </c>
      <c r="T171" s="75">
        <f t="shared" si="46"/>
        <v>20807.5</v>
      </c>
      <c r="U171" s="75">
        <f t="shared" si="46"/>
        <v>20807.5</v>
      </c>
      <c r="V171" s="75">
        <f t="shared" si="46"/>
        <v>23780</v>
      </c>
      <c r="W171" s="75">
        <f t="shared" si="46"/>
        <v>23780</v>
      </c>
      <c r="X171" s="75">
        <f t="shared" si="46"/>
        <v>26752.5</v>
      </c>
      <c r="Y171" s="75">
        <f t="shared" si="46"/>
        <v>29725</v>
      </c>
      <c r="Z171" s="75">
        <f t="shared" si="46"/>
        <v>36270</v>
      </c>
      <c r="AA171" s="75">
        <f t="shared" si="46"/>
        <v>42315</v>
      </c>
      <c r="AB171" s="75">
        <f t="shared" si="46"/>
        <v>42315</v>
      </c>
      <c r="AC171" s="70">
        <f>SUM(Q171:AB171)</f>
        <v>326002.5</v>
      </c>
      <c r="AE171" s="65" t="str">
        <f t="shared" si="47"/>
        <v>Product 2</v>
      </c>
      <c r="AF171" s="75">
        <f t="shared" si="48"/>
        <v>36270</v>
      </c>
      <c r="AG171" s="75">
        <f t="shared" si="48"/>
        <v>23780</v>
      </c>
      <c r="AH171" s="75">
        <f t="shared" si="48"/>
        <v>23780</v>
      </c>
      <c r="AI171" s="75">
        <f t="shared" si="48"/>
        <v>26752.5</v>
      </c>
      <c r="AJ171" s="75">
        <f t="shared" si="48"/>
        <v>26752.5</v>
      </c>
      <c r="AK171" s="75">
        <f t="shared" si="48"/>
        <v>29725</v>
      </c>
      <c r="AL171" s="75">
        <f t="shared" si="48"/>
        <v>29725</v>
      </c>
      <c r="AM171" s="75">
        <f t="shared" si="48"/>
        <v>32697.5</v>
      </c>
      <c r="AN171" s="75">
        <f t="shared" si="48"/>
        <v>36270</v>
      </c>
      <c r="AO171" s="75">
        <f t="shared" si="48"/>
        <v>42315</v>
      </c>
      <c r="AP171" s="75">
        <f t="shared" si="48"/>
        <v>48560</v>
      </c>
      <c r="AQ171" s="75">
        <f t="shared" si="48"/>
        <v>48560</v>
      </c>
      <c r="AR171" s="70">
        <f>SUM(AF171:AQ171)</f>
        <v>405187.5</v>
      </c>
      <c r="AT171" s="65" t="str">
        <f t="shared" si="49"/>
        <v>Product 2</v>
      </c>
      <c r="AU171" s="66">
        <f>AC171-N171</f>
        <v>73340</v>
      </c>
      <c r="AV171" s="66">
        <f t="shared" ref="AV171:AV195" si="51">N171-AB171</f>
        <v>210347.5</v>
      </c>
      <c r="AW171" s="66">
        <f>AR171-AC171</f>
        <v>79185</v>
      </c>
    </row>
    <row r="172" spans="1:49" s="31" customFormat="1" ht="15" customHeight="1" x14ac:dyDescent="0.2">
      <c r="A172" s="82" t="str">
        <f t="shared" si="50"/>
        <v>Product 3</v>
      </c>
      <c r="B172" s="75">
        <f t="shared" si="44"/>
        <v>7266.0000000000009</v>
      </c>
      <c r="C172" s="75">
        <f t="shared" si="44"/>
        <v>9688.0000000000018</v>
      </c>
      <c r="D172" s="75">
        <f t="shared" si="44"/>
        <v>12110.000000000002</v>
      </c>
      <c r="E172" s="75">
        <f t="shared" si="44"/>
        <v>14532.000000000002</v>
      </c>
      <c r="F172" s="75">
        <f t="shared" si="44"/>
        <v>16954</v>
      </c>
      <c r="G172" s="75">
        <f t="shared" si="44"/>
        <v>19376.000000000004</v>
      </c>
      <c r="H172" s="75">
        <f t="shared" si="44"/>
        <v>19376.000000000004</v>
      </c>
      <c r="I172" s="75">
        <f t="shared" si="44"/>
        <v>16954</v>
      </c>
      <c r="J172" s="75">
        <f t="shared" si="44"/>
        <v>16954</v>
      </c>
      <c r="K172" s="75">
        <f t="shared" si="44"/>
        <v>14532.000000000002</v>
      </c>
      <c r="L172" s="75">
        <f t="shared" si="44"/>
        <v>14532.000000000002</v>
      </c>
      <c r="M172" s="75">
        <f t="shared" si="44"/>
        <v>14532.000000000002</v>
      </c>
      <c r="N172" s="70">
        <f>SUM(B172:M172)</f>
        <v>176806</v>
      </c>
      <c r="P172" s="65" t="str">
        <f t="shared" si="45"/>
        <v>Product 3</v>
      </c>
      <c r="Q172" s="75">
        <f t="shared" si="46"/>
        <v>16032.000000000002</v>
      </c>
      <c r="R172" s="75">
        <f t="shared" si="46"/>
        <v>13360.000000000002</v>
      </c>
      <c r="S172" s="75">
        <f t="shared" si="46"/>
        <v>16032.000000000002</v>
      </c>
      <c r="T172" s="75">
        <f t="shared" si="46"/>
        <v>18704</v>
      </c>
      <c r="U172" s="75">
        <f t="shared" si="46"/>
        <v>21376.000000000004</v>
      </c>
      <c r="V172" s="75">
        <f t="shared" si="46"/>
        <v>24048.000000000004</v>
      </c>
      <c r="W172" s="75">
        <f t="shared" si="46"/>
        <v>26945</v>
      </c>
      <c r="X172" s="75">
        <f t="shared" si="46"/>
        <v>21376.000000000004</v>
      </c>
      <c r="Y172" s="75">
        <f t="shared" si="46"/>
        <v>21376.000000000004</v>
      </c>
      <c r="Z172" s="75">
        <f t="shared" si="46"/>
        <v>18704</v>
      </c>
      <c r="AA172" s="75">
        <f t="shared" si="46"/>
        <v>18704</v>
      </c>
      <c r="AB172" s="75">
        <f t="shared" si="46"/>
        <v>17368</v>
      </c>
      <c r="AC172" s="70">
        <f>SUM(Q172:AB172)</f>
        <v>234025</v>
      </c>
      <c r="AE172" s="65" t="str">
        <f t="shared" si="47"/>
        <v>Product 3</v>
      </c>
      <c r="AF172" s="75">
        <f t="shared" si="48"/>
        <v>18993</v>
      </c>
      <c r="AG172" s="75">
        <f t="shared" si="48"/>
        <v>20454</v>
      </c>
      <c r="AH172" s="75">
        <f t="shared" si="48"/>
        <v>23376.000000000004</v>
      </c>
      <c r="AI172" s="75">
        <f t="shared" si="48"/>
        <v>26298.000000000004</v>
      </c>
      <c r="AJ172" s="75">
        <f t="shared" si="48"/>
        <v>29445</v>
      </c>
      <c r="AK172" s="75">
        <f t="shared" si="48"/>
        <v>32389.5</v>
      </c>
      <c r="AL172" s="75">
        <f t="shared" si="48"/>
        <v>35334</v>
      </c>
      <c r="AM172" s="75">
        <f t="shared" si="48"/>
        <v>29445</v>
      </c>
      <c r="AN172" s="75">
        <f t="shared" si="48"/>
        <v>29445</v>
      </c>
      <c r="AO172" s="75">
        <f t="shared" si="48"/>
        <v>26298.000000000004</v>
      </c>
      <c r="AP172" s="75">
        <f t="shared" si="48"/>
        <v>26298.000000000004</v>
      </c>
      <c r="AQ172" s="75">
        <f t="shared" si="48"/>
        <v>24837.000000000004</v>
      </c>
      <c r="AR172" s="70">
        <f>SUM(AF172:AQ172)</f>
        <v>322612.5</v>
      </c>
      <c r="AT172" s="65" t="str">
        <f t="shared" si="49"/>
        <v>Product 3</v>
      </c>
      <c r="AU172" s="66">
        <f>AC172-N172</f>
        <v>57219</v>
      </c>
      <c r="AV172" s="66">
        <f t="shared" si="51"/>
        <v>159438</v>
      </c>
      <c r="AW172" s="66">
        <f>AR172-AC172</f>
        <v>88587.5</v>
      </c>
    </row>
    <row r="173" spans="1:49" s="31" customFormat="1" ht="15" hidden="1" customHeight="1" x14ac:dyDescent="0.2">
      <c r="A173" s="82" t="str">
        <f t="shared" si="50"/>
        <v/>
      </c>
      <c r="B173" s="75"/>
      <c r="C173" s="75"/>
      <c r="D173" s="75"/>
      <c r="E173" s="75"/>
      <c r="F173" s="75"/>
      <c r="G173" s="75"/>
      <c r="H173" s="75"/>
      <c r="I173" s="75"/>
      <c r="J173" s="75"/>
      <c r="K173" s="75"/>
      <c r="L173" s="75"/>
      <c r="M173" s="75"/>
      <c r="N173" s="59"/>
      <c r="P173" s="65" t="str">
        <f t="shared" si="45"/>
        <v/>
      </c>
      <c r="Q173" s="75"/>
      <c r="R173" s="75"/>
      <c r="S173" s="75"/>
      <c r="T173" s="75"/>
      <c r="U173" s="75"/>
      <c r="V173" s="75"/>
      <c r="W173" s="75"/>
      <c r="X173" s="75"/>
      <c r="Y173" s="75"/>
      <c r="Z173" s="75"/>
      <c r="AA173" s="75"/>
      <c r="AB173" s="75"/>
      <c r="AC173" s="59"/>
      <c r="AE173" s="65" t="str">
        <f t="shared" si="47"/>
        <v/>
      </c>
      <c r="AF173" s="75"/>
      <c r="AG173" s="75"/>
      <c r="AH173" s="75"/>
      <c r="AI173" s="75"/>
      <c r="AJ173" s="75"/>
      <c r="AK173" s="75"/>
      <c r="AL173" s="75"/>
      <c r="AM173" s="75"/>
      <c r="AN173" s="75"/>
      <c r="AO173" s="75"/>
      <c r="AP173" s="75"/>
      <c r="AQ173" s="75"/>
      <c r="AR173" s="59"/>
      <c r="AT173" s="65" t="str">
        <f t="shared" si="49"/>
        <v/>
      </c>
      <c r="AU173" s="66"/>
      <c r="AV173" s="66">
        <f t="shared" si="51"/>
        <v>0</v>
      </c>
      <c r="AW173" s="66"/>
    </row>
    <row r="174" spans="1:49" s="31" customFormat="1" ht="15" hidden="1" customHeight="1" x14ac:dyDescent="0.2">
      <c r="A174" s="82" t="str">
        <f t="shared" si="50"/>
        <v/>
      </c>
      <c r="B174" s="75"/>
      <c r="C174" s="75"/>
      <c r="D174" s="75"/>
      <c r="E174" s="75"/>
      <c r="F174" s="75"/>
      <c r="G174" s="75"/>
      <c r="H174" s="75"/>
      <c r="I174" s="75"/>
      <c r="J174" s="75"/>
      <c r="K174" s="75"/>
      <c r="L174" s="75"/>
      <c r="M174" s="75"/>
      <c r="N174" s="59"/>
      <c r="P174" s="65" t="str">
        <f t="shared" si="45"/>
        <v/>
      </c>
      <c r="Q174" s="75"/>
      <c r="R174" s="75"/>
      <c r="S174" s="75"/>
      <c r="T174" s="75"/>
      <c r="U174" s="75"/>
      <c r="V174" s="75"/>
      <c r="W174" s="75"/>
      <c r="X174" s="75"/>
      <c r="Y174" s="75"/>
      <c r="Z174" s="75"/>
      <c r="AA174" s="75"/>
      <c r="AB174" s="75"/>
      <c r="AC174" s="59"/>
      <c r="AE174" s="65" t="str">
        <f t="shared" si="47"/>
        <v/>
      </c>
      <c r="AF174" s="75"/>
      <c r="AG174" s="75"/>
      <c r="AH174" s="75"/>
      <c r="AI174" s="75"/>
      <c r="AJ174" s="75"/>
      <c r="AK174" s="75"/>
      <c r="AL174" s="75"/>
      <c r="AM174" s="75"/>
      <c r="AN174" s="75"/>
      <c r="AO174" s="75"/>
      <c r="AP174" s="75"/>
      <c r="AQ174" s="75"/>
      <c r="AR174" s="59"/>
      <c r="AT174" s="65" t="str">
        <f t="shared" si="49"/>
        <v/>
      </c>
      <c r="AU174" s="66"/>
      <c r="AV174" s="66">
        <f t="shared" si="51"/>
        <v>0</v>
      </c>
      <c r="AW174" s="66"/>
    </row>
    <row r="175" spans="1:49" s="31" customFormat="1" ht="15" hidden="1" customHeight="1" x14ac:dyDescent="0.2">
      <c r="A175" s="82" t="str">
        <f t="shared" si="50"/>
        <v/>
      </c>
      <c r="B175" s="75"/>
      <c r="C175" s="75"/>
      <c r="D175" s="75"/>
      <c r="E175" s="75"/>
      <c r="F175" s="75"/>
      <c r="G175" s="75"/>
      <c r="H175" s="75"/>
      <c r="I175" s="75"/>
      <c r="J175" s="75"/>
      <c r="K175" s="75"/>
      <c r="L175" s="75"/>
      <c r="M175" s="75"/>
      <c r="N175" s="59"/>
      <c r="P175" s="65" t="str">
        <f t="shared" si="45"/>
        <v/>
      </c>
      <c r="Q175" s="75"/>
      <c r="R175" s="75"/>
      <c r="S175" s="75"/>
      <c r="T175" s="75"/>
      <c r="U175" s="75"/>
      <c r="V175" s="75"/>
      <c r="W175" s="75"/>
      <c r="X175" s="75"/>
      <c r="Y175" s="75"/>
      <c r="Z175" s="75"/>
      <c r="AA175" s="75"/>
      <c r="AB175" s="75"/>
      <c r="AC175" s="59"/>
      <c r="AE175" s="65" t="str">
        <f t="shared" si="47"/>
        <v/>
      </c>
      <c r="AF175" s="75"/>
      <c r="AG175" s="75"/>
      <c r="AH175" s="75"/>
      <c r="AI175" s="75"/>
      <c r="AJ175" s="75"/>
      <c r="AK175" s="75"/>
      <c r="AL175" s="75"/>
      <c r="AM175" s="75"/>
      <c r="AN175" s="75"/>
      <c r="AO175" s="75"/>
      <c r="AP175" s="75"/>
      <c r="AQ175" s="75"/>
      <c r="AR175" s="59"/>
      <c r="AT175" s="65" t="str">
        <f t="shared" si="49"/>
        <v/>
      </c>
      <c r="AU175" s="66"/>
      <c r="AV175" s="66">
        <f t="shared" si="51"/>
        <v>0</v>
      </c>
      <c r="AW175" s="66"/>
    </row>
    <row r="176" spans="1:49" s="31" customFormat="1" ht="15" hidden="1" customHeight="1" x14ac:dyDescent="0.2">
      <c r="A176" s="82" t="str">
        <f t="shared" si="50"/>
        <v/>
      </c>
      <c r="B176" s="75"/>
      <c r="C176" s="75"/>
      <c r="D176" s="75"/>
      <c r="E176" s="75"/>
      <c r="F176" s="75"/>
      <c r="G176" s="75"/>
      <c r="H176" s="75"/>
      <c r="I176" s="75"/>
      <c r="J176" s="75"/>
      <c r="K176" s="75"/>
      <c r="L176" s="75"/>
      <c r="M176" s="75"/>
      <c r="N176" s="59"/>
      <c r="P176" s="65" t="str">
        <f t="shared" si="45"/>
        <v/>
      </c>
      <c r="Q176" s="75"/>
      <c r="R176" s="75"/>
      <c r="S176" s="75"/>
      <c r="T176" s="75"/>
      <c r="U176" s="75"/>
      <c r="V176" s="75"/>
      <c r="W176" s="75"/>
      <c r="X176" s="75"/>
      <c r="Y176" s="75"/>
      <c r="Z176" s="75"/>
      <c r="AA176" s="75"/>
      <c r="AB176" s="75"/>
      <c r="AC176" s="59"/>
      <c r="AE176" s="65" t="str">
        <f t="shared" si="47"/>
        <v/>
      </c>
      <c r="AF176" s="75"/>
      <c r="AG176" s="75"/>
      <c r="AH176" s="75"/>
      <c r="AI176" s="75"/>
      <c r="AJ176" s="75"/>
      <c r="AK176" s="75"/>
      <c r="AL176" s="75"/>
      <c r="AM176" s="75"/>
      <c r="AN176" s="75"/>
      <c r="AO176" s="75"/>
      <c r="AP176" s="75"/>
      <c r="AQ176" s="75"/>
      <c r="AR176" s="59"/>
      <c r="AT176" s="65" t="str">
        <f t="shared" si="49"/>
        <v/>
      </c>
      <c r="AU176" s="66"/>
      <c r="AV176" s="66">
        <f t="shared" si="51"/>
        <v>0</v>
      </c>
      <c r="AW176" s="66"/>
    </row>
    <row r="177" spans="1:49" s="31" customFormat="1" ht="15" hidden="1" customHeight="1" x14ac:dyDescent="0.2">
      <c r="A177" s="82" t="str">
        <f t="shared" si="50"/>
        <v/>
      </c>
      <c r="B177" s="75"/>
      <c r="C177" s="75"/>
      <c r="D177" s="75"/>
      <c r="E177" s="75"/>
      <c r="F177" s="75"/>
      <c r="G177" s="75"/>
      <c r="H177" s="75"/>
      <c r="I177" s="75"/>
      <c r="J177" s="75"/>
      <c r="K177" s="75"/>
      <c r="L177" s="75"/>
      <c r="M177" s="75"/>
      <c r="N177" s="59"/>
      <c r="P177" s="65" t="str">
        <f t="shared" si="45"/>
        <v/>
      </c>
      <c r="Q177" s="75"/>
      <c r="R177" s="75"/>
      <c r="S177" s="75"/>
      <c r="T177" s="75"/>
      <c r="U177" s="75"/>
      <c r="V177" s="75"/>
      <c r="W177" s="75"/>
      <c r="X177" s="75"/>
      <c r="Y177" s="75"/>
      <c r="Z177" s="75"/>
      <c r="AA177" s="75"/>
      <c r="AB177" s="75"/>
      <c r="AC177" s="59"/>
      <c r="AE177" s="65" t="str">
        <f t="shared" si="47"/>
        <v/>
      </c>
      <c r="AF177" s="75"/>
      <c r="AG177" s="75"/>
      <c r="AH177" s="75"/>
      <c r="AI177" s="75"/>
      <c r="AJ177" s="75"/>
      <c r="AK177" s="75"/>
      <c r="AL177" s="75"/>
      <c r="AM177" s="75"/>
      <c r="AN177" s="75"/>
      <c r="AO177" s="75"/>
      <c r="AP177" s="75"/>
      <c r="AQ177" s="75"/>
      <c r="AR177" s="59"/>
      <c r="AT177" s="65" t="str">
        <f t="shared" si="49"/>
        <v/>
      </c>
      <c r="AU177" s="66"/>
      <c r="AV177" s="66">
        <f t="shared" si="51"/>
        <v>0</v>
      </c>
      <c r="AW177" s="66"/>
    </row>
    <row r="178" spans="1:49" s="31" customFormat="1" ht="15" hidden="1" customHeight="1" x14ac:dyDescent="0.2">
      <c r="A178" s="82" t="str">
        <f t="shared" si="50"/>
        <v/>
      </c>
      <c r="B178" s="75"/>
      <c r="C178" s="75"/>
      <c r="D178" s="75"/>
      <c r="E178" s="75"/>
      <c r="F178" s="75"/>
      <c r="G178" s="75"/>
      <c r="H178" s="75"/>
      <c r="I178" s="75"/>
      <c r="J178" s="75"/>
      <c r="K178" s="75"/>
      <c r="L178" s="75"/>
      <c r="M178" s="75"/>
      <c r="N178" s="59"/>
      <c r="P178" s="65" t="str">
        <f t="shared" si="45"/>
        <v/>
      </c>
      <c r="Q178" s="75"/>
      <c r="R178" s="75"/>
      <c r="S178" s="75"/>
      <c r="T178" s="75"/>
      <c r="U178" s="75"/>
      <c r="V178" s="75"/>
      <c r="W178" s="75"/>
      <c r="X178" s="75"/>
      <c r="Y178" s="75"/>
      <c r="Z178" s="75"/>
      <c r="AA178" s="75"/>
      <c r="AB178" s="75"/>
      <c r="AC178" s="59"/>
      <c r="AE178" s="65" t="str">
        <f t="shared" si="47"/>
        <v/>
      </c>
      <c r="AF178" s="75"/>
      <c r="AG178" s="75"/>
      <c r="AH178" s="75"/>
      <c r="AI178" s="75"/>
      <c r="AJ178" s="75"/>
      <c r="AK178" s="75"/>
      <c r="AL178" s="75"/>
      <c r="AM178" s="75"/>
      <c r="AN178" s="75"/>
      <c r="AO178" s="75"/>
      <c r="AP178" s="75"/>
      <c r="AQ178" s="75"/>
      <c r="AR178" s="59"/>
      <c r="AT178" s="65" t="str">
        <f t="shared" si="49"/>
        <v/>
      </c>
      <c r="AU178" s="66"/>
      <c r="AV178" s="66">
        <f t="shared" si="51"/>
        <v>0</v>
      </c>
      <c r="AW178" s="66"/>
    </row>
    <row r="179" spans="1:49" s="31" customFormat="1" ht="15" hidden="1" customHeight="1" x14ac:dyDescent="0.2">
      <c r="A179" s="82" t="str">
        <f t="shared" si="50"/>
        <v/>
      </c>
      <c r="B179" s="75"/>
      <c r="C179" s="75"/>
      <c r="D179" s="75"/>
      <c r="E179" s="75"/>
      <c r="F179" s="75"/>
      <c r="G179" s="75"/>
      <c r="H179" s="75"/>
      <c r="I179" s="75"/>
      <c r="J179" s="75"/>
      <c r="K179" s="75"/>
      <c r="L179" s="75"/>
      <c r="M179" s="75"/>
      <c r="N179" s="59"/>
      <c r="P179" s="65" t="str">
        <f t="shared" si="45"/>
        <v/>
      </c>
      <c r="Q179" s="75"/>
      <c r="R179" s="75"/>
      <c r="S179" s="75"/>
      <c r="T179" s="75"/>
      <c r="U179" s="75"/>
      <c r="V179" s="75"/>
      <c r="W179" s="75"/>
      <c r="X179" s="75"/>
      <c r="Y179" s="75"/>
      <c r="Z179" s="75"/>
      <c r="AA179" s="75"/>
      <c r="AB179" s="75"/>
      <c r="AC179" s="59"/>
      <c r="AE179" s="65" t="str">
        <f t="shared" si="47"/>
        <v/>
      </c>
      <c r="AF179" s="75"/>
      <c r="AG179" s="75"/>
      <c r="AH179" s="75"/>
      <c r="AI179" s="75"/>
      <c r="AJ179" s="75"/>
      <c r="AK179" s="75"/>
      <c r="AL179" s="75"/>
      <c r="AM179" s="75"/>
      <c r="AN179" s="75"/>
      <c r="AO179" s="75"/>
      <c r="AP179" s="75"/>
      <c r="AQ179" s="75"/>
      <c r="AR179" s="59"/>
      <c r="AT179" s="65" t="str">
        <f t="shared" si="49"/>
        <v/>
      </c>
      <c r="AU179" s="66"/>
      <c r="AV179" s="66">
        <f t="shared" si="51"/>
        <v>0</v>
      </c>
      <c r="AW179" s="66"/>
    </row>
    <row r="180" spans="1:49" s="31" customFormat="1" ht="15" hidden="1" customHeight="1" x14ac:dyDescent="0.2">
      <c r="A180" s="82" t="str">
        <f t="shared" si="50"/>
        <v/>
      </c>
      <c r="B180" s="75"/>
      <c r="C180" s="75"/>
      <c r="D180" s="75"/>
      <c r="E180" s="75"/>
      <c r="F180" s="75"/>
      <c r="G180" s="75"/>
      <c r="H180" s="75"/>
      <c r="I180" s="75"/>
      <c r="J180" s="75"/>
      <c r="K180" s="75"/>
      <c r="L180" s="75"/>
      <c r="M180" s="75"/>
      <c r="N180" s="59"/>
      <c r="P180" s="65" t="str">
        <f t="shared" si="45"/>
        <v/>
      </c>
      <c r="Q180" s="75"/>
      <c r="R180" s="75"/>
      <c r="S180" s="75"/>
      <c r="T180" s="75"/>
      <c r="U180" s="75"/>
      <c r="V180" s="75"/>
      <c r="W180" s="75"/>
      <c r="X180" s="75"/>
      <c r="Y180" s="75"/>
      <c r="Z180" s="75"/>
      <c r="AA180" s="75"/>
      <c r="AB180" s="75"/>
      <c r="AC180" s="59"/>
      <c r="AE180" s="65" t="str">
        <f t="shared" si="47"/>
        <v/>
      </c>
      <c r="AF180" s="75"/>
      <c r="AG180" s="75"/>
      <c r="AH180" s="75"/>
      <c r="AI180" s="75"/>
      <c r="AJ180" s="75"/>
      <c r="AK180" s="75"/>
      <c r="AL180" s="75"/>
      <c r="AM180" s="75"/>
      <c r="AN180" s="75"/>
      <c r="AO180" s="75"/>
      <c r="AP180" s="75"/>
      <c r="AQ180" s="75"/>
      <c r="AR180" s="59"/>
      <c r="AT180" s="65" t="str">
        <f t="shared" si="49"/>
        <v/>
      </c>
      <c r="AU180" s="66"/>
      <c r="AV180" s="66">
        <f t="shared" si="51"/>
        <v>0</v>
      </c>
      <c r="AW180" s="66"/>
    </row>
    <row r="181" spans="1:49" s="31" customFormat="1" ht="15" hidden="1" customHeight="1" x14ac:dyDescent="0.2">
      <c r="A181" s="82" t="str">
        <f t="shared" si="50"/>
        <v/>
      </c>
      <c r="B181" s="75"/>
      <c r="C181" s="75"/>
      <c r="D181" s="75"/>
      <c r="E181" s="75"/>
      <c r="F181" s="75"/>
      <c r="G181" s="75"/>
      <c r="H181" s="75"/>
      <c r="I181" s="75"/>
      <c r="J181" s="75"/>
      <c r="K181" s="75"/>
      <c r="L181" s="75"/>
      <c r="M181" s="75"/>
      <c r="N181" s="59"/>
      <c r="P181" s="65" t="str">
        <f t="shared" si="45"/>
        <v/>
      </c>
      <c r="Q181" s="75"/>
      <c r="R181" s="75"/>
      <c r="S181" s="75"/>
      <c r="T181" s="75"/>
      <c r="U181" s="75"/>
      <c r="V181" s="75"/>
      <c r="W181" s="75"/>
      <c r="X181" s="75"/>
      <c r="Y181" s="75"/>
      <c r="Z181" s="75"/>
      <c r="AA181" s="75"/>
      <c r="AB181" s="75"/>
      <c r="AC181" s="59"/>
      <c r="AE181" s="65" t="str">
        <f t="shared" si="47"/>
        <v/>
      </c>
      <c r="AF181" s="75"/>
      <c r="AG181" s="75"/>
      <c r="AH181" s="75"/>
      <c r="AI181" s="75"/>
      <c r="AJ181" s="75"/>
      <c r="AK181" s="75"/>
      <c r="AL181" s="75"/>
      <c r="AM181" s="75"/>
      <c r="AN181" s="75"/>
      <c r="AO181" s="75"/>
      <c r="AP181" s="75"/>
      <c r="AQ181" s="75"/>
      <c r="AR181" s="59"/>
      <c r="AT181" s="65" t="str">
        <f t="shared" si="49"/>
        <v/>
      </c>
      <c r="AU181" s="66"/>
      <c r="AV181" s="66">
        <f t="shared" si="51"/>
        <v>0</v>
      </c>
      <c r="AW181" s="66"/>
    </row>
    <row r="182" spans="1:49" s="31" customFormat="1" ht="15" hidden="1" customHeight="1" x14ac:dyDescent="0.2">
      <c r="A182" s="82" t="str">
        <f t="shared" si="50"/>
        <v/>
      </c>
      <c r="B182" s="75"/>
      <c r="C182" s="75"/>
      <c r="D182" s="75"/>
      <c r="E182" s="75"/>
      <c r="F182" s="75"/>
      <c r="G182" s="75"/>
      <c r="H182" s="75"/>
      <c r="I182" s="75"/>
      <c r="J182" s="75"/>
      <c r="K182" s="75"/>
      <c r="L182" s="75"/>
      <c r="M182" s="75"/>
      <c r="N182" s="59"/>
      <c r="P182" s="65" t="str">
        <f t="shared" si="45"/>
        <v/>
      </c>
      <c r="Q182" s="75"/>
      <c r="R182" s="75"/>
      <c r="S182" s="75"/>
      <c r="T182" s="75"/>
      <c r="U182" s="75"/>
      <c r="V182" s="75"/>
      <c r="W182" s="75"/>
      <c r="X182" s="75"/>
      <c r="Y182" s="75"/>
      <c r="Z182" s="75"/>
      <c r="AA182" s="75"/>
      <c r="AB182" s="75"/>
      <c r="AC182" s="59"/>
      <c r="AE182" s="65" t="str">
        <f t="shared" si="47"/>
        <v/>
      </c>
      <c r="AF182" s="75"/>
      <c r="AG182" s="75"/>
      <c r="AH182" s="75"/>
      <c r="AI182" s="75"/>
      <c r="AJ182" s="75"/>
      <c r="AK182" s="75"/>
      <c r="AL182" s="75"/>
      <c r="AM182" s="75"/>
      <c r="AN182" s="75"/>
      <c r="AO182" s="75"/>
      <c r="AP182" s="75"/>
      <c r="AQ182" s="75"/>
      <c r="AR182" s="59"/>
      <c r="AT182" s="65" t="str">
        <f t="shared" si="49"/>
        <v/>
      </c>
      <c r="AU182" s="66"/>
      <c r="AV182" s="66">
        <f t="shared" si="51"/>
        <v>0</v>
      </c>
      <c r="AW182" s="66"/>
    </row>
    <row r="183" spans="1:49" s="31" customFormat="1" ht="15" hidden="1" customHeight="1" x14ac:dyDescent="0.2">
      <c r="A183" s="82" t="str">
        <f t="shared" si="50"/>
        <v/>
      </c>
      <c r="B183" s="75"/>
      <c r="C183" s="75"/>
      <c r="D183" s="75"/>
      <c r="E183" s="75"/>
      <c r="F183" s="75"/>
      <c r="G183" s="75"/>
      <c r="H183" s="75"/>
      <c r="I183" s="75"/>
      <c r="J183" s="75"/>
      <c r="K183" s="75"/>
      <c r="L183" s="75"/>
      <c r="M183" s="75"/>
      <c r="N183" s="59"/>
      <c r="P183" s="65" t="str">
        <f t="shared" si="45"/>
        <v/>
      </c>
      <c r="Q183" s="75"/>
      <c r="R183" s="75"/>
      <c r="S183" s="75"/>
      <c r="T183" s="75"/>
      <c r="U183" s="75"/>
      <c r="V183" s="75"/>
      <c r="W183" s="75"/>
      <c r="X183" s="75"/>
      <c r="Y183" s="75"/>
      <c r="Z183" s="75"/>
      <c r="AA183" s="75"/>
      <c r="AB183" s="75"/>
      <c r="AC183" s="59"/>
      <c r="AE183" s="65" t="str">
        <f t="shared" si="47"/>
        <v/>
      </c>
      <c r="AF183" s="75"/>
      <c r="AG183" s="75"/>
      <c r="AH183" s="75"/>
      <c r="AI183" s="75"/>
      <c r="AJ183" s="75"/>
      <c r="AK183" s="75"/>
      <c r="AL183" s="75"/>
      <c r="AM183" s="75"/>
      <c r="AN183" s="75"/>
      <c r="AO183" s="75"/>
      <c r="AP183" s="75"/>
      <c r="AQ183" s="75"/>
      <c r="AR183" s="59"/>
      <c r="AT183" s="65" t="str">
        <f t="shared" si="49"/>
        <v/>
      </c>
      <c r="AU183" s="66"/>
      <c r="AV183" s="66">
        <f t="shared" si="51"/>
        <v>0</v>
      </c>
      <c r="AW183" s="66"/>
    </row>
    <row r="184" spans="1:49" s="31" customFormat="1" ht="15" hidden="1" customHeight="1" x14ac:dyDescent="0.2">
      <c r="A184" s="82" t="str">
        <f t="shared" si="50"/>
        <v/>
      </c>
      <c r="B184" s="75"/>
      <c r="C184" s="75"/>
      <c r="D184" s="75"/>
      <c r="E184" s="75"/>
      <c r="F184" s="75"/>
      <c r="G184" s="75"/>
      <c r="H184" s="75"/>
      <c r="I184" s="75"/>
      <c r="J184" s="75"/>
      <c r="K184" s="75"/>
      <c r="L184" s="75"/>
      <c r="M184" s="75"/>
      <c r="N184" s="59"/>
      <c r="P184" s="65" t="str">
        <f t="shared" si="45"/>
        <v/>
      </c>
      <c r="Q184" s="75"/>
      <c r="R184" s="75"/>
      <c r="S184" s="75"/>
      <c r="T184" s="75"/>
      <c r="U184" s="75"/>
      <c r="V184" s="75"/>
      <c r="W184" s="75"/>
      <c r="X184" s="75"/>
      <c r="Y184" s="75"/>
      <c r="Z184" s="75"/>
      <c r="AA184" s="75"/>
      <c r="AB184" s="75"/>
      <c r="AC184" s="59"/>
      <c r="AE184" s="65" t="str">
        <f t="shared" si="47"/>
        <v/>
      </c>
      <c r="AF184" s="75"/>
      <c r="AG184" s="75"/>
      <c r="AH184" s="75"/>
      <c r="AI184" s="75"/>
      <c r="AJ184" s="75"/>
      <c r="AK184" s="75"/>
      <c r="AL184" s="75"/>
      <c r="AM184" s="75"/>
      <c r="AN184" s="75"/>
      <c r="AO184" s="75"/>
      <c r="AP184" s="75"/>
      <c r="AQ184" s="75"/>
      <c r="AR184" s="59"/>
      <c r="AT184" s="65" t="str">
        <f t="shared" si="49"/>
        <v/>
      </c>
      <c r="AU184" s="66"/>
      <c r="AV184" s="66">
        <f t="shared" si="51"/>
        <v>0</v>
      </c>
      <c r="AW184" s="66"/>
    </row>
    <row r="185" spans="1:49" s="31" customFormat="1" ht="15" hidden="1" customHeight="1" x14ac:dyDescent="0.2">
      <c r="A185" s="82" t="str">
        <f t="shared" si="50"/>
        <v/>
      </c>
      <c r="B185" s="75"/>
      <c r="C185" s="75"/>
      <c r="D185" s="75"/>
      <c r="E185" s="75"/>
      <c r="F185" s="75"/>
      <c r="G185" s="75"/>
      <c r="H185" s="75"/>
      <c r="I185" s="75"/>
      <c r="J185" s="75"/>
      <c r="K185" s="75"/>
      <c r="L185" s="75"/>
      <c r="M185" s="75"/>
      <c r="N185" s="59"/>
      <c r="P185" s="65" t="str">
        <f t="shared" si="45"/>
        <v/>
      </c>
      <c r="Q185" s="75"/>
      <c r="R185" s="75"/>
      <c r="S185" s="75"/>
      <c r="T185" s="75"/>
      <c r="U185" s="75"/>
      <c r="V185" s="75"/>
      <c r="W185" s="75"/>
      <c r="X185" s="75"/>
      <c r="Y185" s="75"/>
      <c r="Z185" s="75"/>
      <c r="AA185" s="75"/>
      <c r="AB185" s="75"/>
      <c r="AC185" s="59"/>
      <c r="AE185" s="65" t="str">
        <f t="shared" si="47"/>
        <v/>
      </c>
      <c r="AF185" s="75"/>
      <c r="AG185" s="75"/>
      <c r="AH185" s="75"/>
      <c r="AI185" s="75"/>
      <c r="AJ185" s="75"/>
      <c r="AK185" s="75"/>
      <c r="AL185" s="75"/>
      <c r="AM185" s="75"/>
      <c r="AN185" s="75"/>
      <c r="AO185" s="75"/>
      <c r="AP185" s="75"/>
      <c r="AQ185" s="75"/>
      <c r="AR185" s="59"/>
      <c r="AT185" s="65" t="str">
        <f t="shared" si="49"/>
        <v/>
      </c>
      <c r="AU185" s="66"/>
      <c r="AV185" s="66">
        <f t="shared" si="51"/>
        <v>0</v>
      </c>
      <c r="AW185" s="66"/>
    </row>
    <row r="186" spans="1:49" s="31" customFormat="1" ht="15" hidden="1" customHeight="1" x14ac:dyDescent="0.2">
      <c r="A186" s="82" t="str">
        <f t="shared" si="50"/>
        <v/>
      </c>
      <c r="B186" s="75"/>
      <c r="C186" s="75"/>
      <c r="D186" s="75"/>
      <c r="E186" s="75"/>
      <c r="F186" s="75"/>
      <c r="G186" s="75"/>
      <c r="H186" s="75"/>
      <c r="I186" s="75"/>
      <c r="J186" s="75"/>
      <c r="K186" s="75"/>
      <c r="L186" s="75"/>
      <c r="M186" s="75"/>
      <c r="N186" s="59"/>
      <c r="P186" s="65" t="str">
        <f t="shared" si="45"/>
        <v/>
      </c>
      <c r="Q186" s="75"/>
      <c r="R186" s="75"/>
      <c r="S186" s="75"/>
      <c r="T186" s="75"/>
      <c r="U186" s="75"/>
      <c r="V186" s="75"/>
      <c r="W186" s="75"/>
      <c r="X186" s="75"/>
      <c r="Y186" s="75"/>
      <c r="Z186" s="75"/>
      <c r="AA186" s="75"/>
      <c r="AB186" s="75"/>
      <c r="AC186" s="59"/>
      <c r="AE186" s="65" t="str">
        <f t="shared" si="47"/>
        <v/>
      </c>
      <c r="AF186" s="75"/>
      <c r="AG186" s="75"/>
      <c r="AH186" s="75"/>
      <c r="AI186" s="75"/>
      <c r="AJ186" s="75"/>
      <c r="AK186" s="75"/>
      <c r="AL186" s="75"/>
      <c r="AM186" s="75"/>
      <c r="AN186" s="75"/>
      <c r="AO186" s="75"/>
      <c r="AP186" s="75"/>
      <c r="AQ186" s="75"/>
      <c r="AR186" s="59"/>
      <c r="AT186" s="65" t="str">
        <f t="shared" si="49"/>
        <v/>
      </c>
      <c r="AU186" s="66"/>
      <c r="AV186" s="66">
        <f t="shared" si="51"/>
        <v>0</v>
      </c>
      <c r="AW186" s="66"/>
    </row>
    <row r="187" spans="1:49" s="38" customFormat="1" ht="15" hidden="1" customHeight="1" x14ac:dyDescent="0.2">
      <c r="A187" s="82" t="str">
        <f t="shared" si="50"/>
        <v/>
      </c>
      <c r="B187" s="75"/>
      <c r="C187" s="75"/>
      <c r="D187" s="75"/>
      <c r="E187" s="75"/>
      <c r="F187" s="75"/>
      <c r="G187" s="75"/>
      <c r="H187" s="75"/>
      <c r="I187" s="75"/>
      <c r="J187" s="75"/>
      <c r="K187" s="75"/>
      <c r="L187" s="75"/>
      <c r="M187" s="75"/>
      <c r="N187" s="59"/>
      <c r="P187" s="65" t="str">
        <f t="shared" si="45"/>
        <v/>
      </c>
      <c r="Q187" s="75"/>
      <c r="R187" s="75"/>
      <c r="S187" s="75"/>
      <c r="T187" s="75"/>
      <c r="U187" s="75"/>
      <c r="V187" s="75"/>
      <c r="W187" s="75"/>
      <c r="X187" s="75"/>
      <c r="Y187" s="75"/>
      <c r="Z187" s="75"/>
      <c r="AA187" s="75"/>
      <c r="AB187" s="75"/>
      <c r="AC187" s="59"/>
      <c r="AE187" s="65" t="str">
        <f t="shared" si="47"/>
        <v/>
      </c>
      <c r="AF187" s="54"/>
      <c r="AG187" s="54"/>
      <c r="AH187" s="54"/>
      <c r="AI187" s="54"/>
      <c r="AJ187" s="54"/>
      <c r="AK187" s="54"/>
      <c r="AL187" s="54"/>
      <c r="AM187" s="54"/>
      <c r="AN187" s="54"/>
      <c r="AO187" s="54"/>
      <c r="AP187" s="54"/>
      <c r="AQ187" s="54"/>
      <c r="AR187" s="55"/>
      <c r="AS187" s="40"/>
      <c r="AT187" s="65" t="str">
        <f t="shared" si="49"/>
        <v/>
      </c>
      <c r="AU187" s="69"/>
      <c r="AV187" s="69">
        <f t="shared" si="51"/>
        <v>0</v>
      </c>
      <c r="AW187" s="69"/>
    </row>
    <row r="188" spans="1:49" s="38" customFormat="1" ht="15" hidden="1" customHeight="1" x14ac:dyDescent="0.2">
      <c r="A188" s="82" t="str">
        <f t="shared" si="50"/>
        <v/>
      </c>
      <c r="B188" s="75"/>
      <c r="C188" s="75"/>
      <c r="D188" s="75"/>
      <c r="E188" s="75"/>
      <c r="F188" s="75"/>
      <c r="G188" s="75"/>
      <c r="H188" s="75"/>
      <c r="I188" s="75"/>
      <c r="J188" s="75"/>
      <c r="K188" s="75"/>
      <c r="L188" s="75"/>
      <c r="M188" s="75"/>
      <c r="N188" s="59"/>
      <c r="P188" s="65" t="str">
        <f t="shared" si="45"/>
        <v/>
      </c>
      <c r="Q188" s="75"/>
      <c r="R188" s="75"/>
      <c r="S188" s="75"/>
      <c r="T188" s="75"/>
      <c r="U188" s="75"/>
      <c r="V188" s="75"/>
      <c r="W188" s="75"/>
      <c r="X188" s="75"/>
      <c r="Y188" s="75"/>
      <c r="Z188" s="75"/>
      <c r="AA188" s="75"/>
      <c r="AB188" s="75"/>
      <c r="AC188" s="59"/>
      <c r="AE188" s="65" t="str">
        <f t="shared" si="47"/>
        <v/>
      </c>
      <c r="AF188" s="54"/>
      <c r="AG188" s="54"/>
      <c r="AH188" s="54"/>
      <c r="AI188" s="54"/>
      <c r="AJ188" s="54"/>
      <c r="AK188" s="54"/>
      <c r="AL188" s="54"/>
      <c r="AM188" s="54"/>
      <c r="AN188" s="54"/>
      <c r="AO188" s="54"/>
      <c r="AP188" s="54"/>
      <c r="AQ188" s="54"/>
      <c r="AR188" s="55"/>
      <c r="AS188" s="40"/>
      <c r="AT188" s="65" t="str">
        <f t="shared" si="49"/>
        <v/>
      </c>
      <c r="AU188" s="69"/>
      <c r="AV188" s="69">
        <f t="shared" si="51"/>
        <v>0</v>
      </c>
      <c r="AW188" s="69"/>
    </row>
    <row r="189" spans="1:49" s="38" customFormat="1" ht="15" hidden="1" customHeight="1" x14ac:dyDescent="0.2">
      <c r="A189" s="82" t="str">
        <f t="shared" si="50"/>
        <v/>
      </c>
      <c r="B189" s="75"/>
      <c r="C189" s="75"/>
      <c r="D189" s="75"/>
      <c r="E189" s="75"/>
      <c r="F189" s="75"/>
      <c r="G189" s="75"/>
      <c r="H189" s="75"/>
      <c r="I189" s="75"/>
      <c r="J189" s="75"/>
      <c r="K189" s="75"/>
      <c r="L189" s="75"/>
      <c r="M189" s="75"/>
      <c r="N189" s="59"/>
      <c r="P189" s="65" t="str">
        <f t="shared" si="45"/>
        <v/>
      </c>
      <c r="Q189" s="75"/>
      <c r="R189" s="75"/>
      <c r="S189" s="75"/>
      <c r="T189" s="75"/>
      <c r="U189" s="75"/>
      <c r="V189" s="75"/>
      <c r="W189" s="75"/>
      <c r="X189" s="75"/>
      <c r="Y189" s="75"/>
      <c r="Z189" s="75"/>
      <c r="AA189" s="75"/>
      <c r="AB189" s="75"/>
      <c r="AC189" s="59"/>
      <c r="AE189" s="65" t="str">
        <f t="shared" si="47"/>
        <v/>
      </c>
      <c r="AF189" s="54"/>
      <c r="AG189" s="54"/>
      <c r="AH189" s="54"/>
      <c r="AI189" s="54"/>
      <c r="AJ189" s="54"/>
      <c r="AK189" s="54"/>
      <c r="AL189" s="54"/>
      <c r="AM189" s="54"/>
      <c r="AN189" s="54"/>
      <c r="AO189" s="54"/>
      <c r="AP189" s="54"/>
      <c r="AQ189" s="54"/>
      <c r="AR189" s="55"/>
      <c r="AS189" s="40"/>
      <c r="AT189" s="65" t="str">
        <f t="shared" si="49"/>
        <v/>
      </c>
      <c r="AU189" s="69"/>
      <c r="AV189" s="69">
        <f t="shared" si="51"/>
        <v>0</v>
      </c>
      <c r="AW189" s="69"/>
    </row>
    <row r="190" spans="1:49" s="38" customFormat="1" ht="15" hidden="1" customHeight="1" x14ac:dyDescent="0.2">
      <c r="A190" s="82" t="str">
        <f t="shared" si="50"/>
        <v/>
      </c>
      <c r="B190" s="75"/>
      <c r="C190" s="75"/>
      <c r="D190" s="75"/>
      <c r="E190" s="75"/>
      <c r="F190" s="75"/>
      <c r="G190" s="75"/>
      <c r="H190" s="75"/>
      <c r="I190" s="75"/>
      <c r="J190" s="75"/>
      <c r="K190" s="75"/>
      <c r="L190" s="75"/>
      <c r="M190" s="75"/>
      <c r="N190" s="59"/>
      <c r="P190" s="65" t="str">
        <f t="shared" si="45"/>
        <v/>
      </c>
      <c r="Q190" s="75"/>
      <c r="R190" s="75"/>
      <c r="S190" s="75"/>
      <c r="T190" s="75"/>
      <c r="U190" s="75"/>
      <c r="V190" s="75"/>
      <c r="W190" s="75"/>
      <c r="X190" s="75"/>
      <c r="Y190" s="75"/>
      <c r="Z190" s="75"/>
      <c r="AA190" s="75"/>
      <c r="AB190" s="75"/>
      <c r="AC190" s="59"/>
      <c r="AE190" s="65" t="str">
        <f t="shared" si="47"/>
        <v/>
      </c>
      <c r="AF190" s="54"/>
      <c r="AG190" s="54"/>
      <c r="AH190" s="54"/>
      <c r="AI190" s="54"/>
      <c r="AJ190" s="54"/>
      <c r="AK190" s="54"/>
      <c r="AL190" s="54"/>
      <c r="AM190" s="54"/>
      <c r="AN190" s="54"/>
      <c r="AO190" s="54"/>
      <c r="AP190" s="54"/>
      <c r="AQ190" s="54"/>
      <c r="AR190" s="55"/>
      <c r="AS190" s="40"/>
      <c r="AT190" s="65" t="str">
        <f t="shared" si="49"/>
        <v/>
      </c>
      <c r="AU190" s="69"/>
      <c r="AV190" s="69">
        <f t="shared" si="51"/>
        <v>0</v>
      </c>
      <c r="AW190" s="69"/>
    </row>
    <row r="191" spans="1:49" s="38" customFormat="1" ht="15" hidden="1" customHeight="1" x14ac:dyDescent="0.2">
      <c r="A191" s="82" t="str">
        <f t="shared" si="50"/>
        <v/>
      </c>
      <c r="B191" s="75"/>
      <c r="C191" s="75"/>
      <c r="D191" s="75"/>
      <c r="E191" s="75"/>
      <c r="F191" s="75"/>
      <c r="G191" s="75"/>
      <c r="H191" s="75"/>
      <c r="I191" s="75"/>
      <c r="J191" s="75"/>
      <c r="K191" s="75"/>
      <c r="L191" s="75"/>
      <c r="M191" s="75"/>
      <c r="N191" s="59"/>
      <c r="P191" s="65" t="str">
        <f t="shared" si="45"/>
        <v/>
      </c>
      <c r="Q191" s="75"/>
      <c r="R191" s="75"/>
      <c r="S191" s="75"/>
      <c r="T191" s="75"/>
      <c r="U191" s="75"/>
      <c r="V191" s="75"/>
      <c r="W191" s="75"/>
      <c r="X191" s="75"/>
      <c r="Y191" s="75"/>
      <c r="Z191" s="75"/>
      <c r="AA191" s="75"/>
      <c r="AB191" s="75"/>
      <c r="AC191" s="59"/>
      <c r="AE191" s="65" t="str">
        <f t="shared" si="47"/>
        <v/>
      </c>
      <c r="AF191" s="54"/>
      <c r="AG191" s="54"/>
      <c r="AH191" s="54"/>
      <c r="AI191" s="54"/>
      <c r="AJ191" s="54"/>
      <c r="AK191" s="54"/>
      <c r="AL191" s="54"/>
      <c r="AM191" s="54"/>
      <c r="AN191" s="54"/>
      <c r="AO191" s="54"/>
      <c r="AP191" s="54"/>
      <c r="AQ191" s="54"/>
      <c r="AR191" s="55"/>
      <c r="AS191" s="40"/>
      <c r="AT191" s="65" t="str">
        <f t="shared" si="49"/>
        <v/>
      </c>
      <c r="AU191" s="69"/>
      <c r="AV191" s="69">
        <f t="shared" si="51"/>
        <v>0</v>
      </c>
      <c r="AW191" s="69"/>
    </row>
    <row r="192" spans="1:49" s="38" customFormat="1" ht="15" hidden="1" customHeight="1" x14ac:dyDescent="0.2">
      <c r="A192" s="82" t="str">
        <f t="shared" si="50"/>
        <v/>
      </c>
      <c r="B192" s="75"/>
      <c r="C192" s="75"/>
      <c r="D192" s="75"/>
      <c r="E192" s="75"/>
      <c r="F192" s="75"/>
      <c r="G192" s="75"/>
      <c r="H192" s="75"/>
      <c r="I192" s="75"/>
      <c r="J192" s="75"/>
      <c r="K192" s="75"/>
      <c r="L192" s="75"/>
      <c r="M192" s="75"/>
      <c r="N192" s="59"/>
      <c r="P192" s="65" t="str">
        <f t="shared" si="45"/>
        <v/>
      </c>
      <c r="Q192" s="75"/>
      <c r="R192" s="75"/>
      <c r="S192" s="75"/>
      <c r="T192" s="75"/>
      <c r="U192" s="75"/>
      <c r="V192" s="75"/>
      <c r="W192" s="75"/>
      <c r="X192" s="75"/>
      <c r="Y192" s="75"/>
      <c r="Z192" s="75"/>
      <c r="AA192" s="75"/>
      <c r="AB192" s="75"/>
      <c r="AC192" s="59"/>
      <c r="AE192" s="65" t="str">
        <f t="shared" si="47"/>
        <v/>
      </c>
      <c r="AF192" s="54"/>
      <c r="AG192" s="54"/>
      <c r="AH192" s="54"/>
      <c r="AI192" s="54"/>
      <c r="AJ192" s="54"/>
      <c r="AK192" s="54"/>
      <c r="AL192" s="54"/>
      <c r="AM192" s="54"/>
      <c r="AN192" s="54"/>
      <c r="AO192" s="54"/>
      <c r="AP192" s="54"/>
      <c r="AQ192" s="54"/>
      <c r="AR192" s="55"/>
      <c r="AS192" s="40"/>
      <c r="AT192" s="65" t="str">
        <f t="shared" si="49"/>
        <v/>
      </c>
      <c r="AU192" s="69"/>
      <c r="AV192" s="69">
        <f t="shared" si="51"/>
        <v>0</v>
      </c>
      <c r="AW192" s="69"/>
    </row>
    <row r="193" spans="1:49" s="38" customFormat="1" ht="15" hidden="1" customHeight="1" x14ac:dyDescent="0.2">
      <c r="A193" s="82" t="str">
        <f t="shared" si="50"/>
        <v/>
      </c>
      <c r="B193" s="75"/>
      <c r="C193" s="75"/>
      <c r="D193" s="75"/>
      <c r="E193" s="75"/>
      <c r="F193" s="75"/>
      <c r="G193" s="75"/>
      <c r="H193" s="75"/>
      <c r="I193" s="75"/>
      <c r="J193" s="75"/>
      <c r="K193" s="75"/>
      <c r="L193" s="75"/>
      <c r="M193" s="75"/>
      <c r="N193" s="59"/>
      <c r="P193" s="65" t="str">
        <f t="shared" si="45"/>
        <v/>
      </c>
      <c r="Q193" s="75"/>
      <c r="R193" s="75"/>
      <c r="S193" s="75"/>
      <c r="T193" s="75"/>
      <c r="U193" s="75"/>
      <c r="V193" s="75"/>
      <c r="W193" s="75"/>
      <c r="X193" s="75"/>
      <c r="Y193" s="75"/>
      <c r="Z193" s="75"/>
      <c r="AA193" s="75"/>
      <c r="AB193" s="75"/>
      <c r="AC193" s="59"/>
      <c r="AE193" s="65" t="str">
        <f t="shared" si="47"/>
        <v/>
      </c>
      <c r="AF193" s="54"/>
      <c r="AG193" s="54"/>
      <c r="AH193" s="54"/>
      <c r="AI193" s="54"/>
      <c r="AJ193" s="54"/>
      <c r="AK193" s="54"/>
      <c r="AL193" s="54"/>
      <c r="AM193" s="54"/>
      <c r="AN193" s="54"/>
      <c r="AO193" s="54"/>
      <c r="AP193" s="54"/>
      <c r="AQ193" s="54"/>
      <c r="AR193" s="55"/>
      <c r="AS193" s="40"/>
      <c r="AT193" s="65" t="str">
        <f t="shared" si="49"/>
        <v/>
      </c>
      <c r="AU193" s="69"/>
      <c r="AV193" s="69">
        <f t="shared" si="51"/>
        <v>0</v>
      </c>
      <c r="AW193" s="69"/>
    </row>
    <row r="194" spans="1:49" s="38" customFormat="1" ht="15" hidden="1" customHeight="1" x14ac:dyDescent="0.2">
      <c r="A194" s="82" t="str">
        <f t="shared" si="50"/>
        <v/>
      </c>
      <c r="B194" s="76"/>
      <c r="C194" s="76"/>
      <c r="D194" s="76"/>
      <c r="E194" s="76"/>
      <c r="F194" s="76"/>
      <c r="G194" s="76"/>
      <c r="H194" s="76"/>
      <c r="I194" s="76"/>
      <c r="J194" s="76"/>
      <c r="K194" s="76"/>
      <c r="L194" s="76"/>
      <c r="M194" s="76"/>
      <c r="N194" s="71"/>
      <c r="P194" s="65" t="str">
        <f t="shared" si="45"/>
        <v/>
      </c>
      <c r="Q194" s="76"/>
      <c r="R194" s="76"/>
      <c r="S194" s="76"/>
      <c r="T194" s="76"/>
      <c r="U194" s="76"/>
      <c r="V194" s="76"/>
      <c r="W194" s="76"/>
      <c r="X194" s="76"/>
      <c r="Y194" s="76"/>
      <c r="Z194" s="76"/>
      <c r="AA194" s="76"/>
      <c r="AB194" s="76"/>
      <c r="AC194" s="71"/>
      <c r="AE194" s="65" t="str">
        <f t="shared" si="47"/>
        <v/>
      </c>
      <c r="AF194" s="60"/>
      <c r="AG194" s="60"/>
      <c r="AH194" s="60"/>
      <c r="AI194" s="60"/>
      <c r="AJ194" s="60"/>
      <c r="AK194" s="60"/>
      <c r="AL194" s="60"/>
      <c r="AM194" s="60"/>
      <c r="AN194" s="60"/>
      <c r="AO194" s="60"/>
      <c r="AP194" s="60"/>
      <c r="AQ194" s="60"/>
      <c r="AR194" s="61"/>
      <c r="AS194" s="40"/>
      <c r="AT194" s="65" t="str">
        <f t="shared" si="49"/>
        <v/>
      </c>
      <c r="AU194" s="72"/>
      <c r="AV194" s="72">
        <f t="shared" si="51"/>
        <v>0</v>
      </c>
      <c r="AW194" s="72"/>
    </row>
    <row r="195" spans="1:49" s="38" customFormat="1" ht="15" customHeight="1" x14ac:dyDescent="0.2">
      <c r="A195" s="63" t="s">
        <v>21</v>
      </c>
      <c r="B195" s="63">
        <f t="shared" ref="B195:M195" si="52">SUM(B170:B172)</f>
        <v>32846</v>
      </c>
      <c r="C195" s="63">
        <f t="shared" si="52"/>
        <v>29710.25</v>
      </c>
      <c r="D195" s="63">
        <f t="shared" si="52"/>
        <v>32519.5</v>
      </c>
      <c r="E195" s="63">
        <f t="shared" si="52"/>
        <v>38301.25</v>
      </c>
      <c r="F195" s="63">
        <f t="shared" si="52"/>
        <v>40336</v>
      </c>
      <c r="G195" s="63">
        <f t="shared" si="52"/>
        <v>45343.25</v>
      </c>
      <c r="H195" s="63">
        <f t="shared" si="52"/>
        <v>45343.25</v>
      </c>
      <c r="I195" s="63">
        <f t="shared" si="52"/>
        <v>46281</v>
      </c>
      <c r="J195" s="63">
        <f t="shared" si="52"/>
        <v>49640.75</v>
      </c>
      <c r="K195" s="63">
        <f t="shared" si="52"/>
        <v>53851</v>
      </c>
      <c r="L195" s="63">
        <f t="shared" si="52"/>
        <v>60595.5</v>
      </c>
      <c r="M195" s="63">
        <f t="shared" si="52"/>
        <v>60595.5</v>
      </c>
      <c r="N195" s="63">
        <f>SUM(N169:N172)</f>
        <v>535363.25</v>
      </c>
      <c r="P195" s="63" t="s">
        <v>21</v>
      </c>
      <c r="Q195" s="63">
        <f t="shared" ref="Q195:AB195" si="53">SUM(Q170:Q172)</f>
        <v>49805.75</v>
      </c>
      <c r="R195" s="63">
        <f t="shared" si="53"/>
        <v>40789</v>
      </c>
      <c r="S195" s="63">
        <f t="shared" si="53"/>
        <v>42773.75</v>
      </c>
      <c r="T195" s="63">
        <f t="shared" si="53"/>
        <v>48031</v>
      </c>
      <c r="U195" s="63">
        <f t="shared" si="53"/>
        <v>51090.25</v>
      </c>
      <c r="V195" s="63">
        <f t="shared" si="53"/>
        <v>57422</v>
      </c>
      <c r="W195" s="63">
        <f t="shared" si="53"/>
        <v>60319</v>
      </c>
      <c r="X195" s="63">
        <f t="shared" si="53"/>
        <v>58122.25</v>
      </c>
      <c r="Y195" s="63">
        <f t="shared" si="53"/>
        <v>61494.5</v>
      </c>
      <c r="Z195" s="63">
        <f t="shared" si="53"/>
        <v>65767.25</v>
      </c>
      <c r="AA195" s="63">
        <f t="shared" si="53"/>
        <v>72387</v>
      </c>
      <c r="AB195" s="63">
        <f t="shared" si="53"/>
        <v>71457</v>
      </c>
      <c r="AC195" s="63">
        <f>SUM(AC169:AC172)</f>
        <v>679458.75</v>
      </c>
      <c r="AE195" s="63" t="s">
        <v>21</v>
      </c>
      <c r="AF195" s="63">
        <f t="shared" ref="AF195:AQ195" si="54">SUM(AF170:AF172)</f>
        <v>67443</v>
      </c>
      <c r="AG195" s="63">
        <f t="shared" si="54"/>
        <v>55602</v>
      </c>
      <c r="AH195" s="63">
        <f t="shared" si="54"/>
        <v>57549.5</v>
      </c>
      <c r="AI195" s="63">
        <f t="shared" si="54"/>
        <v>63444</v>
      </c>
      <c r="AJ195" s="63">
        <f t="shared" si="54"/>
        <v>66990.75</v>
      </c>
      <c r="AK195" s="63">
        <f t="shared" si="54"/>
        <v>73482.5</v>
      </c>
      <c r="AL195" s="63">
        <f t="shared" si="54"/>
        <v>76427</v>
      </c>
      <c r="AM195" s="63">
        <f t="shared" si="54"/>
        <v>73916.5</v>
      </c>
      <c r="AN195" s="63">
        <f t="shared" si="54"/>
        <v>77895</v>
      </c>
      <c r="AO195" s="63">
        <f t="shared" si="54"/>
        <v>81805</v>
      </c>
      <c r="AP195" s="63">
        <f t="shared" si="54"/>
        <v>88874.5</v>
      </c>
      <c r="AQ195" s="63">
        <f t="shared" si="54"/>
        <v>88238</v>
      </c>
      <c r="AR195" s="63">
        <f>SUM(AR169:AR172)</f>
        <v>871667.75</v>
      </c>
      <c r="AT195" s="63" t="s">
        <v>21</v>
      </c>
      <c r="AU195" s="63">
        <f>AC195-N195</f>
        <v>144095.5</v>
      </c>
      <c r="AV195" s="63">
        <f t="shared" si="51"/>
        <v>463906.25</v>
      </c>
      <c r="AW195" s="63">
        <f>AR195-AC195</f>
        <v>192209</v>
      </c>
    </row>
    <row r="196" spans="1:49" s="38" customFormat="1" ht="15" customHeight="1" x14ac:dyDescent="0.2">
      <c r="N196" s="40"/>
      <c r="Q196" s="39"/>
    </row>
    <row r="197" spans="1:49" s="31" customFormat="1" ht="15" customHeight="1" x14ac:dyDescent="0.2">
      <c r="A197" s="32"/>
      <c r="B197" s="32"/>
      <c r="C197" s="32"/>
      <c r="D197" s="32"/>
      <c r="E197" s="32"/>
      <c r="F197" s="32"/>
      <c r="G197" s="32"/>
      <c r="H197" s="32"/>
      <c r="I197" s="32"/>
      <c r="J197" s="32"/>
      <c r="K197" s="32"/>
      <c r="L197" s="32"/>
      <c r="M197" s="32"/>
      <c r="N197" s="32"/>
      <c r="O197" s="37"/>
      <c r="P197" s="32"/>
      <c r="Q197" s="36"/>
      <c r="R197" s="36"/>
      <c r="S197" s="36"/>
      <c r="T197" s="36"/>
      <c r="U197" s="36"/>
      <c r="V197" s="36"/>
      <c r="W197" s="36"/>
      <c r="X197" s="36"/>
      <c r="Y197" s="36"/>
      <c r="Z197" s="36"/>
      <c r="AA197" s="36"/>
      <c r="AB197" s="36"/>
      <c r="AC197" s="32"/>
      <c r="AD197" s="35"/>
      <c r="AE197" s="32"/>
      <c r="AF197" s="32"/>
      <c r="AG197" s="32"/>
      <c r="AH197" s="32"/>
      <c r="AI197" s="32"/>
      <c r="AJ197" s="32"/>
      <c r="AK197" s="32"/>
      <c r="AL197" s="32"/>
      <c r="AM197" s="32"/>
      <c r="AN197" s="32"/>
      <c r="AO197" s="32"/>
      <c r="AP197" s="32"/>
      <c r="AQ197" s="32"/>
      <c r="AR197" s="32"/>
      <c r="AT197" s="32"/>
    </row>
    <row r="198" spans="1:49" s="31" customFormat="1" ht="18" customHeight="1" x14ac:dyDescent="0.2">
      <c r="A198" s="32"/>
      <c r="B198" s="32"/>
      <c r="C198" s="32"/>
      <c r="D198" s="32"/>
      <c r="E198" s="32"/>
      <c r="F198" s="32"/>
      <c r="G198" s="32"/>
      <c r="H198" s="32"/>
      <c r="I198" s="32"/>
      <c r="J198" s="32"/>
      <c r="K198" s="32"/>
      <c r="L198" s="32"/>
      <c r="M198" s="32"/>
      <c r="N198" s="32"/>
      <c r="O198" s="34"/>
      <c r="P198" s="32"/>
      <c r="Q198" s="32"/>
      <c r="R198" s="32"/>
      <c r="S198" s="32"/>
      <c r="T198" s="32"/>
      <c r="U198" s="32"/>
      <c r="V198" s="32"/>
      <c r="W198" s="32"/>
      <c r="X198" s="32"/>
      <c r="Y198" s="32"/>
      <c r="Z198" s="32"/>
      <c r="AA198" s="32"/>
      <c r="AB198" s="33"/>
      <c r="AC198" s="32"/>
      <c r="AD198" s="34"/>
      <c r="AE198" s="32"/>
      <c r="AF198" s="32"/>
      <c r="AG198" s="32"/>
      <c r="AH198" s="32"/>
      <c r="AI198" s="32"/>
      <c r="AJ198" s="32"/>
      <c r="AK198" s="32"/>
      <c r="AL198" s="32"/>
      <c r="AM198" s="32"/>
      <c r="AN198" s="32"/>
      <c r="AO198" s="32"/>
      <c r="AP198" s="32"/>
      <c r="AQ198" s="33"/>
      <c r="AR198" s="32"/>
      <c r="AT198" s="32"/>
    </row>
    <row r="199" spans="1:49" x14ac:dyDescent="0.2">
      <c r="P199" s="27"/>
      <c r="Q199" s="26"/>
    </row>
    <row r="200" spans="1:49" x14ac:dyDescent="0.2">
      <c r="P200" s="27"/>
      <c r="Q200" s="26"/>
    </row>
    <row r="201" spans="1:49" x14ac:dyDescent="0.2">
      <c r="P201" s="27"/>
      <c r="Q201" s="26"/>
    </row>
    <row r="202" spans="1:49" x14ac:dyDescent="0.2">
      <c r="P202" s="27"/>
      <c r="Q202" s="26"/>
    </row>
    <row r="203" spans="1:49" ht="18" customHeight="1" x14ac:dyDescent="0.2">
      <c r="A203" s="28"/>
      <c r="B203" s="28"/>
      <c r="C203" s="28"/>
      <c r="D203" s="28"/>
      <c r="E203" s="28"/>
      <c r="F203" s="28"/>
      <c r="G203" s="28"/>
      <c r="H203" s="28"/>
      <c r="I203" s="28"/>
      <c r="J203" s="28"/>
      <c r="K203" s="28"/>
      <c r="L203" s="28"/>
      <c r="M203" s="30"/>
      <c r="O203" s="28"/>
      <c r="P203" s="29"/>
      <c r="Q203" s="26"/>
      <c r="AD203" s="28"/>
      <c r="AS203" s="28"/>
    </row>
    <row r="208" spans="1:49" ht="14.25" x14ac:dyDescent="0.2">
      <c r="H208"/>
      <c r="I208"/>
      <c r="J208"/>
      <c r="K208"/>
      <c r="L208"/>
      <c r="M208"/>
      <c r="N208"/>
      <c r="O208"/>
      <c r="P208"/>
    </row>
    <row r="209" spans="1:46" ht="18" customHeight="1" x14ac:dyDescent="0.2">
      <c r="A209" s="28"/>
      <c r="B209" s="28"/>
      <c r="C209" s="28"/>
      <c r="D209" s="28"/>
      <c r="E209" s="28"/>
      <c r="F209" s="28"/>
      <c r="G209" s="28"/>
      <c r="I209" s="80">
        <v>1</v>
      </c>
      <c r="J209" s="80">
        <v>3</v>
      </c>
      <c r="K209" s="80">
        <v>5</v>
      </c>
      <c r="L209" s="80">
        <v>10</v>
      </c>
      <c r="M209" s="80">
        <v>15</v>
      </c>
      <c r="N209" s="80">
        <v>20</v>
      </c>
      <c r="O209" s="81"/>
      <c r="P209" s="80">
        <v>25</v>
      </c>
      <c r="Q209" s="29"/>
      <c r="AE209" s="28"/>
      <c r="AT209" s="28"/>
    </row>
    <row r="210" spans="1:46" x14ac:dyDescent="0.2">
      <c r="H210" s="28">
        <v>7</v>
      </c>
      <c r="I210" s="30">
        <f t="shared" ref="I210:N216" si="55">$H210+(I$209-1)</f>
        <v>7</v>
      </c>
      <c r="J210" s="30">
        <f t="shared" si="55"/>
        <v>9</v>
      </c>
      <c r="K210" s="30">
        <f t="shared" si="55"/>
        <v>11</v>
      </c>
      <c r="L210" s="30">
        <f t="shared" si="55"/>
        <v>16</v>
      </c>
      <c r="M210" s="30">
        <f t="shared" si="55"/>
        <v>21</v>
      </c>
      <c r="N210" s="30">
        <f t="shared" si="55"/>
        <v>26</v>
      </c>
      <c r="O210" s="30"/>
      <c r="P210" s="30">
        <f t="shared" ref="P210:P216" si="56">$H210+(P$209-1)</f>
        <v>31</v>
      </c>
    </row>
    <row r="211" spans="1:46" x14ac:dyDescent="0.2">
      <c r="H211" s="26">
        <v>34</v>
      </c>
      <c r="I211" s="30">
        <f t="shared" si="55"/>
        <v>34</v>
      </c>
      <c r="J211" s="30">
        <f t="shared" si="55"/>
        <v>36</v>
      </c>
      <c r="K211" s="30">
        <f t="shared" si="55"/>
        <v>38</v>
      </c>
      <c r="L211" s="30">
        <f t="shared" si="55"/>
        <v>43</v>
      </c>
      <c r="M211" s="30">
        <f t="shared" si="55"/>
        <v>48</v>
      </c>
      <c r="N211" s="30">
        <f t="shared" si="55"/>
        <v>53</v>
      </c>
      <c r="O211" s="30"/>
      <c r="P211" s="30">
        <f t="shared" si="56"/>
        <v>58</v>
      </c>
    </row>
    <row r="212" spans="1:46" x14ac:dyDescent="0.2">
      <c r="H212" s="26">
        <v>61</v>
      </c>
      <c r="I212" s="30">
        <f t="shared" si="55"/>
        <v>61</v>
      </c>
      <c r="J212" s="30">
        <f t="shared" si="55"/>
        <v>63</v>
      </c>
      <c r="K212" s="30">
        <f t="shared" si="55"/>
        <v>65</v>
      </c>
      <c r="L212" s="30">
        <f t="shared" si="55"/>
        <v>70</v>
      </c>
      <c r="M212" s="30">
        <f t="shared" si="55"/>
        <v>75</v>
      </c>
      <c r="N212" s="30">
        <f t="shared" si="55"/>
        <v>80</v>
      </c>
      <c r="O212" s="30"/>
      <c r="P212" s="30">
        <f t="shared" si="56"/>
        <v>85</v>
      </c>
    </row>
    <row r="213" spans="1:46" x14ac:dyDescent="0.2">
      <c r="H213" s="26">
        <v>88</v>
      </c>
      <c r="I213" s="30">
        <f t="shared" si="55"/>
        <v>88</v>
      </c>
      <c r="J213" s="30">
        <f t="shared" si="55"/>
        <v>90</v>
      </c>
      <c r="K213" s="30">
        <f t="shared" si="55"/>
        <v>92</v>
      </c>
      <c r="L213" s="30">
        <f t="shared" si="55"/>
        <v>97</v>
      </c>
      <c r="M213" s="30">
        <f t="shared" si="55"/>
        <v>102</v>
      </c>
      <c r="N213" s="30">
        <f t="shared" si="55"/>
        <v>107</v>
      </c>
      <c r="O213" s="30"/>
      <c r="P213" s="30">
        <f t="shared" si="56"/>
        <v>112</v>
      </c>
    </row>
    <row r="214" spans="1:46" x14ac:dyDescent="0.2">
      <c r="H214" s="26">
        <v>116</v>
      </c>
      <c r="I214" s="30">
        <f t="shared" si="55"/>
        <v>116</v>
      </c>
      <c r="J214" s="30">
        <f t="shared" si="55"/>
        <v>118</v>
      </c>
      <c r="K214" s="30">
        <f t="shared" si="55"/>
        <v>120</v>
      </c>
      <c r="L214" s="30">
        <f t="shared" si="55"/>
        <v>125</v>
      </c>
      <c r="M214" s="30">
        <f t="shared" si="55"/>
        <v>130</v>
      </c>
      <c r="N214" s="30">
        <f t="shared" si="55"/>
        <v>135</v>
      </c>
      <c r="O214" s="30"/>
      <c r="P214" s="30">
        <f t="shared" si="56"/>
        <v>140</v>
      </c>
    </row>
    <row r="215" spans="1:46" x14ac:dyDescent="0.2">
      <c r="H215" s="26">
        <v>143</v>
      </c>
      <c r="I215" s="30">
        <f t="shared" si="55"/>
        <v>143</v>
      </c>
      <c r="J215" s="30">
        <f t="shared" si="55"/>
        <v>145</v>
      </c>
      <c r="K215" s="30">
        <f t="shared" si="55"/>
        <v>147</v>
      </c>
      <c r="L215" s="30">
        <f t="shared" si="55"/>
        <v>152</v>
      </c>
      <c r="M215" s="30">
        <f t="shared" si="55"/>
        <v>157</v>
      </c>
      <c r="N215" s="30">
        <f t="shared" si="55"/>
        <v>162</v>
      </c>
      <c r="O215" s="30"/>
      <c r="P215" s="30">
        <f t="shared" si="56"/>
        <v>167</v>
      </c>
    </row>
    <row r="216" spans="1:46" x14ac:dyDescent="0.2">
      <c r="H216" s="26">
        <v>170</v>
      </c>
      <c r="I216" s="30">
        <f t="shared" si="55"/>
        <v>170</v>
      </c>
      <c r="J216" s="30">
        <f t="shared" si="55"/>
        <v>172</v>
      </c>
      <c r="K216" s="30">
        <f t="shared" si="55"/>
        <v>174</v>
      </c>
      <c r="L216" s="30">
        <f t="shared" si="55"/>
        <v>179</v>
      </c>
      <c r="M216" s="30">
        <f t="shared" si="55"/>
        <v>184</v>
      </c>
      <c r="N216" s="30">
        <f t="shared" si="55"/>
        <v>189</v>
      </c>
      <c r="O216" s="30"/>
      <c r="P216" s="30">
        <f t="shared" si="56"/>
        <v>194</v>
      </c>
    </row>
  </sheetData>
  <mergeCells count="5">
    <mergeCell ref="O1:Q1"/>
    <mergeCell ref="A1:C1"/>
    <mergeCell ref="D1:F1"/>
    <mergeCell ref="G1:I1"/>
    <mergeCell ref="D4:E4"/>
  </mergeCells>
  <hyperlinks>
    <hyperlink ref="L1:N1" location="Lists!A1" display="Lists" xr:uid="{87D8110E-82AC-4554-A2FA-C97CD188BE41}"/>
    <hyperlink ref="D1" location="Schedule!A1" display="Schedule" xr:uid="{9F17CCE3-D188-41DE-BC5F-7F7BA5B24BF3}"/>
  </hyperlinks>
  <printOptions horizontalCentered="1"/>
  <pageMargins left="0.4" right="0.4" top="0.3" bottom="0.5" header="0.3" footer="0.25"/>
  <pageSetup orientation="landscape" r:id="rId1"/>
  <headerFooter scaleWithDoc="0"/>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 id="{1788AA1D-8FA1-4D73-AAA1-2D5103FBFA7D}">
            <x14:iconSet iconSet="3Triangles" showValue="0">
              <x14:cfvo type="percent">
                <xm:f>0</xm:f>
              </x14:cfvo>
              <x14:cfvo type="percent">
                <xm:f>0</xm:f>
              </x14:cfvo>
              <x14:cfvo type="percent">
                <xm:f>1</xm:f>
              </x14:cfvo>
            </x14:iconSet>
          </x14:cfRule>
          <xm:sqref>AS7:AS31</xm:sqref>
        </x14:conditionalFormatting>
        <x14:conditionalFormatting xmlns:xm="http://schemas.microsoft.com/office/excel/2006/main">
          <x14:cfRule type="iconSet" priority="5" id="{C60E484B-D48F-45EB-8A2F-11C446386B89}">
            <x14:iconSet iconSet="3Triangles" showValue="0">
              <x14:cfvo type="percent">
                <xm:f>0</xm:f>
              </x14:cfvo>
              <x14:cfvo type="percent">
                <xm:f>0</xm:f>
              </x14:cfvo>
              <x14:cfvo type="percent">
                <xm:f>1</xm:f>
              </x14:cfvo>
            </x14:iconSet>
          </x14:cfRule>
          <xm:sqref>AS52:AS58</xm:sqref>
        </x14:conditionalFormatting>
        <x14:conditionalFormatting xmlns:xm="http://schemas.microsoft.com/office/excel/2006/main">
          <x14:cfRule type="iconSet" priority="4" id="{8DBA3AFD-4AAB-4551-A6FE-A7B9D18B871A}">
            <x14:iconSet iconSet="3Triangles" showValue="0">
              <x14:cfvo type="percent">
                <xm:f>0</xm:f>
              </x14:cfvo>
              <x14:cfvo type="percent">
                <xm:f>0</xm:f>
              </x14:cfvo>
              <x14:cfvo type="percent">
                <xm:f>1</xm:f>
              </x14:cfvo>
            </x14:iconSet>
          </x14:cfRule>
          <xm:sqref>AS78:AS85</xm:sqref>
        </x14:conditionalFormatting>
        <x14:conditionalFormatting xmlns:xm="http://schemas.microsoft.com/office/excel/2006/main">
          <x14:cfRule type="iconSet" priority="3" id="{AD4FA007-A0C5-401A-9B34-DDFD6A524DB0}">
            <x14:iconSet iconSet="3Triangles" showValue="0">
              <x14:cfvo type="percent">
                <xm:f>0</xm:f>
              </x14:cfvo>
              <x14:cfvo type="percent">
                <xm:f>0</xm:f>
              </x14:cfvo>
              <x14:cfvo type="percent">
                <xm:f>1</xm:f>
              </x14:cfvo>
            </x14:iconSet>
          </x14:cfRule>
          <xm:sqref>AS126:AS140</xm:sqref>
        </x14:conditionalFormatting>
        <x14:conditionalFormatting xmlns:xm="http://schemas.microsoft.com/office/excel/2006/main">
          <x14:cfRule type="iconSet" priority="2" id="{541FDCCF-FD21-457E-B711-6C319D4619BB}">
            <x14:iconSet iconSet="3Triangles" showValue="0">
              <x14:cfvo type="percent">
                <xm:f>0</xm:f>
              </x14:cfvo>
              <x14:cfvo type="percent">
                <xm:f>0</xm:f>
              </x14:cfvo>
              <x14:cfvo type="percent">
                <xm:f>1</xm:f>
              </x14:cfvo>
            </x14:iconSet>
          </x14:cfRule>
          <xm:sqref>AS160:AS167</xm:sqref>
        </x14:conditionalFormatting>
        <x14:conditionalFormatting xmlns:xm="http://schemas.microsoft.com/office/excel/2006/main">
          <x14:cfRule type="iconSet" priority="1" id="{84D18440-517C-4348-A936-7541D8EEA377}">
            <x14:iconSet iconSet="3Triangles" showValue="0">
              <x14:cfvo type="percent">
                <xm:f>0</xm:f>
              </x14:cfvo>
              <x14:cfvo type="percent">
                <xm:f>0</xm:f>
              </x14:cfvo>
              <x14:cfvo type="percent">
                <xm:f>1</xm:f>
              </x14:cfvo>
            </x14:iconSet>
          </x14:cfRule>
          <xm:sqref>AS187:AS194</xm:sqref>
        </x14:conditionalFormatting>
        <x14:conditionalFormatting xmlns:xm="http://schemas.microsoft.com/office/excel/2006/main">
          <x14:cfRule type="iconSet" priority="7" id="{4B745929-5EFA-494A-AAE0-21C436624C10}">
            <x14:iconSet iconSet="3Triangles" showValue="0">
              <x14:cfvo type="percent">
                <xm:f>0</xm:f>
              </x14:cfvo>
              <x14:cfvo type="percent">
                <xm:f>0</xm:f>
              </x14:cfvo>
              <x14:cfvo type="percent">
                <xm:f>1</xm:f>
              </x14:cfvo>
            </x14:iconSet>
          </x14:cfRule>
          <xm:sqref>AS103:AS112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Introduction</vt:lpstr>
      <vt:lpstr>Sales Forecast</vt:lpstr>
      <vt:lpstr>Dashboard</vt:lpstr>
      <vt:lpstr>Lists</vt:lpstr>
      <vt:lpstr>Settings</vt:lpstr>
      <vt:lpstr>Sales Forecast OLD</vt:lpstr>
      <vt:lpstr>'Sales Forecast'!Print_Area</vt:lpstr>
      <vt:lpstr>'Sales Forecast OLD'!Print_Area</vt:lpstr>
      <vt:lpstr>'Sales Forecast OLD'!rngEmpNum</vt:lpstr>
      <vt:lpstr>rngEmpNum</vt:lpstr>
      <vt:lpstr>'Sales Forecast OLD'!rngYears</vt:lpstr>
      <vt:lpstr>rngYears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Natalie</dc:creator>
  <cp:lastModifiedBy>kareem mostafa</cp:lastModifiedBy>
  <dcterms:created xsi:type="dcterms:W3CDTF">2020-07-20T20:32:32Z</dcterms:created>
  <dcterms:modified xsi:type="dcterms:W3CDTF">2021-04-03T18:43:31Z</dcterms:modified>
</cp:coreProperties>
</file>